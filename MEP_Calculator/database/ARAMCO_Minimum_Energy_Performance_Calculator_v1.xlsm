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8.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9.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0.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1.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12.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13.xml" ContentType="application/vnd.openxmlformats-officedocument.drawing+xml"/>
  <Override PartName="/xl/ctrlProps/ctrlProp78.xml" ContentType="application/vnd.ms-excel.controlproperties+xml"/>
  <Override PartName="/xl/ctrlProps/ctrlProp79.xml" ContentType="application/vnd.ms-excel.controlproperties+xml"/>
  <Override PartName="/xl/comments1.xml" ContentType="application/vnd.openxmlformats-officedocument.spreadsheetml.comments+xml"/>
  <Override PartName="/xl/drawings/drawing14.xml" ContentType="application/vnd.openxmlformats-officedocument.drawing+xml"/>
  <Override PartName="/xl/ctrlProps/ctrlProp80.xml" ContentType="application/vnd.ms-excel.controlproperties+xml"/>
  <Override PartName="/xl/ctrlProps/ctrlProp81.xml" ContentType="application/vnd.ms-excel.controlproperties+xml"/>
  <Override PartName="/xl/drawings/drawing15.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2.xml" ContentType="application/vnd.openxmlformats-officedocument.spreadsheetml.comments+xml"/>
  <Override PartName="/xl/drawings/drawing16.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899C9086-67A9-5B14-2C2D-5A8001700F7D}"/>
  <workbookPr codeName="ThisWorkbook" autoCompressPictures="0" defaultThemeVersion="124226"/>
  <mc:AlternateContent xmlns:mc="http://schemas.openxmlformats.org/markup-compatibility/2006">
    <mc:Choice Requires="x15">
      <x15ac:absPath xmlns:x15ac="http://schemas.microsoft.com/office/spreadsheetml/2010/11/ac" url="D:\EDS\S2302_eQuest_Automation\S2302.2 eQuest Utilities\git\MEPC\MEP_Calculator\database\"/>
    </mc:Choice>
  </mc:AlternateContent>
  <xr:revisionPtr revIDLastSave="0" documentId="13_ncr:1_{0E442DA9-D870-4D61-BDA9-4CBD5FA59097}" xr6:coauthVersionLast="47" xr6:coauthVersionMax="47" xr10:uidLastSave="{00000000-0000-0000-0000-000000000000}"/>
  <workbookProtection workbookAlgorithmName="SHA-512" workbookHashValue="vmfIkLXOvMK5szOnsWyRk0GTfA9hCc4UVsYYrADxFHOMhmhgulBU5FWTnLJWiU6iw9xoZ0vDcp5OUoljKjmWiA==" workbookSaltValue="61m7l62t8O3yhliT7666Ng==" workbookSpinCount="100000" lockStructure="1"/>
  <bookViews>
    <workbookView xWindow="11424" yWindow="0" windowWidth="11712" windowHeight="12336" tabRatio="962" firstSheet="2" activeTab="12" xr2:uid="{00000000-000D-0000-FFFF-FFFF00000000}"/>
  </bookViews>
  <sheets>
    <sheet name="Instructions" sheetId="1" r:id="rId1"/>
    <sheet name="Definitions" sheetId="30" r:id="rId2"/>
    <sheet name="General Information" sheetId="2" r:id="rId3"/>
    <sheet name="Multiple Buildings Details" sheetId="3" state="hidden" r:id="rId4"/>
    <sheet name="Schedules" sheetId="5" r:id="rId5"/>
    <sheet name="EFLH Calculator" sheetId="29" r:id="rId6"/>
    <sheet name="Multifamily Details" sheetId="4" state="hidden" r:id="rId7"/>
    <sheet name="Opaque Assemblies" sheetId="7" r:id="rId8"/>
    <sheet name="Shading and Fenestration" sheetId="8" r:id="rId9"/>
    <sheet name="Envelope Assumptions" sheetId="9" state="hidden" r:id="rId10"/>
    <sheet name="Lighting" sheetId="10" r:id="rId11"/>
    <sheet name="Lighting Assumptions" sheetId="11" state="hidden" r:id="rId12"/>
    <sheet name="Process Loads" sheetId="12" r:id="rId13"/>
    <sheet name="Service Water Heating" sheetId="13" r:id="rId14"/>
    <sheet name="General HVAC" sheetId="14" r:id="rId15"/>
    <sheet name="Air-Side HVAC" sheetId="15" r:id="rId16"/>
    <sheet name="Water-Side HVAC" sheetId="16" r:id="rId17"/>
    <sheet name="Results from eQuest" sheetId="31" state="hidden" r:id="rId18"/>
    <sheet name="Results from Trace" sheetId="32" state="hidden" r:id="rId19"/>
    <sheet name="Performance_Outputs_1" sheetId="22" r:id="rId20"/>
    <sheet name="Performance_Outputs_0" sheetId="26" state="hidden" r:id="rId21"/>
    <sheet name="Performance_Outputs_Summary" sheetId="27" state="hidden" r:id="rId22"/>
    <sheet name="Summary" sheetId="18" r:id="rId23"/>
    <sheet name="DropdownData" sheetId="19" state="hidden" r:id="rId24"/>
    <sheet name="HVAC Lookup" sheetId="21" state="hidden" r:id="rId25"/>
    <sheet name="District Energy Path 3" sheetId="23" state="hidden" r:id="rId26"/>
  </sheets>
  <externalReferences>
    <externalReference r:id="rId27"/>
  </externalReferences>
  <definedNames>
    <definedName name="AddPowAnchor">Lighting!$90:$90</definedName>
    <definedName name="AHVAC_Base_CoolingCap">'Air-Side HVAC'!$J$17:$T$17</definedName>
    <definedName name="AHVAC_Base_FanFlow">'Air-Side HVAC'!$J$25:$T$25</definedName>
    <definedName name="AHVAC_Base_FanPower">'Air-Side HVAC'!$J$36:$T$36</definedName>
    <definedName name="AHVAC_Base_HeatingCap">'Air-Side HVAC'!$J$21:$T$21</definedName>
    <definedName name="AHVAC_Base_ID">'Air-Side HVAC'!$J$10:$T$10</definedName>
    <definedName name="AHVAC_Base_OAFlow">'Air-Side HVAC'!$J$26:$T$26</definedName>
    <definedName name="AHVAC_BaseSystemList">'Air-Side HVAC'!$BH$12,'Air-Side HVAC'!$K$12</definedName>
    <definedName name="AHVAC_Design_CoolingCap">'Air-Side HVAC'!$T$17:$AT$17</definedName>
    <definedName name="AHVAC_Design_FanFlow">'Air-Side HVAC'!$T$25:$AT$25</definedName>
    <definedName name="AHVAC_Design_FanPower">'Air-Side HVAC'!$T$35:$AT$35</definedName>
    <definedName name="AHVAC_Design_HeatingCap">'Air-Side HVAC'!$T$21:$AT$21</definedName>
    <definedName name="AHVAC_Design_ID">'Air-Side HVAC'!$T$10:$AT$10</definedName>
    <definedName name="AHVAC_Design_OAFlow">'Air-Side HVAC'!$T$26:$AT$26</definedName>
    <definedName name="AreaUnits">DropdownData!$Q$2:$Q$3</definedName>
    <definedName name="AshraeClimate">DropdownData!$AX$2:$AX$19</definedName>
    <definedName name="AshraeCZ" localSheetId="23">DropdownData!$AX$2:$AX$19</definedName>
    <definedName name="Avg_Bedroom_Area">'Multifamily Details'!$U$17</definedName>
    <definedName name="Avg_Bedrooms">'Multifamily Details'!$U$16</definedName>
    <definedName name="BAequipTable">'Process Loads'!$18:$33</definedName>
    <definedName name="BAManchor">Lighting!$33:$33</definedName>
    <definedName name="BAMCategories">'Lighting Assumptions'!$A$3:$A$35</definedName>
    <definedName name="BaselineAnchor">'Air-Side HVAC'!$T:$T</definedName>
    <definedName name="BaselineHVACModeled">'General HVAC'!$D$29:$D$32</definedName>
    <definedName name="BaselineHVACSystems">OFFSET('HVAC Lookup'!$H$10,0,0,COUNTIF('HVAC Lookup'!$H$10:$H$19,"&gt;*"),1)</definedName>
    <definedName name="BaselineOrientationExemptions">DropdownData!$CS$2:$CS$5</definedName>
    <definedName name="BaselineSecondarySystems">OFFSET('HVAC Lookup'!$I$10,0,0,COUNTIF('HVAC Lookup'!$I$10:$I$29,"&gt;*"),1)</definedName>
    <definedName name="Building_ID_Entry" localSheetId="15">'Air-Side HVAC'!$J$10:$AT$10</definedName>
    <definedName name="Building_ID_Entry" localSheetId="14">'General HVAC'!$B$20:$B$22,'General HVAC'!$B$29:$B$32</definedName>
    <definedName name="Building_ID_Entry" localSheetId="10">Lighting!$B$58:$B$76,Lighting!$B$90:$B$95,Lighting!$B$118:$B$120,Lighting!$B$33:$B$35</definedName>
    <definedName name="Building_ID_Entry" localSheetId="6">'Multifamily Details'!$B$34:$B$35,'Multifamily Details'!$B$59:$B$62</definedName>
    <definedName name="Building_ID_Entry" localSheetId="7">'Opaque Assemblies'!$B$34:$B$35,'Opaque Assemblies'!$B$43:$B$44,'Opaque Assemblies'!$B$52:$B$53,'Opaque Assemblies'!$B$61:$B$61,'Opaque Assemblies'!$B$69:$B$70,'Opaque Assemblies'!$B$78:$B$78</definedName>
    <definedName name="Building_ID_Entry" localSheetId="12">'Process Loads'!$B$23:$B$28,'Process Loads'!$B$40:$B$54,'Process Loads'!$B$75:$B$77,'Process Loads'!$B$85:$B$86</definedName>
    <definedName name="Building_ID_Entry" localSheetId="13">'Service Water Heating'!$B$72:$B$76</definedName>
    <definedName name="Building_ID_Entry" localSheetId="8">'Shading and Fenestration'!$B$45:$B$46,'Shading and Fenestration'!$B$54:$B$54</definedName>
    <definedName name="Building_ID_Entry" localSheetId="16">'Water-Side HVAC'!$I$10:$K$10</definedName>
    <definedName name="BuildingIDLookup">OFFSET(DropdownData!$DR$3:$DR$42,0,0,DropdownData!$DR$2,1)</definedName>
    <definedName name="BuildingIDLookupAlt">OFFSET(DropdownData!$DR$3:$DR$42,0,0,DropdownData!$DR$2-1,1)</definedName>
    <definedName name="BuildingNames">DropdownData!$CM$2:$CM$4</definedName>
    <definedName name="BuildingNames2">DropdownData!$CM$3:$CM$4</definedName>
    <definedName name="BuildingOrientationExemptionRange">'Shading and Fenestration'!$32:$35</definedName>
    <definedName name="BuildingRotationModeled">'Shading and Fenestration'!$L$9</definedName>
    <definedName name="BvPUnregCheck" localSheetId="20">Performance_Outputs_0!$Y$171:$Y$218</definedName>
    <definedName name="BvPUnregCheck" localSheetId="21">Performance_Outputs_Summary!$Y$20:$Y$67</definedName>
    <definedName name="BvPUnregCheck">Performance_Outputs_1!$Y$170:$Y$217</definedName>
    <definedName name="CaliforniaClimate">DropdownData!$AY$2:$AY$17</definedName>
    <definedName name="CampusEndUses">DropdownData!$BE$31:$BE$38</definedName>
    <definedName name="CAZones">DropdownData!$AY$2:$AY$17</definedName>
    <definedName name="ClimateZone">DropdownData!$BB$2:$BB$19</definedName>
    <definedName name="CodeUsed">'General Information'!$C$44:$F$44</definedName>
    <definedName name="ConsumptionUnits">DropdownData!$E$2:$E$8</definedName>
    <definedName name="Datacenter_Avg">'General Information'!$K$66</definedName>
    <definedName name="DD_GH_BaseSysList">DropdownData!$DO$2:$DO$4</definedName>
    <definedName name="DemandTable">DropdownData!$K$2:$M$9</definedName>
    <definedName name="DemandUnits">DropdownData!$K$2:$K$9</definedName>
    <definedName name="DESBaseCHWTable">'District Energy Path 3'!$B$60:$Q$65</definedName>
    <definedName name="DESBaseHHWTable">'District Energy Path 3'!$B$116:$I$118</definedName>
    <definedName name="DESInputsInGeneralInformation">'General Information'!$D$60:$F$62</definedName>
    <definedName name="DESPath">DropdownData!$C$90</definedName>
    <definedName name="DESPath3_Cooling_COP">'District Energy Path 3'!$C$73</definedName>
    <definedName name="DESPath3_Heating_eCOP">'District Energy Path 3'!$F$126</definedName>
    <definedName name="DESPath3_Heating_fCOP">'District Energy Path 3'!$C$126</definedName>
    <definedName name="DistrictCooling">DropdownData!$C$98</definedName>
    <definedName name="DistrictHeating">DropdownData!$C$96</definedName>
    <definedName name="EFLH_Fraction_Abbreviated" localSheetId="5">'EFLH Calculator'!$B$50:$AB$58</definedName>
    <definedName name="EFLH_Fraction_Detailed" localSheetId="5">'EFLH Calculator'!$B$61:$AB$74</definedName>
    <definedName name="EFLH_On_Off_Abbreviated" localSheetId="5">'EFLH Calculator'!$B$20:$AB$28</definedName>
    <definedName name="EFLH_ON_OFF_Detailed" localSheetId="5">'EFLH Calculator'!$B$31:$AB$44</definedName>
    <definedName name="EndUses">DropdownData!$BE$2:$BE$22</definedName>
    <definedName name="EnergyCode">DropdownData!$AT$2:$AT$4</definedName>
    <definedName name="EnergyModelPhase">'General Information'!$C$37</definedName>
    <definedName name="EnergyModelPhaseOther">'General Information'!$38:$40</definedName>
    <definedName name="EnergySources">DropdownData!$B$101:$B$107</definedName>
    <definedName name="EnergyUnitsTable">DropdownData!$E$2:$G$8</definedName>
    <definedName name="EnvelopeCopyRange" localSheetId="23">DropdownData!$203:$218</definedName>
    <definedName name="EquipAnchor">'Process Loads'!$40:$40</definedName>
    <definedName name="EquipBAanchor">'Process Loads'!$23:$23</definedName>
    <definedName name="Fanslookup">'HVAC Lookup'!$A$10:$O$29</definedName>
    <definedName name="FinishedAnchor">'Air-Side HVAC'!$J:$J</definedName>
    <definedName name="FormulaProposed1" localSheetId="20">Performance_Outputs_0!$AE$171:$AH$218</definedName>
    <definedName name="FormulaProposed1" localSheetId="19">Performance_Outputs_1!$AE$170:$AH$217</definedName>
    <definedName name="FormulaProposed1" localSheetId="21">Performance_Outputs_Summary!$AE$20:$AH$67</definedName>
    <definedName name="FuelTable">DropdownData!$B$2:$C$14</definedName>
    <definedName name="FuelTypes">DropdownData!$B$2:$B$14</definedName>
    <definedName name="FuelTypesTable">DropdownData!$B$2:$C$14</definedName>
    <definedName name="GenHVACformatref">'General HVAC'!$J$29:$J$32</definedName>
    <definedName name="GHVAC_BaseSystemList">'General HVAC'!$D$28:$D$32</definedName>
    <definedName name="GHVAC_BHVACST_Index">'General HVAC'!$B$27:$B$32</definedName>
    <definedName name="GHVAC_BSysType_Hdr">'General HVAC'!$B$28:$G$28</definedName>
    <definedName name="GHVAC_BSysType_Index">'General HVAC'!$B$28:$B$32</definedName>
    <definedName name="GHVAC_BSysType_Table">'General HVAC'!$B$28:$G$32</definedName>
    <definedName name="GHVAC_PHVACST_Index">'General HVAC'!$B$19:$B$22</definedName>
    <definedName name="GI_BldgArea">'General Information'!$F$27</definedName>
    <definedName name="GI_DES_ModelingMethod">'General Information'!$D$60</definedName>
    <definedName name="GI_DES_Path1Boolean">'General Information'!$I$60</definedName>
    <definedName name="GI_DESPath">'General Information'!$D$61</definedName>
    <definedName name="GI_Project_Name">'General Information'!$E$8</definedName>
    <definedName name="GI_Project_Number">'General Information'!$E$6</definedName>
    <definedName name="GI_RSV_DataCenterMethod">'General Information'!$E$66</definedName>
    <definedName name="Homes_DwellingEqpList">DropdownData!$CU$2:$CU$11</definedName>
    <definedName name="Homes_DwellingEqpLookup">DropdownData!$CU$2:$DH$11</definedName>
    <definedName name="Homes_DwellingNonResEPDList">DropdownData!$DJ$2:$DJ$7</definedName>
    <definedName name="Homes_DwellingNonResEPDLookup">DropdownData!$DJ$2:$DL$7</definedName>
    <definedName name="Homes_GeneralInformation" hidden="1">'General Information'!$30:$31</definedName>
    <definedName name="Homes_LaundryEqpList">DropdownData!$CU$17:$CU$19</definedName>
    <definedName name="Homes_LaundryEqpLookup">DropdownData!$CU$17:$DH$19</definedName>
    <definedName name="Homes_Point_Adjustment">'Multifamily Details'!$U$19</definedName>
    <definedName name="HomesEqpCalc">'Process Loads'!$A$61:$H$67</definedName>
    <definedName name="HomesInGeneralInformation">'General Information'!$30:$31</definedName>
    <definedName name="L_BAM_Area_Total">Lighting!$D$36</definedName>
    <definedName name="L_BAM_ButtonRow">Lighting!$38:$38</definedName>
    <definedName name="L_BAM_SumHdr">Lighting!$B$42:$Q$42</definedName>
    <definedName name="L_BAM_SumIndex">Lighting!$B$42:$B$43</definedName>
    <definedName name="L_BAM_SumTable">Lighting!$B$42:$O$43</definedName>
    <definedName name="L_BAMInput_Index">Lighting!$B$31:$B$35</definedName>
    <definedName name="L_ELR_Response">Lighting!$P$125</definedName>
    <definedName name="L_ExtSum_Hdr">Lighting!$B$160:$Q$160</definedName>
    <definedName name="L_ExtSum_Index">Lighting!$B$160:$I$161</definedName>
    <definedName name="L_ExtSum_Table">Lighting!$B$160:$Q$161</definedName>
    <definedName name="L_IL_SumHdr">Lighting!$B$111:$Q$111</definedName>
    <definedName name="L_IL_SumIndex">Lighting!$B$111:$B$112</definedName>
    <definedName name="L_IL_SumTable">Lighting!$B$111:$P$112</definedName>
    <definedName name="L_IPL_Index">Lighting!$B$117:$B$120</definedName>
    <definedName name="L_LPDmethod">Lighting!$Z$24</definedName>
    <definedName name="L_LtgZone_Hdr">Lighting!$B$129:$Q$129</definedName>
    <definedName name="L_LtgZone_Index">Lighting!$B$129:$B$130</definedName>
    <definedName name="L_LtgZone_Table">Lighting!$B$129:$Q$130</definedName>
    <definedName name="L_NTSurface_Hdr">Lighting!$B$149:$Q$149</definedName>
    <definedName name="L_NTSurface_Index">Lighting!$B$149:$B$156</definedName>
    <definedName name="L_NTSurface_Table">Lighting!$B$149:$Q$156</definedName>
    <definedName name="L_SxS_Area_Total">Lighting!$D$77</definedName>
    <definedName name="L_SxS_SumHdr">Lighting!$B$82:$Q$82</definedName>
    <definedName name="L_SxS_SumIndex">Lighting!$B$82:$B$83</definedName>
    <definedName name="L_SxS_SumTable">Lighting!$B$82:$O$83</definedName>
    <definedName name="L_SxSALP_ButtonRow">Lighting!$101:$101</definedName>
    <definedName name="L_SxSALP_SumHdr">Lighting!$B$103:$Q$103</definedName>
    <definedName name="L_SXSALP_SumIndex">Lighting!$B$103:$B$104</definedName>
    <definedName name="L_SxSALP_SumTable">Lighting!$B$103:$L$104</definedName>
    <definedName name="L_SxSALPInput_Hdr">Lighting!$B$89:$Q$89</definedName>
    <definedName name="L_SxSALPInput_Index">Lighting!$B$89:$B$95</definedName>
    <definedName name="L_SxSInput_Index">Lighting!$B$56:$B$76</definedName>
    <definedName name="L_SxSM_ButtonRow">Lighting!$79:$79</definedName>
    <definedName name="LastBaseline">'Air-Side HVAC'!$K:$K</definedName>
    <definedName name="LastProposed">'Air-Side HVAC'!$U:$U</definedName>
    <definedName name="Lighting_Residential_Hdr">Lighting!$B$31:$Q$31</definedName>
    <definedName name="Lighting_Residential_Index">Lighting!$B$31:$B$32</definedName>
    <definedName name="Lighting_Residential_Table">Lighting!$B$31:$L$32</definedName>
    <definedName name="Lighting_SxS_Residential_Hdr">Lighting!$B$56:$P$56</definedName>
    <definedName name="Lighting_SxS_Residential_Index">Lighting!$B$56:$B$57</definedName>
    <definedName name="Lighting_SxS_Residential_Table">Lighting!$B$56:$P$57</definedName>
    <definedName name="MBD_BS_Hdr">'Multiple Buildings Details'!$B$22:$K$22</definedName>
    <definedName name="MBD_BS_Index">'Multiple Buildings Details'!$B$22:$B$24</definedName>
    <definedName name="MBD_BS_Table">'Multiple Buildings Details'!$B$22:$K$24</definedName>
    <definedName name="MBD_BSTotal_Index">'Multiple Buildings Details'!$B$22:$B$25</definedName>
    <definedName name="MBD_EMI_Hdr">'Multiple Buildings Details'!$B$16:$K$16</definedName>
    <definedName name="MBD_EMI_Index">'Multiple Buildings Details'!$B$16:$B$17</definedName>
    <definedName name="MBD_EMI_Table">'Multiple Buildings Details'!$B$16:$K$17</definedName>
    <definedName name="MBD_EMSubsetRange" localSheetId="3">'Multiple Buildings Details'!$D$23:$K$23</definedName>
    <definedName name="MBD_LEEDNDEMSubsetExist">'Multiple Buildings Details'!$O$12</definedName>
    <definedName name="MBD_rbModelMethod">'Multiple Buildings Details'!$O$6</definedName>
    <definedName name="MD_BUS_Hdr">'Multifamily Details'!$B$11:$U$11</definedName>
    <definedName name="MD_BUS_Index">'Multifamily Details'!$B$11:$B$12</definedName>
    <definedName name="MD_BUS_SumHdr">'Multifamily Details'!$B$21:$U$21</definedName>
    <definedName name="MD_BUS_SumIndex">'Multifamily Details'!$B$21:$B$22</definedName>
    <definedName name="MD_BUS_SumTable">'Multifamily Details'!$B$21:$U$22</definedName>
    <definedName name="MD_BUS_Table">'Multifamily Details'!$B$11:$U$12</definedName>
    <definedName name="MD_HDUEC_Hdr">'Multifamily Details'!$B$31:$U$31</definedName>
    <definedName name="MD_HDUEC_Index">'Multifamily Details'!$B$31:$B$35</definedName>
    <definedName name="MD_HDUEC_Table">'Multifamily Details'!$B$31:$U$35</definedName>
    <definedName name="MD_HDUEMS_Table">'Multifamily Details'!$B$47:$U$48</definedName>
    <definedName name="MD_HLREMS_Index">'Multifamily Details'!$B$74:$B$75</definedName>
    <definedName name="MD_HLREMS_Table">'Multifamily Details'!$B$74:$U$75</definedName>
    <definedName name="MD_HSWHLS_Table">'Multifamily Details'!$B$90:$U$91</definedName>
    <definedName name="MD_Laundry_Hdr">'Multifamily Details'!$B$58:$U$58</definedName>
    <definedName name="MD_Laundry_Index">'Multifamily Details'!$B$58:$B$62</definedName>
    <definedName name="MD_Laundry_Table">'Multifamily Details'!$B$58:$U$62</definedName>
    <definedName name="MD_SWH_Profile" localSheetId="6">'Multifamily Details'!$B$81:$B$83</definedName>
    <definedName name="ModelingMethod">DropdownData!$BH$2:$BH$3</definedName>
    <definedName name="Motor_Horsepower">'HVAC Lookup'!$Q$10:$T$29</definedName>
    <definedName name="Motor_Horsepower_Nominal_Efficiency_IP">'HVAC Lookup'!$Q$10:$U$29</definedName>
    <definedName name="Motor_Horsepower_Nominal_Efficiency_SI">'HVAC Lookup'!$R$10:$U$29</definedName>
    <definedName name="MultipleBuildingsExist">'General Information'!$F$20</definedName>
    <definedName name="Natural_Gas">DropdownData!$B$3:$B$11</definedName>
    <definedName name="NewExisting">OFFSET('[1]Envelope Lookup'!$BS$2,0,0,COUNTIF('[1]Envelope Lookup'!$BS$2:$BS$3,"&gt;*"),1)</definedName>
    <definedName name="OA_AGEWC_hdr">'Opaque Assemblies'!$B$42:$R$42</definedName>
    <definedName name="OA_AGEWC_Index">'Opaque Assemblies'!$B$42:$B$44</definedName>
    <definedName name="OA_AGEWC_table">'Opaque Assemblies'!$B$43:$R$45</definedName>
    <definedName name="OA_BGEWC_hdr">'Opaque Assemblies'!$B$51:$R$51</definedName>
    <definedName name="OA_BGEWC_Index">'Opaque Assemblies'!$B$51:$B$53</definedName>
    <definedName name="OA_BGEWC_table">'Opaque Assemblies'!$B$52:$R$54</definedName>
    <definedName name="OA_EFC_hdr">'Opaque Assemblies'!$B$60:$R$60</definedName>
    <definedName name="OA_EFC_Index">'Opaque Assemblies'!$B$60:$B$61</definedName>
    <definedName name="OA_EFC_table">'Opaque Assemblies'!$B$61:$R$62</definedName>
    <definedName name="OA_OBEC_hdr">'Opaque Assemblies'!$B$33:$R$33</definedName>
    <definedName name="OA_OBEC_Index">'Opaque Assemblies'!$B$33:$B$35</definedName>
    <definedName name="OA_OBEC_table">'Opaque Assemblies'!$B$34:$R$36</definedName>
    <definedName name="OA_OD_hdr">'Opaque Assemblies'!$B$77:$R$77</definedName>
    <definedName name="OA_OD_Index">'Opaque Assemblies'!$B$77:$B$78</definedName>
    <definedName name="OA_OD_table">'Opaque Assemblies'!$B$78:$R$79</definedName>
    <definedName name="OA_SOGF_hdr">'Opaque Assemblies'!$B$68:$R$68</definedName>
    <definedName name="OA_SOGF_Index">'Opaque Assemblies'!$B$68:$B$70</definedName>
    <definedName name="OA_SOGF_table">'Opaque Assemblies'!$B$69:$R$71</definedName>
    <definedName name="OutputSheetNames">DropdownData!$CL$3:$CL$4</definedName>
    <definedName name="pctNew">'General Information'!$F$14</definedName>
    <definedName name="PctRenovation">'General Information'!$F$16</definedName>
    <definedName name="PL_BAEPD_Hdr">'Process Loads'!$B$20:$I$20</definedName>
    <definedName name="PL_BAEPD_Index">'Process Loads'!$B$20:$B$22</definedName>
    <definedName name="PL_BAEPD_Table">'Process Loads'!$B$20:$I$22</definedName>
    <definedName name="PL_BAEPDInput_Index">'Process Loads'!$B$21:$B$28</definedName>
    <definedName name="PL_EPD_SumHdr">'Process Loads'!$B$69:$I$69</definedName>
    <definedName name="PL_EPD_SumIndex">'Process Loads'!$B$69:$B$70</definedName>
    <definedName name="PL_EPD_SumTable">'Process Loads'!$B$69:$I$70</definedName>
    <definedName name="PL_GFPC_Index">'Process Loads'!$B$84:$B$86</definedName>
    <definedName name="PL_GFPC_Table">'Process Loads'!$B$84:$I$86</definedName>
    <definedName name="PL_NRPEInput_Index">'Process Loads'!$B$74:$B$77</definedName>
    <definedName name="PL_REMM_BAMBoolean">'Process Loads'!$M$16</definedName>
    <definedName name="PL_REMM_Description">'Process Loads'!$B$16</definedName>
    <definedName name="PL_REMM_SxSBoolean">'Process Loads'!$N$16</definedName>
    <definedName name="PL_SxSEPD_Hdr">'Process Loads'!$B$37:$I$37</definedName>
    <definedName name="PL_SxSEPD_Index">'Process Loads'!$B$37:$B$39</definedName>
    <definedName name="PL_SxSEPD_Table">'Process Loads'!$B$37:$I$39</definedName>
    <definedName name="PL_SxSEPDInput_Index">'Process Loads'!$B$38:$B$54</definedName>
    <definedName name="PO_base_Add_EndUses" localSheetId="20">Performance_Outputs_0!$B$133:$C$144</definedName>
    <definedName name="PO_base_Add_EndUses" localSheetId="19">Performance_Outputs_1!$B$132:$C$143</definedName>
    <definedName name="PO_baseline_hdr" localSheetId="20">Performance_Outputs_0!$B$96:$S$96</definedName>
    <definedName name="PO_baseline_hdr" localSheetId="19">Performance_Outputs_1!$B$95:$S$95</definedName>
    <definedName name="PO_baseline_index" localSheetId="20">Performance_Outputs_0!$B$97:$B$144</definedName>
    <definedName name="PO_baseline_index" localSheetId="19">Performance_Outputs_1!$B$96:$B$143</definedName>
    <definedName name="PO_Baseline_Subtotal_table" localSheetId="20">Performance_Outputs_0!$E$224:$G$227</definedName>
    <definedName name="PO_Baseline_Subtotal_table" localSheetId="19">Performance_Outputs_1!$E$223:$G$226</definedName>
    <definedName name="PO_Baseline_Subtotal_table" localSheetId="21">Performance_Outputs_Summary!$E$73:$G$76</definedName>
    <definedName name="PO_baseline_table" localSheetId="20">Performance_Outputs_0!$B$97:$S$144</definedName>
    <definedName name="PO_baseline_table">Performance_Outputs_1!$B$96:$S$143</definedName>
    <definedName name="PO_BaselineSection" localSheetId="20">Performance_Outputs_0!$87:$161</definedName>
    <definedName name="PO_BaselineSection" localSheetId="19">Performance_Outputs_1!$86:$160</definedName>
    <definedName name="PO_Datacenter_averaged_tables" localSheetId="20">Performance_Outputs_0!$268:$296</definedName>
    <definedName name="PO_Datacenter_averaged_tables" localSheetId="19">Performance_Outputs_1!$267:$295</definedName>
    <definedName name="PO_Datacenter_averaged_tables" localSheetId="21">Performance_Outputs_Summary!$94:$103</definedName>
    <definedName name="PO_Datacenter_PUE_table" localSheetId="20">Performance_Outputs_0!$308:$319</definedName>
    <definedName name="PO_Datacenter_PUE_table" localSheetId="19">Performance_Outputs_1!$307:$318</definedName>
    <definedName name="PO_Datacenter_text1" localSheetId="20">Performance_Outputs_0!$49:$49</definedName>
    <definedName name="PO_Datacenter_text1" localSheetId="19">Performance_Outputs_1!$48:$48</definedName>
    <definedName name="PO_Datacenter_text2" localSheetId="20">Performance_Outputs_0!$92:$92</definedName>
    <definedName name="PO_Datacenter_text2" localSheetId="19">Performance_Outputs_1!$91:$91</definedName>
    <definedName name="PO_Datacenter_text3" localSheetId="20">Performance_Outputs_0!$166:$166</definedName>
    <definedName name="PO_Datacenter_text3" localSheetId="19">Performance_Outputs_1!$165:$165</definedName>
    <definedName name="PO_DES_PRM_Section" localSheetId="20">Performance_Outputs_0!$246:$267</definedName>
    <definedName name="PO_DES_PRM_Section" localSheetId="19">Performance_Outputs_1!$245:$266</definedName>
    <definedName name="PO_DESbase_Enrgy_Hdr" localSheetId="20">Performance_Outputs_0!$B$250:$R$250</definedName>
    <definedName name="PO_DESbase_Enrgy_Hdr" localSheetId="19">Performance_Outputs_1!$B$249:$R$249</definedName>
    <definedName name="PO_DESbase_Enrgy_Index" localSheetId="20">Performance_Outputs_0!$B$250:$B$253</definedName>
    <definedName name="PO_DESbase_Enrgy_Index" localSheetId="19">Performance_Outputs_1!$B$249:$B$252</definedName>
    <definedName name="PO_DESbase_Enrgy_Table" localSheetId="20">Performance_Outputs_0!$B$252:$R$253</definedName>
    <definedName name="PO_DESbase_Enrgy_Table" localSheetId="19">Performance_Outputs_1!$B$251:$R$252</definedName>
    <definedName name="PO_DESdesign_Enrgy_Hdr" localSheetId="20">Performance_Outputs_0!$B$254:$M$254</definedName>
    <definedName name="PO_DESdesign_Enrgy_Hdr" localSheetId="19">Performance_Outputs_1!$B$253:$M$253</definedName>
    <definedName name="PO_DESdesign_Enrgy_Index" localSheetId="20">Performance_Outputs_0!$B$254:$B$257</definedName>
    <definedName name="PO_DESdesign_Enrgy_Index" localSheetId="19">Performance_Outputs_1!$B$253:$B$256</definedName>
    <definedName name="PO_DESdesign_Enrgy_Table" localSheetId="20">Performance_Outputs_0!$B$256:$R$257</definedName>
    <definedName name="PO_DESdesign_Enrgy_Table" localSheetId="19">Performance_Outputs_1!$B$255:$R$256</definedName>
    <definedName name="PO_design_Add_EndUses" localSheetId="20">Performance_Outputs_0!$B$207:$B$218</definedName>
    <definedName name="PO_design_Add_EndUses" localSheetId="19">Performance_Outputs_1!$B$206:$B$217</definedName>
    <definedName name="PO_design_Add_EndUses" localSheetId="21">Performance_Outputs_Summary!$B$56:$B$67</definedName>
    <definedName name="PO_design_hdr" localSheetId="20">Performance_Outputs_0!$B$170:$T$170</definedName>
    <definedName name="PO_design_hdr" localSheetId="19">Performance_Outputs_1!$B$169:$T$169</definedName>
    <definedName name="PO_design_hdr" localSheetId="21">Performance_Outputs_Summary!$B$19:$R$19</definedName>
    <definedName name="PO_design_index" localSheetId="20">Performance_Outputs_0!$B$170:$B$218</definedName>
    <definedName name="PO_design_index" localSheetId="19">Performance_Outputs_1!$B$169:$B$217</definedName>
    <definedName name="PO_design_index" localSheetId="21">Performance_Outputs_Summary!$B$19:$B$67</definedName>
    <definedName name="PO_design_table" localSheetId="20">Performance_Outputs_0!$B$171:$T$218</definedName>
    <definedName name="PO_design_table" localSheetId="19">Performance_Outputs_1!$B$170:$T$217</definedName>
    <definedName name="PO_design_table" localSheetId="21">Performance_Outputs_Summary!$B$20:$R$67</definedName>
    <definedName name="PO_DesignOutputs_Section" localSheetId="21">Performance_Outputs_Summary!$16:$67</definedName>
    <definedName name="PO_DESPath1_text1" localSheetId="20">Performance_Outputs_0!$10:$10</definedName>
    <definedName name="PO_DESPath1_text1" localSheetId="19">Performance_Outputs_1!$10:$10</definedName>
    <definedName name="PO_DESPath1_text2" localSheetId="20">Performance_Outputs_0!$89:$89</definedName>
    <definedName name="PO_DESPath1_text2" localSheetId="19">Performance_Outputs_1!$88:$88</definedName>
    <definedName name="PO_DESPath1_text3" localSheetId="20">Performance_Outputs_0!$163:$163</definedName>
    <definedName name="PO_DESPath1_text3" localSheetId="19">Performance_Outputs_1!$162:$162</definedName>
    <definedName name="PO_DESPath2_text1" localSheetId="20">Performance_Outputs_0!$11:$11</definedName>
    <definedName name="PO_DESPath2_text1" localSheetId="19">Performance_Outputs_1!$11:$11</definedName>
    <definedName name="PO_DESPath2_text2" localSheetId="20">Performance_Outputs_0!$90:$90</definedName>
    <definedName name="PO_DESPath2_text2" localSheetId="19">Performance_Outputs_1!$89:$89</definedName>
    <definedName name="PO_DESpath2_text3" localSheetId="20">Performance_Outputs_0!$164:$164</definedName>
    <definedName name="PO_DESpath2_text3" localSheetId="19">Performance_Outputs_1!$163:$163</definedName>
    <definedName name="PO_DESPath3_tables" localSheetId="20">Performance_Outputs_0!$246:$267</definedName>
    <definedName name="PO_DESPath3_tables" localSheetId="19">Performance_Outputs_1!$245:$266</definedName>
    <definedName name="PO_DESPath3_text1" localSheetId="20">Performance_Outputs_0!$12:$12</definedName>
    <definedName name="PO_DESPath3_text1" localSheetId="19">Performance_Outputs_1!$12:$12</definedName>
    <definedName name="PO_DESPath3_text2" localSheetId="20">Performance_Outputs_0!$91:$91</definedName>
    <definedName name="PO_DESPath3_text2" localSheetId="19">Performance_Outputs_1!$90:$90</definedName>
    <definedName name="PO_DESPath3_text3" localSheetId="20">Performance_Outputs_0!$165:$165</definedName>
    <definedName name="PO_DESPath3_text3" localSheetId="19">Performance_Outputs_1!$164:$164</definedName>
    <definedName name="PO_DESPath3outputs" localSheetId="21">Performance_Outputs_Summary!$95:$102</definedName>
    <definedName name="PO_EnergyEndUses" localSheetId="20">Performance_Outputs_0!$B$207:$C$218</definedName>
    <definedName name="PO_EnergyEndUses" localSheetId="19">Performance_Outputs_1!$B$206:$C$217</definedName>
    <definedName name="PO_EnergyEndUses" localSheetId="21">Performance_Outputs_Summary!$B$56:$C$67</definedName>
    <definedName name="PO_EnergyReportingMethod" localSheetId="20">Performance_Outputs_0!$R$77</definedName>
    <definedName name="PO_EnergyReportingMethod" localSheetId="19">Performance_Outputs_1!$R$76</definedName>
    <definedName name="PO_EnergySources_Section" localSheetId="21">Performance_Outputs_Summary!$5:$15</definedName>
    <definedName name="PO_EnergyType" localSheetId="20">Performance_Outputs_0!$B$17:$C$18</definedName>
    <definedName name="PO_EnergyType" localSheetId="19">Performance_Outputs_1!$B$17:$C$18</definedName>
    <definedName name="PO_EnergyType" localSheetId="21">Performance_Outputs_Summary!$B$10:$C$11</definedName>
    <definedName name="PO_Enrgy_1_Hdr" localSheetId="20">Performance_Outputs_0!$B$16:$R$16</definedName>
    <definedName name="PO_Enrgy_1_Hdr" localSheetId="19">Performance_Outputs_1!$B$16:$R$16</definedName>
    <definedName name="PO_Enrgy_1_Hdr" localSheetId="21">Performance_Outputs_Summary!$B$9:$R$9</definedName>
    <definedName name="PO_Enrgy_1_Index" localSheetId="20">Performance_Outputs_0!$B$16:$B$19</definedName>
    <definedName name="PO_Enrgy_1_Index" localSheetId="19">Performance_Outputs_1!$B$16:$B$19</definedName>
    <definedName name="PO_Enrgy_1_Index" localSheetId="21">Performance_Outputs_Summary!$B$9:$B$12</definedName>
    <definedName name="PO_Enrgy_1_Table" localSheetId="20">Performance_Outputs_0!$B$17:$R$19</definedName>
    <definedName name="PO_Enrgy_1_Table" localSheetId="19">Performance_Outputs_1!$B$17:$R$19</definedName>
    <definedName name="PO_Enrgy_1_Table" localSheetId="21">Performance_Outputs_Summary!$B$10:$R$12</definedName>
    <definedName name="PO_Enrgy_10_Hdr" localSheetId="20">Performance_Outputs_0!$B$262:$R$262</definedName>
    <definedName name="PO_Enrgy_10_Hdr" localSheetId="19">Performance_Outputs_1!$B$261:$R$261</definedName>
    <definedName name="PO_Enrgy_10_Index" localSheetId="20">Performance_Outputs_0!$B$262:$R$265</definedName>
    <definedName name="PO_Enrgy_10_Index" localSheetId="19">Performance_Outputs_1!$B$261:$R$264</definedName>
    <definedName name="PO_Enrgy_10_Table" localSheetId="20">Performance_Outputs_0!$B$263:$R$265</definedName>
    <definedName name="PO_Enrgy_10_Table" localSheetId="19">Performance_Outputs_1!$B$262:$R$264</definedName>
    <definedName name="PO_Enrgy_11_Hdr" localSheetId="20">Performance_Outputs_0!$B$273:$R$273</definedName>
    <definedName name="PO_Enrgy_11_Hdr" localSheetId="19">Performance_Outputs_1!$B$272:$R$272</definedName>
    <definedName name="PO_Enrgy_11_Index" localSheetId="20">Performance_Outputs_0!$B$273:$B$276</definedName>
    <definedName name="PO_Enrgy_11_Index" localSheetId="19">Performance_Outputs_1!$B$272:$B$275</definedName>
    <definedName name="PO_Enrgy_11_Table" localSheetId="20">Performance_Outputs_0!$B$274:$R$276</definedName>
    <definedName name="PO_Enrgy_11_Table" localSheetId="19">Performance_Outputs_1!$B$273:$R$275</definedName>
    <definedName name="PO_Enrgy_12_Hdr" localSheetId="20">Performance_Outputs_0!$B$282:$R$282</definedName>
    <definedName name="PO_Enrgy_12_Hdr" localSheetId="19">Performance_Outputs_1!$B$281:$R$281</definedName>
    <definedName name="PO_Enrgy_12_Index" localSheetId="20">Performance_Outputs_0!$B$282:$B$285</definedName>
    <definedName name="PO_Enrgy_12_Index" localSheetId="19">Performance_Outputs_1!$B$281:$B$284</definedName>
    <definedName name="PO_Enrgy_12_Table" localSheetId="20">Performance_Outputs_0!$B$283:$R$285</definedName>
    <definedName name="PO_Enrgy_12_Table" localSheetId="19">Performance_Outputs_1!$B$282:$R$284</definedName>
    <definedName name="PO_Enrgy_13_Hdr" localSheetId="20">Performance_Outputs_0!$B$291:$R$291</definedName>
    <definedName name="PO_Enrgy_13_Hdr" localSheetId="19">Performance_Outputs_1!$B$290:$R$290</definedName>
    <definedName name="PO_Enrgy_13_Hdr" localSheetId="21">Performance_Outputs_Summary!$B$98:$R$98</definedName>
    <definedName name="PO_Enrgy_13_Index" localSheetId="20">Performance_Outputs_0!$B$291:$B$294</definedName>
    <definedName name="PO_Enrgy_13_Index" localSheetId="19">Performance_Outputs_1!$B$290:$B$293</definedName>
    <definedName name="PO_Enrgy_13_Index" localSheetId="21">Performance_Outputs_Summary!$B$98:$B$101</definedName>
    <definedName name="PO_Enrgy_13_Table" localSheetId="20">Performance_Outputs_0!$B$292:$R$294</definedName>
    <definedName name="PO_Enrgy_13_Table" localSheetId="19">Performance_Outputs_1!$B$291:$R$293</definedName>
    <definedName name="PO_Enrgy_13_Table" localSheetId="21">Performance_Outputs_Summary!$B$99:$R$101</definedName>
    <definedName name="PO_Enrgy_14_Hdr" localSheetId="20">Performance_Outputs_0!$B$302:$R$302</definedName>
    <definedName name="PO_Enrgy_14_Hdr" localSheetId="19">Performance_Outputs_1!$B$301:$S$301</definedName>
    <definedName name="PO_Enrgy_14_Hdr" localSheetId="21">Performance_Outputs_Summary!$B$109:$R$109</definedName>
    <definedName name="PO_Enrgy_14_Index" localSheetId="20">Performance_Outputs_0!$B$302:$B$305</definedName>
    <definedName name="PO_Enrgy_14_Index" localSheetId="19">Performance_Outputs_1!$B$301:$B$304</definedName>
    <definedName name="PO_Enrgy_14_Index" localSheetId="21">Performance_Outputs_Summary!$B$109:$B$112</definedName>
    <definedName name="PO_Enrgy_14_Table" localSheetId="20">Performance_Outputs_0!$B$303:$S$305</definedName>
    <definedName name="PO_Enrgy_14_Table" localSheetId="19">Performance_Outputs_1!$B$302:$S$304</definedName>
    <definedName name="PO_Enrgy_14_Table" localSheetId="21">Performance_Outputs_Summary!$B$110:$S$112</definedName>
    <definedName name="PO_Enrgy_15_Hdr" localSheetId="20">Performance_Outputs_0!$B$312:$R$312</definedName>
    <definedName name="PO_Enrgy_15_Hdr" localSheetId="19">Performance_Outputs_1!$B$311:$R$311</definedName>
    <definedName name="PO_Enrgy_15_Index" localSheetId="20">Performance_Outputs_0!$B$312:$B$317</definedName>
    <definedName name="PO_Enrgy_15_Index" localSheetId="19">Performance_Outputs_1!$B$311:$B$316</definedName>
    <definedName name="PO_Enrgy_15_Table" localSheetId="20">Performance_Outputs_0!$B$315:$R$317</definedName>
    <definedName name="PO_Enrgy_15_Table" localSheetId="19">Performance_Outputs_1!$B$314:$R$316</definedName>
    <definedName name="PO_Enrgy_16_Hdr" localSheetId="20">Performance_Outputs_0!$B$323:$R$323</definedName>
    <definedName name="PO_Enrgy_16_Hdr" localSheetId="19">Performance_Outputs_1!$B$322:$R$322</definedName>
    <definedName name="PO_Enrgy_16_Hdr" localSheetId="21">Performance_Outputs_Summary!$B$118:$R$118</definedName>
    <definedName name="PO_Enrgy_16_Index" localSheetId="20">Performance_Outputs_0!$B$323:$R$326</definedName>
    <definedName name="PO_Enrgy_16_Index" localSheetId="19">Performance_Outputs_1!$B$322:$R$325</definedName>
    <definedName name="PO_Enrgy_16_Index" localSheetId="21">Performance_Outputs_Summary!$B$118:$R$121</definedName>
    <definedName name="PO_Enrgy_16_Table" localSheetId="20">Performance_Outputs_0!$B$324:$R$326</definedName>
    <definedName name="PO_Enrgy_16_Table" localSheetId="19">Performance_Outputs_1!$B$323:$R$325</definedName>
    <definedName name="PO_Enrgy_16_Table" localSheetId="21">Performance_Outputs_Summary!$B$119:$R$121</definedName>
    <definedName name="PO_Enrgy_2_Hdr" localSheetId="20">Performance_Outputs_0!$B$38:$R$38</definedName>
    <definedName name="PO_Enrgy_2_Hdr" localSheetId="19">Performance_Outputs_1!$B$37:$R$37</definedName>
    <definedName name="PO_Enrgy_2_Index" localSheetId="20">Performance_Outputs_0!$B$38:$B$41</definedName>
    <definedName name="PO_Enrgy_2_Index" localSheetId="19">Performance_Outputs_1!$B$37:$B$40</definedName>
    <definedName name="PO_Enrgy_2_Table" localSheetId="20">Performance_Outputs_0!$B$39:$R$41</definedName>
    <definedName name="PO_Enrgy_2_Table" localSheetId="19">Performance_Outputs_1!$B$38:$R$40</definedName>
    <definedName name="PO_Enrgy_3_Hdr" localSheetId="20">Performance_Outputs_0!$B$62:$R$62</definedName>
    <definedName name="PO_Enrgy_3_Hdr" localSheetId="19">Performance_Outputs_1!$B$61:$R$61</definedName>
    <definedName name="PO_Enrgy_3_Index" localSheetId="20">Performance_Outputs_0!$B$62:$B$65</definedName>
    <definedName name="PO_Enrgy_3_Index" localSheetId="19">Performance_Outputs_1!$B$61:$B$64</definedName>
    <definedName name="PO_Enrgy_3_Table" localSheetId="20">Performance_Outputs_0!$B$63:$R$65</definedName>
    <definedName name="PO_Enrgy_3_Table" localSheetId="19">Performance_Outputs_1!$B$62:$R$64</definedName>
    <definedName name="PO_Enrgy_4_Hdr" localSheetId="20">Performance_Outputs_0!$B$67:$R$67</definedName>
    <definedName name="PO_Enrgy_4_Hdr" localSheetId="19">Performance_Outputs_1!$B$66:$R$66</definedName>
    <definedName name="PO_Enrgy_4_Index" localSheetId="20">Performance_Outputs_0!$B$67:$B$70</definedName>
    <definedName name="PO_Enrgy_4_Index" localSheetId="19">Performance_Outputs_1!$B$66:$B$69</definedName>
    <definedName name="PO_Enrgy_4_Table" localSheetId="20">Performance_Outputs_0!$B$68:$R$70</definedName>
    <definedName name="PO_Enrgy_4_Table" localSheetId="19">Performance_Outputs_1!$B$67:$R$69</definedName>
    <definedName name="PO_Enrgy_5_Hdr" localSheetId="20">Performance_Outputs_0!$E$145:$R$145</definedName>
    <definedName name="PO_Enrgy_5_Hdr" localSheetId="19">Performance_Outputs_1!$E$144:$R$144</definedName>
    <definedName name="PO_Enrgy_5_Index" localSheetId="20">Performance_Outputs_0!$E$145:$E$148</definedName>
    <definedName name="PO_Enrgy_5_Index" localSheetId="19">Performance_Outputs_1!$E$144:$E$147</definedName>
    <definedName name="PO_Enrgy_5_Table" localSheetId="20">Performance_Outputs_0!$E$146:$R$148</definedName>
    <definedName name="PO_Enrgy_5_Table" localSheetId="19">Performance_Outputs_1!$E$145:$R$147</definedName>
    <definedName name="PO_Enrgy_6_Hdr" localSheetId="20">Performance_Outputs_0!$B$154:$R$154</definedName>
    <definedName name="PO_Enrgy_6_Hdr" localSheetId="19">Performance_Outputs_1!$B$153:$R$153</definedName>
    <definedName name="PO_Enrgy_6_Index" localSheetId="20">Performance_Outputs_0!$B$154:$B$157</definedName>
    <definedName name="PO_Enrgy_6_Index" localSheetId="19">Performance_Outputs_1!$B$153:$B$156</definedName>
    <definedName name="PO_Enrgy_6_Table" localSheetId="20">Performance_Outputs_0!$B$155:$R$157</definedName>
    <definedName name="PO_Enrgy_6_Table" localSheetId="19">Performance_Outputs_1!$B$154:$R$156</definedName>
    <definedName name="PO_Enrgy_7_Hdr" localSheetId="20">Performance_Outputs_0!$B$223:$R$223</definedName>
    <definedName name="PO_Enrgy_7_Hdr" localSheetId="19">Performance_Outputs_1!$B$222:$R$222</definedName>
    <definedName name="PO_Enrgy_7_Hdr" localSheetId="21">Performance_Outputs_Summary!$B$72:$R$72</definedName>
    <definedName name="PO_Enrgy_7_Index" localSheetId="20">Performance_Outputs_0!$B$223:$B$226</definedName>
    <definedName name="PO_Enrgy_7_Index" localSheetId="19">Performance_Outputs_1!$B$222:$B$225</definedName>
    <definedName name="PO_Enrgy_7_Index" localSheetId="21">Performance_Outputs_Summary!$B$72:$B$75</definedName>
    <definedName name="PO_Enrgy_7_Table" localSheetId="20">Performance_Outputs_0!$B$224:$R$226</definedName>
    <definedName name="PO_Enrgy_7_Table" localSheetId="19">Performance_Outputs_1!$B$223:$R$225</definedName>
    <definedName name="PO_Enrgy_7_Table" localSheetId="21">Performance_Outputs_Summary!$B$73:$R$75</definedName>
    <definedName name="PO_Enrgy_8_Hdr" localSheetId="20">Performance_Outputs_0!$B$232:$R$232</definedName>
    <definedName name="PO_Enrgy_8_Hdr" localSheetId="19">Performance_Outputs_1!$B$231:$R$231</definedName>
    <definedName name="PO_Enrgy_8_Hdr" localSheetId="21">Performance_Outputs_Summary!$B$81:$R$81</definedName>
    <definedName name="PO_Enrgy_8_Index" localSheetId="20">Performance_Outputs_0!$B$232:$B$235</definedName>
    <definedName name="PO_Enrgy_8_Index" localSheetId="19">Performance_Outputs_1!$B$231:$B$234</definedName>
    <definedName name="PO_Enrgy_8_Index" localSheetId="21">Performance_Outputs_Summary!$B$81:$B$84</definedName>
    <definedName name="PO_Enrgy_8_Table" localSheetId="20">Performance_Outputs_0!$B$233:$R$235</definedName>
    <definedName name="PO_Enrgy_8_Table" localSheetId="19">Performance_Outputs_1!$B$232:$R$234</definedName>
    <definedName name="PO_Enrgy_8_Table" localSheetId="21">Performance_Outputs_Summary!$B$82:$R$84</definedName>
    <definedName name="PO_Enrgy_9_Hdr" localSheetId="20">Performance_Outputs_0!$B$240:$R$240</definedName>
    <definedName name="PO_Enrgy_9_Hdr" localSheetId="19">Performance_Outputs_1!$B$239:$R$239</definedName>
    <definedName name="PO_Enrgy_9_Hdr" localSheetId="21">Performance_Outputs_Summary!$B$89:$R$89</definedName>
    <definedName name="PO_Enrgy_9_Index" localSheetId="20">Performance_Outputs_0!$B$240:$B$243</definedName>
    <definedName name="PO_Enrgy_9_Index" localSheetId="19">Performance_Outputs_1!$B$239:$B$242</definedName>
    <definedName name="PO_Enrgy_9_Index" localSheetId="21">Performance_Outputs_Summary!$B$89:$B$92</definedName>
    <definedName name="PO_Enrgy_9_Table" localSheetId="20">Performance_Outputs_0!$B$241:$R$243</definedName>
    <definedName name="PO_Enrgy_9_Table" localSheetId="19">Performance_Outputs_1!$B$240:$R$242</definedName>
    <definedName name="PO_Enrgy_9_Table" localSheetId="21">Performance_Outputs_Summary!$B$90:$R$92</definedName>
    <definedName name="PO_eQUESTOutputColumn" localSheetId="20">Performance_Outputs_0!$BF$95</definedName>
    <definedName name="PO_eQUESTOutputColumn" localSheetId="19">Performance_Outputs_1!$BF$94</definedName>
    <definedName name="PO_ExCalc_Hdr" localSheetId="20">Performance_Outputs_0!$B$56:$U$56</definedName>
    <definedName name="PO_ExCalc_Hdr" localSheetId="19">Performance_Outputs_1!$B$55:$U$55</definedName>
    <definedName name="PO_ExCalc_Table" localSheetId="20">Performance_Outputs_0!$B$57:$U$61</definedName>
    <definedName name="PO_ExCalc_Table" localSheetId="19">Performance_Outputs_1!$B$56:$U$60</definedName>
    <definedName name="PO_ExCalcOutputs" localSheetId="20">Performance_Outputs_0!$237:$245</definedName>
    <definedName name="PO_ExCalcOutputs" localSheetId="19">Performance_Outputs_1!$236:$244</definedName>
    <definedName name="PO_ExCalcOutputs" localSheetId="21">Performance_Outputs_Summary!$86:$93</definedName>
    <definedName name="PO_ExCalcSection" localSheetId="20">Performance_Outputs_0!$51:$74</definedName>
    <definedName name="PO_ExCalcSection" localSheetId="19">Performance_Outputs_1!$50:$73</definedName>
    <definedName name="PO_ExLBaseAnchor" localSheetId="20">Performance_Outputs_0!$B$99</definedName>
    <definedName name="PO_ExLBaseAnchor">Performance_Outputs_1!$B$98</definedName>
    <definedName name="PO_ModelID" localSheetId="20">Performance_Outputs_0!$H$5</definedName>
    <definedName name="PO_ModelID" localSheetId="19">Performance_Outputs_1!$H$5</definedName>
    <definedName name="PO_ModelID" localSheetId="21">Performance_Outputs_Summary!#REF!</definedName>
    <definedName name="PO_ModelSubtotal" localSheetId="20">Performance_Outputs_0!$227:$227</definedName>
    <definedName name="PO_ModelSubtotal" localSheetId="19">Performance_Outputs_1!$226:$226</definedName>
    <definedName name="PO_ModelSubtotal" localSheetId="21">Performance_Outputs_Summary!$76:$76</definedName>
    <definedName name="PO_ModelSubtotals" localSheetId="20">Performance_Outputs_0!$B$224:$AI$225</definedName>
    <definedName name="PO_ModelSubtotals" localSheetId="19">Performance_Outputs_1!$B$223:$AI$224</definedName>
    <definedName name="PO_ModelSubtotals" localSheetId="21">Performance_Outputs_Summary!$B$73:$AI$74</definedName>
    <definedName name="PO_Multiplier" localSheetId="20">Performance_Outputs_0!$Q$5</definedName>
    <definedName name="PO_Multiplier" localSheetId="19">Performance_Outputs_1!$Q$5</definedName>
    <definedName name="PO_PRM_Total_Section" localSheetId="20">Performance_Outputs_0!$320:$325</definedName>
    <definedName name="PO_PRM_Total_Section" localSheetId="19">Performance_Outputs_1!$319:$324</definedName>
    <definedName name="PO_PRM_Total_Section" localSheetId="21">Performance_Outputs_Summary!$115:$120</definedName>
    <definedName name="PO_QA_BaseExtLtgDem" localSheetId="19">Performance_Outputs_1!$C$347</definedName>
    <definedName name="PO_QA_DesignExtLtgDem" localSheetId="19">Performance_Outputs_1!$D$347</definedName>
    <definedName name="PO_QACheck" localSheetId="20">Performance_Outputs_0!$B$358:$M$388</definedName>
    <definedName name="PO_QACheck" localSheetId="19">Performance_Outputs_1!$B$359:$M$390</definedName>
    <definedName name="PO_qcrenewtablelookup" localSheetId="20">Performance_Outputs_0!$B$31:$B$34</definedName>
    <definedName name="PO_qcrenewtablelookup" localSheetId="19">Performance_Outputs_1!$B$31:$B$33</definedName>
    <definedName name="PO_QCvirtuallookup" localSheetId="20">Performance_Outputs_0!$B$232:$M$234</definedName>
    <definedName name="PO_QCvirtuallookup" localSheetId="19">Performance_Outputs_1!$B$231:$M$233</definedName>
    <definedName name="PO_QCvirtuallookup" localSheetId="21">Performance_Outputs_Summary!$B$81:$M$83</definedName>
    <definedName name="PO_QCvirtualratetable" localSheetId="20">Performance_Outputs_0!$B$230:$L$234</definedName>
    <definedName name="PO_QCvirtualratetable" localSheetId="19">Performance_Outputs_1!$B$229:$L$233</definedName>
    <definedName name="PO_QCvirtualratetable" localSheetId="21">Performance_Outputs_Summary!$B$79:$L$83</definedName>
    <definedName name="PO_renewable_hdr" localSheetId="20">Performance_Outputs_0!$B$32:$U$32</definedName>
    <definedName name="PO_renewable_hdr" localSheetId="19">Performance_Outputs_1!$B$32:$U$32</definedName>
    <definedName name="PO_renewable_Index" localSheetId="20">Performance_Outputs_0!$B$32:$B$34</definedName>
    <definedName name="PO_renewable_Index" localSheetId="19">Performance_Outputs_1!$B$32:$B$33</definedName>
    <definedName name="PO_renewable_table" localSheetId="20">Performance_Outputs_0!$B$33:$U$35</definedName>
    <definedName name="PO_renewable_table" localSheetId="19">Performance_Outputs_1!$B$33:$U$34</definedName>
    <definedName name="PO_RenewableEnergyTotal" localSheetId="20">Performance_Outputs_0!$B$39:$K$42</definedName>
    <definedName name="PO_RenewableEnergyTotal" localSheetId="19">Performance_Outputs_1!$B$38:$K$41</definedName>
    <definedName name="PO_RenewableOutputs" localSheetId="20">Performance_Outputs_0!$299:$307</definedName>
    <definedName name="PO_RenewableOutputs" localSheetId="19">Performance_Outputs_1!$298:$306</definedName>
    <definedName name="PO_RenewableOutputs" localSheetId="21">Performance_Outputs_Summary!$106:$114</definedName>
    <definedName name="PO_RenewableRange" localSheetId="20">Performance_Outputs_0!$28:$45</definedName>
    <definedName name="PO_RenewableRange" localSheetId="19">Performance_Outputs_1!$28:$44</definedName>
    <definedName name="PO_Retail_text1" localSheetId="20">Performance_Outputs_0!$93:$93</definedName>
    <definedName name="PO_Retail_text1" localSheetId="19">Performance_Outputs_1!$92:$92</definedName>
    <definedName name="PO_Retail_text2" localSheetId="20">Performance_Outputs_0!$167:$167</definedName>
    <definedName name="PO_Retail_text2" localSheetId="19">Performance_Outputs_1!$166:$166</definedName>
    <definedName name="PO_Section_Baseline" localSheetId="20">Performance_Outputs_0!$87:$159</definedName>
    <definedName name="PO_Section_Baseline" localSheetId="19">Performance_Outputs_1!$86:$158</definedName>
    <definedName name="PO_SectionExCalc" localSheetId="20">Performance_Outputs_0!$51:$74</definedName>
    <definedName name="PO_SectionExCalc" localSheetId="19">Performance_Outputs_1!$50:$73</definedName>
    <definedName name="PO_SectionUnmetLoads" localSheetId="20">Performance_Outputs_0!$330:$337</definedName>
    <definedName name="PO_SectionUnmetLoads" localSheetId="19">Performance_Outputs_1!$329:$336</definedName>
    <definedName name="PO_ShowExCalc" localSheetId="20">Performance_Outputs_0!$T$47</definedName>
    <definedName name="PO_ShowExCalc" localSheetId="19">Performance_Outputs_1!$T$46</definedName>
    <definedName name="PO_SiteRenewable" localSheetId="20">Performance_Outputs_0!$AD$26</definedName>
    <definedName name="PO_SiteRenewable" localSheetId="19">Performance_Outputs_1!$AD$26</definedName>
    <definedName name="PO_SiteUnits" localSheetId="20">Performance_Outputs_0!$L$20</definedName>
    <definedName name="PO_SiteUnits" localSheetId="19">Performance_Outputs_1!$L$20</definedName>
    <definedName name="PO_SiteUnits" localSheetId="21">Performance_Outputs_Summary!$L$13</definedName>
    <definedName name="PO_SourceUnits" localSheetId="20">Performance_Outputs_0!$L$21</definedName>
    <definedName name="PO_SourceUnits" localSheetId="19">Performance_Outputs_1!$L$21</definedName>
    <definedName name="PO_SourceUnits" localSheetId="21">Performance_Outputs_Summary!$L$14</definedName>
    <definedName name="PO_TableExceptionalCalc" localSheetId="20">Performance_Outputs_0!$C$57:$M$60</definedName>
    <definedName name="PO_TableExceptionalCalc" localSheetId="19">Performance_Outputs_1!$C$56:$M$59</definedName>
    <definedName name="PO_TableSiteRenewable" localSheetId="20">Performance_Outputs_0!$B$33:$U$34</definedName>
    <definedName name="PO_TableSiteRenewable" localSheetId="19">Performance_Outputs_1!$B$33:$U$33</definedName>
    <definedName name="PO_TraceOutputColumns" localSheetId="20">Performance_Outputs_0!$BG$95:$BI$95</definedName>
    <definedName name="PO_TraceOutputColumns" localSheetId="19">Performance_Outputs_1!$BG$94:$BI$94</definedName>
    <definedName name="PO_VirtualEnergyRate" localSheetId="20">Performance_Outputs_0!$E$233:$J$234</definedName>
    <definedName name="PO_VirtualEnergyRate" localSheetId="19">Performance_Outputs_1!$E$232:$J$233</definedName>
    <definedName name="PO_VR_hdr" localSheetId="20">Performance_Outputs_0!$B$232:$T$232</definedName>
    <definedName name="PO_VR_hdr" localSheetId="19">Performance_Outputs_1!$B$231:$U$231</definedName>
    <definedName name="PO_VR_table" localSheetId="20">Performance_Outputs_0!$B$233:$T$236</definedName>
    <definedName name="PO_VR_table" localSheetId="19">Performance_Outputs_1!$B$232:$U$235</definedName>
    <definedName name="_xlnm.Print_Area" localSheetId="20">Performance_Outputs_0!$B$4:$M$337</definedName>
    <definedName name="_xlnm.Print_Area" localSheetId="19">Performance_Outputs_1!$B$4:$M$336</definedName>
    <definedName name="_xlnm.Print_Area" localSheetId="21">Performance_Outputs_Summary!$B$4:$M$125</definedName>
    <definedName name="proj_RatingSystem">'General Information'!$I$10</definedName>
    <definedName name="ProjectEnergyTypes2">DropdownData!$B$102:$B$106</definedName>
    <definedName name="ProjectEnergyTypeTable2">DropdownData!$B$102:$D$106</definedName>
    <definedName name="ProjectPhaseCompleteness">Instructions!$I$82:$I$85</definedName>
    <definedName name="ProposedAnchor">'Air-Side HVAC'!$AT:$AT</definedName>
    <definedName name="ProposedHVACModeled">'General HVAC'!$C$20:$C$22</definedName>
    <definedName name="QA_Check" localSheetId="20">Performance_Outputs_0!$B$392:$M$394</definedName>
    <definedName name="QA_Check" localSheetId="19">Performance_Outputs_1!$393:$395</definedName>
    <definedName name="QA_Check" localSheetId="21">Performance_Outputs_Summary!$125:$135</definedName>
    <definedName name="QCConsumptionConvert">DropdownData!$CO$3:$CP$9</definedName>
    <definedName name="QCDemandConvert">DropdownData!$CO$11:$CP$18</definedName>
    <definedName name="QCEnSaveRank" localSheetId="20">Performance_Outputs_0!$AC$171:$AD$218</definedName>
    <definedName name="QCEnSaveRank" localSheetId="21">Performance_Outputs_Summary!$AC$20:$AD$67</definedName>
    <definedName name="QCEnSaveRank">Performance_Outputs_1!$AC$170:$AD$217</definedName>
    <definedName name="qcExCalcbasediff" localSheetId="20">Performance_Outputs_0!$AM$241:$AM$242</definedName>
    <definedName name="qcExCalcbasediff" localSheetId="19">Performance_Outputs_1!$AM$240:$AM$241</definedName>
    <definedName name="qcExCalcbasediff" localSheetId="21">Performance_Outputs_Summary!$AM$90:$AM$91</definedName>
    <definedName name="qcExCalcbasediff2" localSheetId="20">Performance_Outputs_0!$AN$241:$AN$242</definedName>
    <definedName name="qcExCalcbasediff2" localSheetId="21">Performance_Outputs_Summary!$AN$90:$AN$91</definedName>
    <definedName name="qcExCalcbasediff2">Performance_Outputs_1!$AN$240:$AN$241</definedName>
    <definedName name="qcExLPerfAnchor" localSheetId="20">Performance_Outputs_0!$B$173</definedName>
    <definedName name="qcExLPerfAnchor" localSheetId="21">Performance_Outputs_Summary!$B$22</definedName>
    <definedName name="qcExLPerfAnchor">Performance_Outputs_1!$B$172</definedName>
    <definedName name="qcnontrade">Lighting!$Y$150:$Y$155</definedName>
    <definedName name="Qty_Bedrooms">'Multifamily Details'!$U$14</definedName>
    <definedName name="Qty_Res_Units">'Multifamily Details'!$U$13</definedName>
    <definedName name="RatingSystem">Instructions!$I$67:$I$79</definedName>
    <definedName name="RatingSystem_IDC">'General Information'!$I$65</definedName>
    <definedName name="RatingSystemSelection">'General Information'!$E$10</definedName>
    <definedName name="rbOutputReporting">DropdownData!$CB$2</definedName>
    <definedName name="RenewableSource">DropdownData!$AN$2:$AN$14</definedName>
    <definedName name="Res_Usage_Profile_Table">'Multifamily Details'!$B$81:$U$83</definedName>
    <definedName name="ResDwellingUnitsExist">'General Information'!$F$29</definedName>
    <definedName name="RNvsVIRTqcCheck" localSheetId="20">Performance_Outputs_0!$AP$303:$AP$304</definedName>
    <definedName name="RNvsVIRTqcCheck" localSheetId="21">Performance_Outputs_Summary!$AP$110:$AP$111</definedName>
    <definedName name="RNvsVIRTqcCheck">Performance_Outputs_1!$AP$302:$AP$303</definedName>
    <definedName name="S_ResDwellingSchedule">Schedules!$12:$12</definedName>
    <definedName name="S_S_TotalPoints">Summary!$20:$20</definedName>
    <definedName name="S_Sched_Hdr">Schedules!$B$11:$R$11</definedName>
    <definedName name="S_Sched_Index">Schedules!$B$11:$B$20</definedName>
    <definedName name="S_Sched_Table">Schedules!$B$11:$R$20</definedName>
    <definedName name="SbSanchor">Lighting!$58:$58</definedName>
    <definedName name="SbSequipTable">'Process Loads'!$35:$59</definedName>
    <definedName name="SelectedSxS">Lighting!$C$56:$C$76</definedName>
    <definedName name="SF_BMZ_Table">'Shading and Fenestration'!$16:$31</definedName>
    <definedName name="SF_qc40BaseFenestration">'Shading and Fenestration'!$Q$33</definedName>
    <definedName name="SF_qcVerticalGlazingDiff">'Shading and Fenestration'!$P$33</definedName>
    <definedName name="SF_S_hdr">'Shading and Fenestration'!$B$53:$S$53</definedName>
    <definedName name="SF_S_Index">'Shading and Fenestration'!$B$53:$B$54</definedName>
    <definedName name="SF_S_table">'Shading and Fenestration'!$B$54:$S$55</definedName>
    <definedName name="SF_VG_hdr">'Shading and Fenestration'!$B$44:$S$44</definedName>
    <definedName name="SF_VG_Index">'Shading and Fenestration'!$B$44:$B$46</definedName>
    <definedName name="SF_VG_table">'Shading and Fenestration'!$B$45:$S$47</definedName>
    <definedName name="SI_IP_Units">'General Information'!$I$12</definedName>
    <definedName name="SimProgram">DropdownData!$AQ$2:$AQ$8</definedName>
    <definedName name="SimTool">'General Information'!$C$42</definedName>
    <definedName name="SimulationProgram">DropdownData!$AQ$2:$AQ$8</definedName>
    <definedName name="SkyLightDescs">'Envelope Assumptions'!$AY$2:$BJ$2</definedName>
    <definedName name="SpaceConditioningCategory">OFFSET('[1]Envelope Lookup'!$BT$2,0,0,COUNTIF('[1]Envelope Lookup'!$BT$2:$BT$5,"&gt;*"),1)</definedName>
    <definedName name="SWH_Fixture_Hdr">'Service Water Heating'!$B$71:$AA$71</definedName>
    <definedName name="SWH_Fixture_Index">'Service Water Heating'!$B$71:$B$76</definedName>
    <definedName name="SWH_Fixture_Table">'Service Water Heating'!$B$71:$AA$76</definedName>
    <definedName name="SWH_Flow_Hdr">'Service Water Heating'!$B$80:$M$80</definedName>
    <definedName name="SWH_Flow_Index">'Service Water Heating'!$B$80:$B$81</definedName>
    <definedName name="SWH_Flow_Table">'Service Water Heating'!$B$80:$M$81</definedName>
    <definedName name="SWH_Heater_Hdr">'Service Water Heating'!$B$10:$M$10</definedName>
    <definedName name="SWH_Heater_Rows">'Service Water Heating'!$11:$22</definedName>
    <definedName name="SWH_Heater_Table">'Service Water Heating'!$B$8:$M$22</definedName>
    <definedName name="SxSCategories">'Lighting Assumptions'!$D$3:$D$96</definedName>
    <definedName name="tableBAM">Lighting!$26:$39</definedName>
    <definedName name="tablesSxS">Lighting!$45:$79,Lighting!$84:$101</definedName>
    <definedName name="tableSxS">Lighting!$45:$105</definedName>
    <definedName name="TemplateBaseline">'Air-Side HVAC'!$BH:$BH</definedName>
    <definedName name="TemplateProposed">'Air-Side HVAC'!$BI:$BI</definedName>
    <definedName name="ThermalTable">DropdownData!$B$12:$C$14</definedName>
    <definedName name="ThermalTypes">DropdownData!$B$12:$B$14</definedName>
    <definedName name="TradableSurfaces">'Lighting Assumptions'!$I$4:$I$17</definedName>
    <definedName name="UfactorMethod" localSheetId="8">'Shading and Fenestration'!$H$64:$H$69</definedName>
    <definedName name="UtilityRateStructure">DropdownData!$S$2:$S$14</definedName>
    <definedName name="VertGlazeDescs">'Envelope Assumptions'!$AT$2:$AW$2</definedName>
    <definedName name="WSHVAC_Base_System">'Water-Side HVAC'!$G:$G</definedName>
    <definedName name="WSHVAC_Proposed_System">'Water-Side HVAC'!$J:$J</definedName>
    <definedName name="Z_75D6F8CE_A4F4_4FDD_BA92_7996F9E19FA9_.wvu.Cols" localSheetId="15" hidden="1">'Air-Side HVAC'!$BH:$BI</definedName>
    <definedName name="Z_75D6F8CE_A4F4_4FDD_BA92_7996F9E19FA9_.wvu.Rows" localSheetId="14" hidden="1">'General HVAC'!$20:$20,'General HVAC'!$29:$29</definedName>
    <definedName name="Z_75D6F8CE_A4F4_4FDD_BA92_7996F9E19FA9_.wvu.Rows" localSheetId="2" hidden="1">'General Information'!$38:$40</definedName>
    <definedName name="Z_75D6F8CE_A4F4_4FDD_BA92_7996F9E19FA9_.wvu.Rows" localSheetId="10" hidden="1">Lighting!$26:$44,Lighting!$56:$56,Lighting!$58:$58,Lighting!$90:$90,Lighting!$138:$138</definedName>
    <definedName name="Z_75D6F8CE_A4F4_4FDD_BA92_7996F9E19FA9_.wvu.Rows" localSheetId="6" hidden="1">'Multifamily Details'!$32:$32,'Multifamily Details'!$59:$59</definedName>
    <definedName name="Z_75D6F8CE_A4F4_4FDD_BA92_7996F9E19FA9_.wvu.Rows" localSheetId="3" hidden="1">'Multiple Buildings Details'!$16:$16,'Multiple Buildings Details'!#REF!,'Multiple Buildings Details'!$23:$23</definedName>
    <definedName name="Z_75D6F8CE_A4F4_4FDD_BA92_7996F9E19FA9_.wvu.Rows" localSheetId="7" hidden="1">'Opaque Assemblies'!$43:$43,'Opaque Assemblies'!$52:$52,'Opaque Assemblies'!$61:$61,'Opaque Assemblies'!$69:$69,'Opaque Assemblies'!$78:$78</definedName>
    <definedName name="Z_75D6F8CE_A4F4_4FDD_BA92_7996F9E19FA9_.wvu.Rows" localSheetId="12" hidden="1">'Process Loads'!$23:$23,'Process Loads'!$40:$40,'Process Loads'!$61:$67,'Process Loads'!$75:$75,'Process Loads'!$85:$85</definedName>
    <definedName name="Z_75D6F8CE_A4F4_4FDD_BA92_7996F9E19FA9_.wvu.Rows" localSheetId="13" hidden="1">'Service Water Heating'!$72:$72</definedName>
    <definedName name="Z_75D6F8CE_A4F4_4FDD_BA92_7996F9E19FA9_.wvu.Rows" localSheetId="8" hidden="1">'Shading and Fenestration'!$32:$35,'Shading and Fenestration'!$45:$45,'Shading and Fenestration'!$54:$54,'Shading and Fenestration'!$63:$70</definedName>
    <definedName name="Zone">'Lighting Assumptions'!$V$3:$V$7</definedName>
    <definedName name="ZoneTable">'Lighting Assumptions'!$I$1:$T$17</definedName>
  </definedNames>
  <calcPr calcId="191029"/>
  <customWorkbookViews>
    <customWorkbookView name="Luke McGuire - Personal View" guid="{75D6F8CE-A4F4-4FDD-BA92-7996F9E19FA9}" mergeInterval="0" personalView="1" maximized="1" xWindow="103" yWindow="-8" windowWidth="1345" windowHeight="916" tabRatio="916"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3" i="16" l="1"/>
  <c r="B73" i="13" l="1"/>
  <c r="I73" i="13"/>
  <c r="M73" i="13"/>
  <c r="O73" i="13"/>
  <c r="K28" i="13"/>
  <c r="K26" i="13"/>
  <c r="K38" i="13"/>
  <c r="K16" i="13"/>
  <c r="K14" i="13"/>
  <c r="K40" i="13"/>
  <c r="B30" i="13"/>
  <c r="B29" i="13"/>
  <c r="B28" i="13"/>
  <c r="B26" i="13"/>
  <c r="B42" i="13"/>
  <c r="B41" i="13"/>
  <c r="B40" i="13"/>
  <c r="B38" i="13"/>
  <c r="K52" i="13"/>
  <c r="K50" i="13"/>
  <c r="B54" i="13"/>
  <c r="B53" i="13"/>
  <c r="B52" i="13"/>
  <c r="B50" i="13"/>
  <c r="AC32" i="15" l="1"/>
  <c r="AB32" i="15"/>
  <c r="AC21" i="15"/>
  <c r="AB21" i="15"/>
  <c r="AS35" i="15"/>
  <c r="AS31" i="15"/>
  <c r="AR35" i="15"/>
  <c r="AR31" i="15"/>
  <c r="AQ35" i="15"/>
  <c r="AQ31" i="15"/>
  <c r="AP35" i="15"/>
  <c r="AP31" i="15"/>
  <c r="AO35" i="15"/>
  <c r="AO31" i="15"/>
  <c r="AN35" i="15"/>
  <c r="AN31" i="15"/>
  <c r="AM35" i="15"/>
  <c r="AM31" i="15"/>
  <c r="AL35" i="15"/>
  <c r="AL31" i="15"/>
  <c r="AK35" i="15"/>
  <c r="AK31" i="15"/>
  <c r="AJ35" i="15"/>
  <c r="AJ31" i="15"/>
  <c r="AI35" i="15"/>
  <c r="AI31" i="15"/>
  <c r="AH35" i="15"/>
  <c r="AH31" i="15"/>
  <c r="AG35" i="15"/>
  <c r="AG31" i="15"/>
  <c r="AF35" i="15"/>
  <c r="AF31" i="15"/>
  <c r="AE35" i="15"/>
  <c r="AE31" i="15"/>
  <c r="AD35" i="15"/>
  <c r="AD31" i="15"/>
  <c r="AC35" i="15"/>
  <c r="AC31" i="15"/>
  <c r="AB35" i="15"/>
  <c r="AB31" i="15"/>
  <c r="AA35" i="15"/>
  <c r="AA31" i="15"/>
  <c r="Z35" i="15"/>
  <c r="Z31" i="15"/>
  <c r="Y35" i="15"/>
  <c r="Y31" i="15"/>
  <c r="X35" i="15"/>
  <c r="X31" i="15"/>
  <c r="W35" i="15"/>
  <c r="W31" i="15"/>
  <c r="V35" i="15"/>
  <c r="V31" i="15"/>
  <c r="S68" i="15" l="1"/>
  <c r="S63" i="15"/>
  <c r="S61" i="15"/>
  <c r="S47" i="15"/>
  <c r="S45" i="15"/>
  <c r="S41" i="15"/>
  <c r="S36" i="15"/>
  <c r="S35" i="15"/>
  <c r="S31" i="15"/>
  <c r="R68" i="15"/>
  <c r="R63" i="15"/>
  <c r="R61" i="15"/>
  <c r="R47" i="15"/>
  <c r="R45" i="15"/>
  <c r="R41" i="15"/>
  <c r="R36" i="15"/>
  <c r="R35" i="15"/>
  <c r="R31" i="15"/>
  <c r="Q68" i="15"/>
  <c r="Q63" i="15"/>
  <c r="Q61" i="15"/>
  <c r="Q47" i="15"/>
  <c r="Q45" i="15"/>
  <c r="Q41" i="15"/>
  <c r="Q35" i="15"/>
  <c r="Q31" i="15"/>
  <c r="P68" i="15"/>
  <c r="P63" i="15"/>
  <c r="P61" i="15"/>
  <c r="P47" i="15"/>
  <c r="P45" i="15"/>
  <c r="P41" i="15"/>
  <c r="P35" i="15"/>
  <c r="P31" i="15"/>
  <c r="O68" i="15"/>
  <c r="O63" i="15"/>
  <c r="O61" i="15"/>
  <c r="O47" i="15"/>
  <c r="O45" i="15"/>
  <c r="O41" i="15"/>
  <c r="O35" i="15"/>
  <c r="O31" i="15"/>
  <c r="N68" i="15"/>
  <c r="N63" i="15"/>
  <c r="N61" i="15"/>
  <c r="N47" i="15"/>
  <c r="N45" i="15"/>
  <c r="N41" i="15"/>
  <c r="N35" i="15"/>
  <c r="N31" i="15"/>
  <c r="M68" i="15"/>
  <c r="M63" i="15"/>
  <c r="M61" i="15"/>
  <c r="M47" i="15"/>
  <c r="M45" i="15"/>
  <c r="M41" i="15"/>
  <c r="M35" i="15"/>
  <c r="M31" i="15"/>
  <c r="L68" i="15"/>
  <c r="L63" i="15"/>
  <c r="L61" i="15"/>
  <c r="L47" i="15"/>
  <c r="L45" i="15"/>
  <c r="L41" i="15"/>
  <c r="L35" i="15"/>
  <c r="L31" i="15"/>
  <c r="B41" i="12"/>
  <c r="L41" i="12"/>
  <c r="B42" i="12"/>
  <c r="L42" i="12"/>
  <c r="B43" i="12"/>
  <c r="L43" i="12"/>
  <c r="B44" i="12"/>
  <c r="L44" i="12"/>
  <c r="B45" i="12"/>
  <c r="L45" i="12"/>
  <c r="B46" i="12"/>
  <c r="L46" i="12"/>
  <c r="B47" i="12"/>
  <c r="L47" i="12"/>
  <c r="B48" i="12"/>
  <c r="L48" i="12"/>
  <c r="B59" i="10"/>
  <c r="F59" i="10"/>
  <c r="L59" i="10" s="1"/>
  <c r="K59" i="10"/>
  <c r="Q59" i="10"/>
  <c r="B60" i="10"/>
  <c r="F60" i="10"/>
  <c r="K60" i="10"/>
  <c r="L60" i="10"/>
  <c r="Q60" i="10"/>
  <c r="B61" i="10"/>
  <c r="F61" i="10"/>
  <c r="L61" i="10" s="1"/>
  <c r="K61" i="10"/>
  <c r="Q61" i="10"/>
  <c r="B62" i="10"/>
  <c r="F62" i="10"/>
  <c r="K62" i="10"/>
  <c r="L62" i="10"/>
  <c r="Q62" i="10"/>
  <c r="B63" i="10"/>
  <c r="F63" i="10"/>
  <c r="L63" i="10" s="1"/>
  <c r="K63" i="10"/>
  <c r="Q63" i="10"/>
  <c r="B64" i="10"/>
  <c r="F64" i="10"/>
  <c r="L64" i="10" s="1"/>
  <c r="K64" i="10"/>
  <c r="Q64" i="10"/>
  <c r="B65" i="10"/>
  <c r="F65" i="10"/>
  <c r="K65" i="10"/>
  <c r="L65" i="10"/>
  <c r="Q65" i="10"/>
  <c r="B66" i="10"/>
  <c r="F66" i="10"/>
  <c r="K66" i="10"/>
  <c r="L66" i="10"/>
  <c r="Q66" i="10"/>
  <c r="B67" i="10"/>
  <c r="F67" i="10"/>
  <c r="K67" i="10"/>
  <c r="L67" i="10"/>
  <c r="Q67" i="10"/>
  <c r="B68" i="10"/>
  <c r="F68" i="10"/>
  <c r="L68" i="10" s="1"/>
  <c r="K68" i="10"/>
  <c r="Q68" i="10"/>
  <c r="B69" i="10"/>
  <c r="F69" i="10"/>
  <c r="L69" i="10" s="1"/>
  <c r="K69" i="10"/>
  <c r="Q69" i="10"/>
  <c r="B70" i="10"/>
  <c r="F70" i="10"/>
  <c r="K70" i="10"/>
  <c r="L70" i="10"/>
  <c r="Q70" i="10"/>
  <c r="B71" i="10"/>
  <c r="F71" i="10"/>
  <c r="K71" i="10"/>
  <c r="L71" i="10"/>
  <c r="Q71" i="10"/>
  <c r="B72" i="10"/>
  <c r="F72" i="10"/>
  <c r="L72" i="10" s="1"/>
  <c r="K72" i="10"/>
  <c r="Q72" i="10"/>
  <c r="M74" i="13"/>
  <c r="M75" i="13"/>
  <c r="M76" i="13"/>
  <c r="M72" i="13"/>
  <c r="I74" i="13"/>
  <c r="I75" i="13"/>
  <c r="I76" i="13"/>
  <c r="I72" i="13"/>
  <c r="R66" i="15" l="1"/>
  <c r="S66" i="15"/>
  <c r="Q66" i="15"/>
  <c r="Q36" i="15" s="1"/>
  <c r="P66" i="15"/>
  <c r="P36" i="15" s="1"/>
  <c r="O66" i="15"/>
  <c r="O36" i="15" s="1"/>
  <c r="N66" i="15"/>
  <c r="N36" i="15" s="1"/>
  <c r="M66" i="15"/>
  <c r="M36" i="15" s="1"/>
  <c r="L66" i="15"/>
  <c r="L36" i="15" s="1"/>
  <c r="D357" i="22" l="1"/>
  <c r="C357" i="22"/>
  <c r="BJ12" i="31" l="1"/>
  <c r="BB12" i="31"/>
  <c r="X12" i="31"/>
  <c r="B32" i="14" l="1"/>
  <c r="B31" i="14"/>
  <c r="B30" i="14"/>
  <c r="B29" i="14"/>
  <c r="B22" i="14"/>
  <c r="B21" i="14"/>
  <c r="B20" i="14"/>
  <c r="B76" i="13"/>
  <c r="B75" i="13"/>
  <c r="B74" i="13"/>
  <c r="B72" i="13"/>
  <c r="B86" i="12"/>
  <c r="B85" i="12"/>
  <c r="B77" i="12"/>
  <c r="B76" i="12"/>
  <c r="B75" i="12"/>
  <c r="B54" i="12"/>
  <c r="B53" i="12"/>
  <c r="B52" i="12"/>
  <c r="B51" i="12"/>
  <c r="B50" i="12"/>
  <c r="B49" i="12"/>
  <c r="B40" i="12"/>
  <c r="B28" i="12"/>
  <c r="B27" i="12"/>
  <c r="B26" i="12"/>
  <c r="B25" i="12"/>
  <c r="B24" i="12"/>
  <c r="B23" i="12"/>
  <c r="B120" i="10"/>
  <c r="B119" i="10"/>
  <c r="B118" i="10"/>
  <c r="B95" i="10"/>
  <c r="B94" i="10"/>
  <c r="B93" i="10"/>
  <c r="B92" i="10"/>
  <c r="B91" i="10"/>
  <c r="B90" i="10"/>
  <c r="B76" i="10"/>
  <c r="B75" i="10"/>
  <c r="B74" i="10"/>
  <c r="B73" i="10"/>
  <c r="B58" i="10"/>
  <c r="B35" i="10"/>
  <c r="B34" i="10"/>
  <c r="B33" i="10"/>
  <c r="B54" i="8"/>
  <c r="B46" i="8"/>
  <c r="B45" i="8"/>
  <c r="B78" i="7"/>
  <c r="B70" i="7"/>
  <c r="B69" i="7"/>
  <c r="B61" i="7"/>
  <c r="B53" i="7"/>
  <c r="B52" i="7"/>
  <c r="B44" i="7"/>
  <c r="B43" i="7"/>
  <c r="B35" i="7"/>
  <c r="B34" i="7"/>
  <c r="B20" i="5"/>
  <c r="B19" i="5"/>
  <c r="B18" i="5"/>
  <c r="B17" i="5"/>
  <c r="B16" i="5"/>
  <c r="B15" i="5"/>
  <c r="B62" i="4"/>
  <c r="B61" i="4"/>
  <c r="B60" i="4"/>
  <c r="B59" i="4"/>
  <c r="B35" i="4"/>
  <c r="B34" i="4"/>
  <c r="B33" i="4"/>
  <c r="B32" i="4"/>
  <c r="B24" i="3"/>
  <c r="B17" i="3" s="1"/>
  <c r="H33" i="3"/>
  <c r="G33" i="3"/>
  <c r="I10" i="2" l="1"/>
  <c r="B5" i="5"/>
  <c r="O74" i="13"/>
  <c r="O72" i="13"/>
  <c r="O75" i="13"/>
  <c r="O76" i="13"/>
  <c r="Q45" i="8"/>
  <c r="H45" i="8" s="1"/>
  <c r="BI175" i="26"/>
  <c r="BI177" i="26"/>
  <c r="BI204" i="26"/>
  <c r="BI171" i="26"/>
  <c r="BG224" i="26"/>
  <c r="BH224" i="26"/>
  <c r="BF224" i="26"/>
  <c r="BG223" i="26"/>
  <c r="BH223" i="26"/>
  <c r="BF223" i="26"/>
  <c r="BG222" i="26"/>
  <c r="BH222" i="26"/>
  <c r="BI222" i="26" s="1"/>
  <c r="BF222" i="26"/>
  <c r="BG221" i="26"/>
  <c r="BI221" i="26" s="1"/>
  <c r="BH221" i="26"/>
  <c r="BF221" i="26"/>
  <c r="BG220" i="26"/>
  <c r="BI220" i="26" s="1"/>
  <c r="BH220" i="26"/>
  <c r="BF220" i="26"/>
  <c r="BG219" i="26"/>
  <c r="BH219" i="26"/>
  <c r="BF219" i="26"/>
  <c r="BG218" i="26"/>
  <c r="BH218" i="26"/>
  <c r="BF218" i="26"/>
  <c r="BG217" i="26"/>
  <c r="BH217" i="26"/>
  <c r="BF217" i="26"/>
  <c r="BG216" i="26"/>
  <c r="BH216" i="26"/>
  <c r="BF216" i="26"/>
  <c r="BG215" i="26"/>
  <c r="BH215" i="26"/>
  <c r="BF215" i="26"/>
  <c r="BG214" i="26"/>
  <c r="BH214" i="26"/>
  <c r="BF214" i="26"/>
  <c r="BG213" i="26"/>
  <c r="BI213" i="26" s="1"/>
  <c r="BH213" i="26"/>
  <c r="BF213" i="26"/>
  <c r="BG212" i="26"/>
  <c r="BI212" i="26" s="1"/>
  <c r="BH212" i="26"/>
  <c r="BF212" i="26"/>
  <c r="BG211" i="26"/>
  <c r="BH211" i="26"/>
  <c r="BF211" i="26"/>
  <c r="BG210" i="26"/>
  <c r="BH210" i="26"/>
  <c r="BF210" i="26"/>
  <c r="BG209" i="26"/>
  <c r="BH209" i="26"/>
  <c r="BF209" i="26"/>
  <c r="BG208" i="26"/>
  <c r="BH208" i="26"/>
  <c r="BF208" i="26"/>
  <c r="BG207" i="26"/>
  <c r="BH207" i="26"/>
  <c r="BF207" i="26"/>
  <c r="BG206" i="26"/>
  <c r="BI206" i="26" s="1"/>
  <c r="BH206" i="26"/>
  <c r="BF206" i="26"/>
  <c r="BG205" i="26"/>
  <c r="BI205" i="26" s="1"/>
  <c r="BH205" i="26"/>
  <c r="BF205" i="26"/>
  <c r="BG204" i="26"/>
  <c r="BH204" i="26"/>
  <c r="BF204" i="26"/>
  <c r="BG203" i="26"/>
  <c r="BH203" i="26"/>
  <c r="BF203" i="26"/>
  <c r="BG202" i="26"/>
  <c r="BH202" i="26"/>
  <c r="BF202" i="26"/>
  <c r="BG201" i="26"/>
  <c r="BH201" i="26"/>
  <c r="BI201" i="26" s="1"/>
  <c r="BF201" i="26"/>
  <c r="BG200" i="26"/>
  <c r="BH200" i="26"/>
  <c r="BF200" i="26"/>
  <c r="BG199" i="26"/>
  <c r="BH199" i="26"/>
  <c r="BF199" i="26"/>
  <c r="BG198" i="26"/>
  <c r="BH198" i="26"/>
  <c r="BF198" i="26"/>
  <c r="BG197" i="26"/>
  <c r="BH197" i="26"/>
  <c r="BF197" i="26"/>
  <c r="BG196" i="26"/>
  <c r="BH196" i="26"/>
  <c r="BF196" i="26"/>
  <c r="BG195" i="26"/>
  <c r="BH195" i="26"/>
  <c r="BF195" i="26"/>
  <c r="BG194" i="26"/>
  <c r="BH194" i="26"/>
  <c r="BF194" i="26"/>
  <c r="BG193" i="26"/>
  <c r="BH193" i="26"/>
  <c r="BF193" i="26"/>
  <c r="BG192" i="26"/>
  <c r="BH192" i="26"/>
  <c r="BF192" i="26"/>
  <c r="BG191" i="26"/>
  <c r="BH191" i="26"/>
  <c r="BF191" i="26"/>
  <c r="BG190" i="26"/>
  <c r="BH190" i="26"/>
  <c r="BF190" i="26"/>
  <c r="BG189" i="26"/>
  <c r="BH189" i="26"/>
  <c r="BF189" i="26"/>
  <c r="BG188" i="26"/>
  <c r="BH188" i="26"/>
  <c r="BF188" i="26"/>
  <c r="BG187" i="26"/>
  <c r="BH187" i="26"/>
  <c r="BF187" i="26"/>
  <c r="BG186" i="26"/>
  <c r="BH186" i="26"/>
  <c r="BF186" i="26"/>
  <c r="BG185" i="26"/>
  <c r="BH185" i="26"/>
  <c r="BF185" i="26"/>
  <c r="BG184" i="26"/>
  <c r="BH184" i="26"/>
  <c r="BF184" i="26"/>
  <c r="BG183" i="26"/>
  <c r="BH183" i="26"/>
  <c r="BF183" i="26"/>
  <c r="BG182" i="26"/>
  <c r="BH182" i="26"/>
  <c r="BF182" i="26"/>
  <c r="BG181" i="26"/>
  <c r="BH181" i="26"/>
  <c r="BF181" i="26"/>
  <c r="BG180" i="26"/>
  <c r="BH180" i="26"/>
  <c r="BF180" i="26"/>
  <c r="BG179" i="26"/>
  <c r="BH179" i="26"/>
  <c r="BF179" i="26"/>
  <c r="BG178" i="26"/>
  <c r="BH178" i="26"/>
  <c r="BF178" i="26"/>
  <c r="BG177" i="26"/>
  <c r="BH177" i="26"/>
  <c r="BF177" i="26"/>
  <c r="BG176" i="26"/>
  <c r="BH176" i="26"/>
  <c r="BF176" i="26"/>
  <c r="BG175" i="26"/>
  <c r="BH175" i="26"/>
  <c r="BF175" i="26"/>
  <c r="BG174" i="26"/>
  <c r="BH174" i="26"/>
  <c r="BF174" i="26"/>
  <c r="BG173" i="26"/>
  <c r="BH173" i="26"/>
  <c r="BF173" i="26"/>
  <c r="BG172" i="26"/>
  <c r="BI172" i="26" s="1"/>
  <c r="BH172" i="26"/>
  <c r="BF172" i="26"/>
  <c r="BG171" i="26"/>
  <c r="BH171" i="26"/>
  <c r="BF171" i="26"/>
  <c r="BG223" i="22"/>
  <c r="BH223" i="22"/>
  <c r="BF223" i="22"/>
  <c r="BG222" i="22"/>
  <c r="BH222" i="22"/>
  <c r="BF222" i="22"/>
  <c r="BG221" i="22"/>
  <c r="BH221" i="22"/>
  <c r="BF221" i="22"/>
  <c r="BG220" i="22"/>
  <c r="BH220" i="22"/>
  <c r="BF220" i="22"/>
  <c r="BG219" i="22"/>
  <c r="BH219" i="22"/>
  <c r="BF219" i="22"/>
  <c r="BG218" i="22"/>
  <c r="BH218" i="22"/>
  <c r="BF218" i="22"/>
  <c r="BG217" i="22"/>
  <c r="BH217" i="22"/>
  <c r="BF217" i="22"/>
  <c r="BG216" i="22"/>
  <c r="BH216" i="22"/>
  <c r="BF216" i="22"/>
  <c r="BG215" i="22"/>
  <c r="BH215" i="22"/>
  <c r="BF215" i="22"/>
  <c r="BG214" i="22"/>
  <c r="BH214" i="22"/>
  <c r="BF214" i="22"/>
  <c r="BG213" i="22"/>
  <c r="BH213" i="22"/>
  <c r="BF213" i="22"/>
  <c r="BG212" i="22"/>
  <c r="BH212" i="22"/>
  <c r="BF212" i="22"/>
  <c r="BG211" i="22"/>
  <c r="BH211" i="22"/>
  <c r="BF211" i="22"/>
  <c r="BG210" i="22"/>
  <c r="BH210" i="22"/>
  <c r="BF210" i="22"/>
  <c r="BG209" i="22"/>
  <c r="BH209" i="22"/>
  <c r="BF209" i="22"/>
  <c r="BG208" i="22"/>
  <c r="BH208" i="22"/>
  <c r="BF208" i="22"/>
  <c r="BG207" i="22"/>
  <c r="BH207" i="22"/>
  <c r="BI207" i="22" s="1"/>
  <c r="BF207" i="22"/>
  <c r="BG206" i="22"/>
  <c r="BH206" i="22"/>
  <c r="BF206" i="22"/>
  <c r="BG205" i="22"/>
  <c r="BH205" i="22"/>
  <c r="BF205" i="22"/>
  <c r="BG204" i="22"/>
  <c r="BH204" i="22"/>
  <c r="BF204" i="22"/>
  <c r="BG203" i="22"/>
  <c r="BH203" i="22"/>
  <c r="BF203" i="22"/>
  <c r="BG202" i="22"/>
  <c r="BH202" i="22"/>
  <c r="BF202" i="22"/>
  <c r="BG201" i="22"/>
  <c r="BH201" i="22"/>
  <c r="BF201" i="22"/>
  <c r="BG200" i="22"/>
  <c r="BH200" i="22"/>
  <c r="BF200" i="22"/>
  <c r="BG199" i="22"/>
  <c r="BH199" i="22"/>
  <c r="BF199" i="22"/>
  <c r="BG198" i="22"/>
  <c r="BH198" i="22"/>
  <c r="BF198" i="22"/>
  <c r="BG197" i="22"/>
  <c r="BH197" i="22"/>
  <c r="BF197" i="22"/>
  <c r="BG196" i="22"/>
  <c r="BH196" i="22"/>
  <c r="BF196" i="22"/>
  <c r="BG195" i="22"/>
  <c r="BH195" i="22"/>
  <c r="BF195" i="22"/>
  <c r="BG194" i="22"/>
  <c r="BH194" i="22"/>
  <c r="BF194" i="22"/>
  <c r="BG193" i="22"/>
  <c r="BH193" i="22"/>
  <c r="BF193" i="22"/>
  <c r="BG192" i="22"/>
  <c r="BH192" i="22"/>
  <c r="BF192" i="22"/>
  <c r="BG191" i="22"/>
  <c r="BH191" i="22"/>
  <c r="BF191" i="22"/>
  <c r="BG190" i="22"/>
  <c r="BH190" i="22"/>
  <c r="BF190" i="22"/>
  <c r="BG189" i="22"/>
  <c r="BH189" i="22"/>
  <c r="BF189" i="22"/>
  <c r="BG188" i="22"/>
  <c r="BH188" i="22"/>
  <c r="BF188" i="22"/>
  <c r="BG187" i="22"/>
  <c r="BH187" i="22"/>
  <c r="BF187" i="22"/>
  <c r="BG186" i="22"/>
  <c r="BH186" i="22"/>
  <c r="BF186" i="22"/>
  <c r="BG185" i="22"/>
  <c r="BH185" i="22"/>
  <c r="BF185" i="22"/>
  <c r="BG184" i="22"/>
  <c r="BH184" i="22"/>
  <c r="BF184" i="22"/>
  <c r="BG183" i="22"/>
  <c r="BH183" i="22"/>
  <c r="BF183" i="22"/>
  <c r="BG182" i="22"/>
  <c r="BH182" i="22"/>
  <c r="BF182" i="22"/>
  <c r="BG181" i="22"/>
  <c r="BH181" i="22"/>
  <c r="BF181" i="22"/>
  <c r="BG180" i="22"/>
  <c r="BH180" i="22"/>
  <c r="BF180" i="22"/>
  <c r="BG179" i="22"/>
  <c r="BH179" i="22"/>
  <c r="BF179" i="22"/>
  <c r="BG178" i="22"/>
  <c r="BH178" i="22"/>
  <c r="BF178" i="22"/>
  <c r="BG177" i="22"/>
  <c r="BH177" i="22"/>
  <c r="BF177" i="22"/>
  <c r="BG176" i="22"/>
  <c r="BH176" i="22"/>
  <c r="BF176" i="22"/>
  <c r="BG175" i="22"/>
  <c r="BH175" i="22"/>
  <c r="BF175" i="22"/>
  <c r="BG174" i="22"/>
  <c r="BH174" i="22"/>
  <c r="BF174" i="22"/>
  <c r="BG173" i="22"/>
  <c r="BH173" i="22"/>
  <c r="BF173" i="22"/>
  <c r="BG172" i="22"/>
  <c r="BH172" i="22"/>
  <c r="BF172" i="22"/>
  <c r="BG171" i="22"/>
  <c r="BH171" i="22"/>
  <c r="BF171" i="22"/>
  <c r="BG170" i="22"/>
  <c r="BH170" i="22"/>
  <c r="BF170" i="22"/>
  <c r="BI97" i="26"/>
  <c r="BI96" i="2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2" i="32"/>
  <c r="L21" i="32"/>
  <c r="G21" i="32"/>
  <c r="L20" i="32"/>
  <c r="G20" i="32"/>
  <c r="L19" i="32"/>
  <c r="G19" i="32"/>
  <c r="L18" i="32"/>
  <c r="G18" i="32"/>
  <c r="L17" i="32"/>
  <c r="G17" i="32"/>
  <c r="L16" i="32"/>
  <c r="G16" i="32"/>
  <c r="L15" i="32"/>
  <c r="G15" i="32"/>
  <c r="L14" i="32"/>
  <c r="G14" i="32"/>
  <c r="L13" i="32"/>
  <c r="G13" i="32"/>
  <c r="L12" i="32"/>
  <c r="G12" i="32"/>
  <c r="L11" i="32"/>
  <c r="BI224" i="26" s="1"/>
  <c r="G11" i="32"/>
  <c r="L10" i="32"/>
  <c r="G10" i="32"/>
  <c r="L9" i="32"/>
  <c r="G9" i="32"/>
  <c r="L8" i="32"/>
  <c r="G8" i="32"/>
  <c r="L7" i="32"/>
  <c r="G7" i="32"/>
  <c r="BX12" i="31"/>
  <c r="BW12" i="31"/>
  <c r="BV12" i="31"/>
  <c r="BU12" i="31"/>
  <c r="BT12" i="31"/>
  <c r="BS12" i="31"/>
  <c r="BR12" i="31"/>
  <c r="BQ12" i="31"/>
  <c r="BP12" i="31"/>
  <c r="BO12" i="31"/>
  <c r="BN12" i="31"/>
  <c r="BM12" i="31"/>
  <c r="BL12" i="31"/>
  <c r="BK12" i="31"/>
  <c r="BI12" i="31"/>
  <c r="BH12" i="31"/>
  <c r="BG12" i="31"/>
  <c r="BF12" i="31"/>
  <c r="BE12" i="31"/>
  <c r="BD12" i="31"/>
  <c r="BC12" i="31"/>
  <c r="BA12" i="31"/>
  <c r="AZ12" i="31"/>
  <c r="AY12" i="31"/>
  <c r="AX12" i="31"/>
  <c r="AW12" i="31"/>
  <c r="AV12" i="31"/>
  <c r="AU12" i="31"/>
  <c r="AT12" i="31"/>
  <c r="AS12" i="31"/>
  <c r="AR12" i="31"/>
  <c r="AQ12" i="31"/>
  <c r="AP12" i="31"/>
  <c r="AO12" i="31"/>
  <c r="AN12" i="31"/>
  <c r="AM12" i="31"/>
  <c r="AL12" i="31"/>
  <c r="AK12" i="31"/>
  <c r="AJ12" i="31"/>
  <c r="AI12" i="31"/>
  <c r="AH12" i="31"/>
  <c r="AG12" i="31"/>
  <c r="AF12" i="31"/>
  <c r="AE12" i="31"/>
  <c r="AD12" i="31"/>
  <c r="AC12" i="31"/>
  <c r="AB12" i="31"/>
  <c r="AA12" i="31"/>
  <c r="Z12" i="31"/>
  <c r="Y12" i="31"/>
  <c r="W12" i="31"/>
  <c r="V12" i="31"/>
  <c r="U12" i="31"/>
  <c r="T12" i="31"/>
  <c r="S12" i="31"/>
  <c r="R12" i="31"/>
  <c r="Q12" i="31"/>
  <c r="P12" i="31"/>
  <c r="O12" i="31"/>
  <c r="N12" i="31"/>
  <c r="M12" i="31"/>
  <c r="L12" i="31"/>
  <c r="K12" i="31"/>
  <c r="I60" i="2"/>
  <c r="B3" i="21" s="1"/>
  <c r="J60" i="2"/>
  <c r="B4" i="21" s="1"/>
  <c r="K60" i="2"/>
  <c r="B5" i="21" s="1"/>
  <c r="L60" i="2"/>
  <c r="B6" i="21" s="1"/>
  <c r="F8" i="21" s="1"/>
  <c r="C96" i="19"/>
  <c r="B39" i="12"/>
  <c r="J122" i="27"/>
  <c r="G122" i="27"/>
  <c r="J40" i="22"/>
  <c r="L62" i="22"/>
  <c r="L63" i="22"/>
  <c r="J102" i="27"/>
  <c r="G102" i="27"/>
  <c r="F102" i="27"/>
  <c r="I102" i="27"/>
  <c r="BH36" i="15"/>
  <c r="E216" i="22"/>
  <c r="R216" i="22" s="1"/>
  <c r="E214" i="22"/>
  <c r="Q214" i="22" s="1"/>
  <c r="E212" i="22"/>
  <c r="F212" i="22" s="1"/>
  <c r="E210" i="22"/>
  <c r="F211" i="22" s="1"/>
  <c r="S211" i="22" s="1"/>
  <c r="E208" i="22"/>
  <c r="F208" i="22" s="1"/>
  <c r="E206" i="22"/>
  <c r="F207" i="22" s="1"/>
  <c r="T207" i="22" s="1"/>
  <c r="E204" i="22"/>
  <c r="F204" i="22" s="1"/>
  <c r="E202" i="22"/>
  <c r="F202" i="22" s="1"/>
  <c r="E200" i="22"/>
  <c r="F200" i="22" s="1"/>
  <c r="E198" i="22"/>
  <c r="F199" i="22" s="1"/>
  <c r="E196" i="22"/>
  <c r="F196" i="22" s="1"/>
  <c r="E194" i="22"/>
  <c r="F194" i="22" s="1"/>
  <c r="E192" i="22"/>
  <c r="F193" i="22" s="1"/>
  <c r="E190" i="22"/>
  <c r="F191" i="22" s="1"/>
  <c r="T191" i="22" s="1"/>
  <c r="E188" i="22"/>
  <c r="F189" i="22" s="1"/>
  <c r="E186" i="22"/>
  <c r="F186" i="22" s="1"/>
  <c r="E184" i="22"/>
  <c r="F184" i="22" s="1"/>
  <c r="E182" i="22"/>
  <c r="F183" i="22" s="1"/>
  <c r="S183" i="22" s="1"/>
  <c r="E180" i="22"/>
  <c r="F180" i="22" s="1"/>
  <c r="E178" i="22"/>
  <c r="F178" i="22" s="1"/>
  <c r="E176" i="22"/>
  <c r="F177" i="22" s="1"/>
  <c r="E174" i="22"/>
  <c r="F175" i="22" s="1"/>
  <c r="E172" i="22"/>
  <c r="F172" i="22" s="1"/>
  <c r="E170" i="22"/>
  <c r="F171" i="22" s="1"/>
  <c r="T171" i="22" s="1"/>
  <c r="D216" i="22"/>
  <c r="Y216" i="22" s="1"/>
  <c r="D214" i="22"/>
  <c r="Y214" i="22" s="1"/>
  <c r="D212" i="22"/>
  <c r="Y212" i="22" s="1"/>
  <c r="D210" i="22"/>
  <c r="Y210" i="22" s="1"/>
  <c r="D208" i="22"/>
  <c r="Y208" i="22" s="1"/>
  <c r="D206" i="22"/>
  <c r="D204" i="22"/>
  <c r="Y204" i="22" s="1"/>
  <c r="D202" i="22"/>
  <c r="D200" i="22"/>
  <c r="D198" i="22"/>
  <c r="D196" i="22"/>
  <c r="D194" i="22"/>
  <c r="D192" i="22"/>
  <c r="D190" i="22"/>
  <c r="D188" i="22"/>
  <c r="D186" i="22"/>
  <c r="Y186" i="22" s="1"/>
  <c r="D184" i="22"/>
  <c r="D182" i="22"/>
  <c r="Y182" i="22" s="1"/>
  <c r="D180" i="22"/>
  <c r="Y180" i="22" s="1"/>
  <c r="D178" i="22"/>
  <c r="Y178" i="22" s="1"/>
  <c r="D176" i="22"/>
  <c r="Y176" i="22" s="1"/>
  <c r="D174" i="22"/>
  <c r="Y174" i="22" s="1"/>
  <c r="D172" i="22"/>
  <c r="Y172" i="22" s="1"/>
  <c r="D170" i="22"/>
  <c r="Y170" i="22" s="1"/>
  <c r="B216" i="22"/>
  <c r="AD216" i="22" s="1"/>
  <c r="B214" i="22"/>
  <c r="AD214" i="22" s="1"/>
  <c r="B212" i="22"/>
  <c r="AD212" i="22" s="1"/>
  <c r="B210" i="22"/>
  <c r="AD210" i="22" s="1"/>
  <c r="B208" i="22"/>
  <c r="AD208" i="22" s="1"/>
  <c r="B206" i="22"/>
  <c r="AD206" i="22" s="1"/>
  <c r="M121" i="27"/>
  <c r="K121" i="27"/>
  <c r="M101" i="27"/>
  <c r="K101" i="27"/>
  <c r="M92" i="27"/>
  <c r="K92" i="27"/>
  <c r="M75" i="27"/>
  <c r="K75" i="27"/>
  <c r="J12" i="27"/>
  <c r="I12" i="27"/>
  <c r="H12" i="27"/>
  <c r="G12" i="27"/>
  <c r="F12" i="27"/>
  <c r="E12" i="27"/>
  <c r="D12" i="27"/>
  <c r="C12" i="27"/>
  <c r="B12" i="27"/>
  <c r="B92" i="27" s="1"/>
  <c r="M276" i="26"/>
  <c r="K276" i="26"/>
  <c r="K157" i="26"/>
  <c r="H19" i="26"/>
  <c r="F19" i="26"/>
  <c r="E19" i="26"/>
  <c r="C19" i="26"/>
  <c r="M19" i="26" s="1"/>
  <c r="B19" i="26"/>
  <c r="B325" i="22"/>
  <c r="C325" i="22" s="1"/>
  <c r="D325" i="22" s="1"/>
  <c r="B316" i="22"/>
  <c r="C316" i="22" s="1"/>
  <c r="D316" i="22" s="1"/>
  <c r="B304" i="22"/>
  <c r="B293" i="22"/>
  <c r="C293" i="22" s="1"/>
  <c r="D293" i="22" s="1"/>
  <c r="B284" i="22"/>
  <c r="C284" i="22"/>
  <c r="D284" i="22" s="1"/>
  <c r="M275" i="22"/>
  <c r="K275" i="22"/>
  <c r="B275" i="22"/>
  <c r="B264" i="22"/>
  <c r="C264" i="22" s="1"/>
  <c r="D264" i="22" s="1"/>
  <c r="B242" i="22"/>
  <c r="C242" i="22" s="1"/>
  <c r="D242" i="22" s="1"/>
  <c r="B234" i="22"/>
  <c r="B225" i="22"/>
  <c r="K156" i="22"/>
  <c r="B156" i="22"/>
  <c r="F156" i="22" s="1"/>
  <c r="E147" i="22"/>
  <c r="L147" i="22"/>
  <c r="B69" i="22"/>
  <c r="G69" i="22" s="1"/>
  <c r="B64" i="22"/>
  <c r="B40" i="22"/>
  <c r="F40" i="22" s="1"/>
  <c r="E40" i="22"/>
  <c r="B84" i="27"/>
  <c r="B75" i="27"/>
  <c r="B305" i="26"/>
  <c r="B285" i="26"/>
  <c r="B265" i="26"/>
  <c r="B243" i="26"/>
  <c r="B65" i="26"/>
  <c r="L65" i="26"/>
  <c r="B157" i="26"/>
  <c r="C304" i="22"/>
  <c r="D304" i="22"/>
  <c r="C275" i="22"/>
  <c r="D275" i="22" s="1"/>
  <c r="C225" i="22"/>
  <c r="D225" i="22" s="1"/>
  <c r="B338" i="22"/>
  <c r="D356" i="26"/>
  <c r="C356" i="26"/>
  <c r="K354" i="26"/>
  <c r="J354" i="26"/>
  <c r="I354" i="26"/>
  <c r="H354" i="26"/>
  <c r="G354" i="26"/>
  <c r="F354" i="26"/>
  <c r="D354" i="26"/>
  <c r="C354" i="26"/>
  <c r="F350" i="26"/>
  <c r="D348" i="26"/>
  <c r="I346" i="26"/>
  <c r="G346" i="26"/>
  <c r="H58" i="26"/>
  <c r="Q58" i="26"/>
  <c r="R58" i="26"/>
  <c r="H57" i="22"/>
  <c r="I57" i="22"/>
  <c r="J57" i="22"/>
  <c r="Q57" i="22"/>
  <c r="R57" i="22"/>
  <c r="E23" i="3"/>
  <c r="P30" i="8" a="1"/>
  <c r="P30" i="8" s="1"/>
  <c r="R390" i="26"/>
  <c r="R391" i="22"/>
  <c r="H128" i="27"/>
  <c r="R136" i="27" s="1"/>
  <c r="J30" i="14"/>
  <c r="Q76" i="10"/>
  <c r="Q75" i="10"/>
  <c r="Q74" i="10"/>
  <c r="Q73" i="10"/>
  <c r="Q57" i="10"/>
  <c r="Q58" i="10"/>
  <c r="E217" i="26"/>
  <c r="E215" i="26"/>
  <c r="E213" i="26"/>
  <c r="F213" i="26" s="1"/>
  <c r="E211" i="26"/>
  <c r="E209" i="26"/>
  <c r="E207" i="26"/>
  <c r="E205" i="26"/>
  <c r="E203" i="26"/>
  <c r="E201" i="26"/>
  <c r="E199" i="26"/>
  <c r="E197" i="26"/>
  <c r="F198" i="26" s="1"/>
  <c r="E195" i="26"/>
  <c r="E193" i="26"/>
  <c r="F193" i="26" s="1"/>
  <c r="E191" i="26"/>
  <c r="E189" i="26"/>
  <c r="E187" i="26"/>
  <c r="E185" i="26"/>
  <c r="F186" i="26" s="1"/>
  <c r="E183" i="26"/>
  <c r="E181" i="26"/>
  <c r="E179" i="26"/>
  <c r="F179" i="26" s="1"/>
  <c r="E177" i="26"/>
  <c r="E175" i="26"/>
  <c r="E173" i="26"/>
  <c r="F174" i="26" s="1"/>
  <c r="S174" i="26" s="1"/>
  <c r="E171" i="26"/>
  <c r="D217" i="26"/>
  <c r="Y217" i="26" s="1"/>
  <c r="D215" i="26"/>
  <c r="Y215" i="26" s="1"/>
  <c r="D213" i="26"/>
  <c r="Y213" i="26" s="1"/>
  <c r="D211" i="26"/>
  <c r="Y211" i="26" s="1"/>
  <c r="D209" i="26"/>
  <c r="Y209" i="26" s="1"/>
  <c r="D207" i="26"/>
  <c r="Y207" i="26"/>
  <c r="D205" i="26"/>
  <c r="Y205" i="26" s="1"/>
  <c r="D203" i="26"/>
  <c r="D201" i="26"/>
  <c r="D199" i="26"/>
  <c r="D197" i="26"/>
  <c r="D195" i="26"/>
  <c r="D193" i="26"/>
  <c r="D191" i="26"/>
  <c r="D189" i="26"/>
  <c r="D187" i="26"/>
  <c r="Y187" i="26" s="1"/>
  <c r="D185" i="26"/>
  <c r="D183" i="26"/>
  <c r="Y183" i="26" s="1"/>
  <c r="D181" i="26"/>
  <c r="Y181" i="26" s="1"/>
  <c r="D179" i="26"/>
  <c r="Y179" i="26" s="1"/>
  <c r="D177" i="26"/>
  <c r="Y177" i="26" s="1"/>
  <c r="D175" i="26"/>
  <c r="Y175" i="26" s="1"/>
  <c r="D173" i="26"/>
  <c r="Y173" i="26" s="1"/>
  <c r="D171" i="26"/>
  <c r="Y171" i="26" s="1"/>
  <c r="B217" i="26"/>
  <c r="AD217" i="26" s="1"/>
  <c r="B215" i="26"/>
  <c r="AD215" i="26" s="1"/>
  <c r="B213" i="26"/>
  <c r="AD213" i="26"/>
  <c r="B211" i="26"/>
  <c r="AD211" i="26" s="1"/>
  <c r="B209" i="26"/>
  <c r="AD209" i="26"/>
  <c r="B207" i="26"/>
  <c r="AD207" i="26"/>
  <c r="B10" i="27"/>
  <c r="B110" i="27" s="1"/>
  <c r="B11" i="27"/>
  <c r="B120" i="27" s="1"/>
  <c r="K156" i="26"/>
  <c r="K155" i="26"/>
  <c r="B17" i="26"/>
  <c r="C17" i="26"/>
  <c r="E17" i="26"/>
  <c r="F112" i="26" s="1"/>
  <c r="S112" i="26" s="1"/>
  <c r="K97" i="26"/>
  <c r="G171" i="26"/>
  <c r="I171" i="26" s="1"/>
  <c r="K98" i="26"/>
  <c r="G172" i="26"/>
  <c r="K99" i="26"/>
  <c r="G173" i="26"/>
  <c r="H346" i="26" s="1"/>
  <c r="K100" i="26"/>
  <c r="G174" i="26"/>
  <c r="K101" i="26"/>
  <c r="G175" i="26"/>
  <c r="I175" i="26" s="1"/>
  <c r="K102" i="26"/>
  <c r="G176" i="26" s="1"/>
  <c r="I176" i="26" s="1"/>
  <c r="K103" i="26"/>
  <c r="G177" i="26"/>
  <c r="I177" i="26" s="1"/>
  <c r="K104" i="26"/>
  <c r="G178" i="26"/>
  <c r="I178" i="26" s="1"/>
  <c r="K105" i="26"/>
  <c r="G179" i="26"/>
  <c r="I179" i="26" s="1"/>
  <c r="K348" i="26"/>
  <c r="K106" i="26"/>
  <c r="G180" i="26"/>
  <c r="I180" i="26" s="1"/>
  <c r="K107" i="26"/>
  <c r="G181" i="26"/>
  <c r="I181" i="26" s="1"/>
  <c r="K108" i="26"/>
  <c r="G182" i="26"/>
  <c r="I182" i="26"/>
  <c r="K109" i="26"/>
  <c r="G183" i="26"/>
  <c r="I183" i="26" s="1"/>
  <c r="K110" i="26"/>
  <c r="G184" i="26"/>
  <c r="K111" i="26"/>
  <c r="G185" i="26"/>
  <c r="I185" i="26" s="1"/>
  <c r="K112" i="26"/>
  <c r="G186" i="26" s="1"/>
  <c r="I186" i="26" s="1"/>
  <c r="K113" i="26"/>
  <c r="G187" i="26" s="1"/>
  <c r="I187" i="26" s="1"/>
  <c r="K114" i="26"/>
  <c r="G188" i="26"/>
  <c r="I188" i="26" s="1"/>
  <c r="K115" i="26"/>
  <c r="G189" i="26"/>
  <c r="I189" i="26"/>
  <c r="K116" i="26"/>
  <c r="G190" i="26" s="1"/>
  <c r="I190" i="26" s="1"/>
  <c r="K117" i="26"/>
  <c r="G191" i="26"/>
  <c r="I191" i="26" s="1"/>
  <c r="K118" i="26"/>
  <c r="G192" i="26"/>
  <c r="I192" i="26" s="1"/>
  <c r="K119" i="26"/>
  <c r="G193" i="26"/>
  <c r="I193" i="26" s="1"/>
  <c r="K120" i="26"/>
  <c r="G194" i="26"/>
  <c r="I194" i="26" s="1"/>
  <c r="K121" i="26"/>
  <c r="G195" i="26"/>
  <c r="I195" i="26" s="1"/>
  <c r="K122" i="26"/>
  <c r="G196" i="26"/>
  <c r="I196" i="26" s="1"/>
  <c r="K123" i="26"/>
  <c r="G197" i="26"/>
  <c r="I197" i="26" s="1"/>
  <c r="K124" i="26"/>
  <c r="G198" i="26"/>
  <c r="I198" i="26" s="1"/>
  <c r="K125" i="26"/>
  <c r="G199" i="26" s="1"/>
  <c r="I199" i="26" s="1"/>
  <c r="K126" i="26"/>
  <c r="G200" i="26"/>
  <c r="I200" i="26" s="1"/>
  <c r="K127" i="26"/>
  <c r="G201" i="26"/>
  <c r="I201" i="26"/>
  <c r="K128" i="26"/>
  <c r="G202" i="26"/>
  <c r="I202" i="26" s="1"/>
  <c r="K129" i="26"/>
  <c r="G203" i="26"/>
  <c r="I203" i="26" s="1"/>
  <c r="K130" i="26"/>
  <c r="G204" i="26"/>
  <c r="I204" i="26" s="1"/>
  <c r="K131" i="26"/>
  <c r="G205" i="26"/>
  <c r="I205" i="26" s="1"/>
  <c r="K132" i="26"/>
  <c r="G206" i="26"/>
  <c r="I206" i="26" s="1"/>
  <c r="K134" i="26"/>
  <c r="G208" i="26"/>
  <c r="I208" i="26" s="1"/>
  <c r="K136" i="26"/>
  <c r="G210" i="26"/>
  <c r="I210" i="26" s="1"/>
  <c r="K138" i="26"/>
  <c r="G212" i="26"/>
  <c r="I212" i="26" s="1"/>
  <c r="K140" i="26"/>
  <c r="G214" i="26" s="1"/>
  <c r="I214" i="26" s="1"/>
  <c r="K141" i="26"/>
  <c r="G215" i="26"/>
  <c r="I215" i="26" s="1"/>
  <c r="K142" i="26"/>
  <c r="G216" i="26"/>
  <c r="I216" i="26" s="1"/>
  <c r="K143" i="26"/>
  <c r="G217" i="26"/>
  <c r="I217" i="26" s="1"/>
  <c r="K144" i="26"/>
  <c r="G218" i="26"/>
  <c r="I218" i="26" s="1"/>
  <c r="B18" i="26"/>
  <c r="B325" i="26" s="1"/>
  <c r="B40" i="26"/>
  <c r="E40" i="26" s="1"/>
  <c r="C18" i="26"/>
  <c r="E18" i="26"/>
  <c r="F141" i="26"/>
  <c r="S141" i="26" s="1"/>
  <c r="F142" i="26"/>
  <c r="S142" i="26" s="1"/>
  <c r="F143" i="26"/>
  <c r="S143" i="26" s="1"/>
  <c r="F144" i="26"/>
  <c r="S144" i="26" s="1"/>
  <c r="K155" i="22"/>
  <c r="B223" i="22"/>
  <c r="C223" i="22" s="1"/>
  <c r="D223" i="22" s="1"/>
  <c r="B224" i="22"/>
  <c r="C224" i="22" s="1"/>
  <c r="D224" i="22" s="1"/>
  <c r="B62" i="22"/>
  <c r="H62" i="22" s="1"/>
  <c r="B63" i="22"/>
  <c r="H63" i="22" s="1"/>
  <c r="B240" i="22"/>
  <c r="C240" i="22"/>
  <c r="D240" i="22" s="1"/>
  <c r="B241" i="22"/>
  <c r="C241" i="22" s="1"/>
  <c r="D241" i="22" s="1"/>
  <c r="B232" i="22"/>
  <c r="T58" i="22" s="1"/>
  <c r="B233" i="22"/>
  <c r="C233" i="22" s="1"/>
  <c r="D233" i="22" s="1"/>
  <c r="B67" i="22"/>
  <c r="L67" i="22" s="1"/>
  <c r="B68" i="22"/>
  <c r="G68" i="22" s="1"/>
  <c r="B255" i="22"/>
  <c r="C255" i="22" s="1"/>
  <c r="D255" i="22" s="1"/>
  <c r="B262" i="22"/>
  <c r="C262" i="22"/>
  <c r="D262" i="22" s="1"/>
  <c r="B263" i="22"/>
  <c r="B282" i="22"/>
  <c r="C282" i="22" s="1"/>
  <c r="D282" i="22" s="1"/>
  <c r="B283" i="22"/>
  <c r="C283" i="22" s="1"/>
  <c r="D283" i="22" s="1"/>
  <c r="B291" i="22"/>
  <c r="C291" i="22"/>
  <c r="D291" i="22" s="1"/>
  <c r="B292" i="22"/>
  <c r="C292" i="22"/>
  <c r="D292" i="22" s="1"/>
  <c r="B38" i="22"/>
  <c r="B39" i="22"/>
  <c r="F39" i="22"/>
  <c r="B302" i="22"/>
  <c r="C302" i="22"/>
  <c r="D302" i="22" s="1"/>
  <c r="B303" i="22"/>
  <c r="C303" i="22" s="1"/>
  <c r="D303" i="22" s="1"/>
  <c r="F97" i="22"/>
  <c r="S97" i="22" s="1"/>
  <c r="F99" i="22"/>
  <c r="S99" i="22" s="1"/>
  <c r="F101" i="22"/>
  <c r="S101" i="22" s="1"/>
  <c r="F103" i="22"/>
  <c r="S103" i="22" s="1"/>
  <c r="F96" i="22"/>
  <c r="F98" i="22"/>
  <c r="F100" i="22"/>
  <c r="F102" i="22"/>
  <c r="F104" i="22"/>
  <c r="F105" i="22"/>
  <c r="S105" i="22" s="1"/>
  <c r="F106" i="22"/>
  <c r="F107" i="22"/>
  <c r="S107" i="22" s="1"/>
  <c r="F108" i="22"/>
  <c r="F109" i="22"/>
  <c r="S109" i="22" s="1"/>
  <c r="F110" i="22"/>
  <c r="F111" i="22"/>
  <c r="S111" i="22" s="1"/>
  <c r="F112" i="22"/>
  <c r="F113" i="22"/>
  <c r="S113" i="22" s="1"/>
  <c r="F114" i="22"/>
  <c r="F115" i="22"/>
  <c r="S115" i="22" s="1"/>
  <c r="F116" i="22"/>
  <c r="F117" i="22"/>
  <c r="S117" i="22" s="1"/>
  <c r="F118" i="22"/>
  <c r="F119" i="22"/>
  <c r="S119" i="22" s="1"/>
  <c r="F120" i="22"/>
  <c r="F121" i="22"/>
  <c r="S121" i="22" s="1"/>
  <c r="F122" i="22"/>
  <c r="F123" i="22"/>
  <c r="S123" i="22" s="1"/>
  <c r="F124" i="22"/>
  <c r="F125" i="22"/>
  <c r="S125" i="22" s="1"/>
  <c r="F126" i="22"/>
  <c r="F127" i="22"/>
  <c r="S127" i="22" s="1"/>
  <c r="F128" i="22"/>
  <c r="F129" i="22"/>
  <c r="S129" i="22" s="1"/>
  <c r="F130" i="22"/>
  <c r="F131" i="22"/>
  <c r="S131" i="22" s="1"/>
  <c r="F132" i="22"/>
  <c r="F133" i="22"/>
  <c r="S133" i="22" s="1"/>
  <c r="F134" i="22"/>
  <c r="F135" i="22"/>
  <c r="S135" i="22" s="1"/>
  <c r="F136" i="22"/>
  <c r="F137" i="22"/>
  <c r="S137" i="22" s="1"/>
  <c r="F138" i="22"/>
  <c r="F139" i="22"/>
  <c r="S139" i="22" s="1"/>
  <c r="F140" i="22"/>
  <c r="S140" i="22" s="1"/>
  <c r="F141" i="22"/>
  <c r="S141" i="22" s="1"/>
  <c r="F142" i="22"/>
  <c r="S142" i="22" s="1"/>
  <c r="F143" i="22"/>
  <c r="S143" i="22" s="1"/>
  <c r="C39" i="12"/>
  <c r="I56" i="12"/>
  <c r="F29" i="12"/>
  <c r="B31" i="10"/>
  <c r="B32" i="10"/>
  <c r="M156" i="10"/>
  <c r="W152" i="10"/>
  <c r="W153" i="10"/>
  <c r="M130" i="10"/>
  <c r="M141" i="10"/>
  <c r="M161" i="10"/>
  <c r="H341" i="22" s="1"/>
  <c r="D16" i="8"/>
  <c r="O25" i="8" s="1"/>
  <c r="C31" i="10"/>
  <c r="W151" i="10"/>
  <c r="W154" i="10"/>
  <c r="W155" i="10"/>
  <c r="B82" i="10"/>
  <c r="B103" i="10"/>
  <c r="C103" i="10"/>
  <c r="P59" i="4"/>
  <c r="P60" i="4"/>
  <c r="P61" i="4"/>
  <c r="P62" i="4"/>
  <c r="O59" i="4"/>
  <c r="O60" i="4"/>
  <c r="O61" i="4"/>
  <c r="O62" i="4"/>
  <c r="K59" i="4"/>
  <c r="K60" i="4"/>
  <c r="K61" i="4"/>
  <c r="K62" i="4"/>
  <c r="J59" i="4"/>
  <c r="J60" i="4"/>
  <c r="J61" i="4"/>
  <c r="J62" i="4"/>
  <c r="I66" i="2"/>
  <c r="K66" i="2"/>
  <c r="E316" i="26" s="1"/>
  <c r="M149" i="10"/>
  <c r="F149" i="10"/>
  <c r="H149" i="10"/>
  <c r="I149" i="10"/>
  <c r="J149" i="10"/>
  <c r="B111" i="10"/>
  <c r="H18" i="26"/>
  <c r="F18" i="26"/>
  <c r="H17" i="26"/>
  <c r="F17" i="26"/>
  <c r="R389" i="26"/>
  <c r="F335" i="26"/>
  <c r="I335" i="26"/>
  <c r="R386" i="26"/>
  <c r="J25" i="8"/>
  <c r="F25" i="8"/>
  <c r="I25" i="8" s="1"/>
  <c r="G25" i="8"/>
  <c r="B359" i="26"/>
  <c r="B339" i="26"/>
  <c r="B313" i="26"/>
  <c r="I313" i="26"/>
  <c r="D313" i="26"/>
  <c r="J277" i="26"/>
  <c r="G277" i="26"/>
  <c r="M277" i="26" s="1"/>
  <c r="M275" i="26"/>
  <c r="K275" i="26"/>
  <c r="M274" i="26"/>
  <c r="K274" i="26"/>
  <c r="J227" i="26"/>
  <c r="V218" i="26"/>
  <c r="R218" i="26"/>
  <c r="Q218" i="26"/>
  <c r="V217" i="26"/>
  <c r="V216" i="26"/>
  <c r="R216" i="26"/>
  <c r="Q216" i="26"/>
  <c r="V215" i="26"/>
  <c r="V214" i="26"/>
  <c r="R214" i="26"/>
  <c r="Q214" i="26"/>
  <c r="V213" i="26"/>
  <c r="V212" i="26"/>
  <c r="R212" i="26"/>
  <c r="Q212" i="26"/>
  <c r="V211" i="26"/>
  <c r="V210" i="26"/>
  <c r="R210" i="26"/>
  <c r="Q210" i="26"/>
  <c r="V209" i="26"/>
  <c r="V208" i="26"/>
  <c r="R208" i="26"/>
  <c r="Q208" i="26"/>
  <c r="V207" i="26"/>
  <c r="V206" i="26"/>
  <c r="R206" i="26"/>
  <c r="Q206" i="26"/>
  <c r="AD205" i="26"/>
  <c r="V205" i="26"/>
  <c r="V204" i="26"/>
  <c r="R204" i="26"/>
  <c r="Q204" i="26"/>
  <c r="AD203" i="26"/>
  <c r="V203" i="26"/>
  <c r="V202" i="26"/>
  <c r="R202" i="26"/>
  <c r="Q202" i="26"/>
  <c r="AD201" i="26"/>
  <c r="V201" i="26"/>
  <c r="V200" i="26"/>
  <c r="R200" i="26"/>
  <c r="Q200" i="26"/>
  <c r="AD199" i="26"/>
  <c r="V199" i="26"/>
  <c r="V198" i="26"/>
  <c r="R198" i="26"/>
  <c r="Q198" i="26"/>
  <c r="AD197" i="26"/>
  <c r="V197" i="26"/>
  <c r="V196" i="26"/>
  <c r="R196" i="26"/>
  <c r="Q196" i="26"/>
  <c r="AD195" i="26"/>
  <c r="V195" i="26"/>
  <c r="V194" i="26"/>
  <c r="R194" i="26"/>
  <c r="Q194" i="26"/>
  <c r="AD193" i="26"/>
  <c r="V193" i="26"/>
  <c r="V192" i="26"/>
  <c r="R192" i="26"/>
  <c r="Q192" i="26"/>
  <c r="AD191" i="26"/>
  <c r="V191" i="26"/>
  <c r="V190" i="26"/>
  <c r="R190" i="26"/>
  <c r="Q190" i="26"/>
  <c r="AD189" i="26"/>
  <c r="V189" i="26"/>
  <c r="V188" i="26"/>
  <c r="R188" i="26"/>
  <c r="Q188" i="26"/>
  <c r="AD187" i="26"/>
  <c r="V187" i="26"/>
  <c r="V186" i="26"/>
  <c r="R186" i="26"/>
  <c r="Q186" i="26"/>
  <c r="AD185" i="26"/>
  <c r="V185" i="26"/>
  <c r="V184" i="26"/>
  <c r="R184" i="26"/>
  <c r="Q184" i="26"/>
  <c r="AD183" i="26"/>
  <c r="V183" i="26"/>
  <c r="V182" i="26"/>
  <c r="R182" i="26"/>
  <c r="Q182" i="26"/>
  <c r="AD181" i="26"/>
  <c r="V181" i="26"/>
  <c r="V180" i="26"/>
  <c r="R180" i="26"/>
  <c r="Q180" i="26"/>
  <c r="AD179" i="26"/>
  <c r="V179" i="26"/>
  <c r="V178" i="26"/>
  <c r="R178" i="26"/>
  <c r="Q178" i="26"/>
  <c r="AD177" i="26"/>
  <c r="V177" i="26"/>
  <c r="V176" i="26"/>
  <c r="R176" i="26"/>
  <c r="Q176" i="26"/>
  <c r="AD175" i="26"/>
  <c r="V175" i="26"/>
  <c r="V174" i="26"/>
  <c r="R174" i="26"/>
  <c r="Q174" i="26"/>
  <c r="AD173" i="26"/>
  <c r="V173" i="26"/>
  <c r="V172" i="26"/>
  <c r="R172" i="26"/>
  <c r="Q172" i="26"/>
  <c r="AD171" i="26"/>
  <c r="V171" i="26"/>
  <c r="M158" i="26"/>
  <c r="L158" i="26"/>
  <c r="J158" i="26"/>
  <c r="I158" i="26"/>
  <c r="H158" i="26"/>
  <c r="G158" i="26"/>
  <c r="S145" i="26"/>
  <c r="R144" i="26"/>
  <c r="Q144" i="26"/>
  <c r="R143" i="26"/>
  <c r="Q143" i="26"/>
  <c r="R142" i="26"/>
  <c r="Q142" i="26"/>
  <c r="R141" i="26"/>
  <c r="Q141" i="26"/>
  <c r="R140" i="26"/>
  <c r="Q140" i="26"/>
  <c r="R138" i="26"/>
  <c r="Q138" i="26"/>
  <c r="R136" i="26"/>
  <c r="Q136" i="26"/>
  <c r="R134" i="26"/>
  <c r="Q134" i="26"/>
  <c r="R132" i="26"/>
  <c r="Q132" i="26"/>
  <c r="R130" i="26"/>
  <c r="Q130" i="26"/>
  <c r="R128" i="26"/>
  <c r="Q128" i="26"/>
  <c r="R126" i="26"/>
  <c r="Q126" i="26"/>
  <c r="R124" i="26"/>
  <c r="Q124" i="26"/>
  <c r="R122" i="26"/>
  <c r="Q122" i="26"/>
  <c r="R120" i="26"/>
  <c r="Q120" i="26"/>
  <c r="R118" i="26"/>
  <c r="Q118" i="26"/>
  <c r="R116" i="26"/>
  <c r="Q116" i="26"/>
  <c r="R114" i="26"/>
  <c r="Q114" i="26"/>
  <c r="R112" i="26"/>
  <c r="Q112" i="26"/>
  <c r="R110" i="26"/>
  <c r="Q110" i="26"/>
  <c r="R108" i="26"/>
  <c r="Q108" i="26"/>
  <c r="R106" i="26"/>
  <c r="Q106" i="26"/>
  <c r="R104" i="26"/>
  <c r="Q104" i="26"/>
  <c r="R102" i="26"/>
  <c r="Q102" i="26"/>
  <c r="R100" i="26"/>
  <c r="Q100" i="26"/>
  <c r="R98" i="26"/>
  <c r="Q98" i="26"/>
  <c r="R60" i="26"/>
  <c r="Q60" i="26"/>
  <c r="H60" i="26"/>
  <c r="R59" i="26"/>
  <c r="Q59" i="26"/>
  <c r="H59" i="26"/>
  <c r="R57" i="26"/>
  <c r="Q57" i="26"/>
  <c r="H57" i="26"/>
  <c r="I42" i="26"/>
  <c r="I33" i="3"/>
  <c r="J33" i="3" s="1"/>
  <c r="R171" i="22"/>
  <c r="R173" i="22"/>
  <c r="R175" i="22"/>
  <c r="R177" i="22"/>
  <c r="R179" i="22"/>
  <c r="R181" i="22"/>
  <c r="R183" i="22"/>
  <c r="R185" i="22"/>
  <c r="R187" i="22"/>
  <c r="R189" i="22"/>
  <c r="R191" i="22"/>
  <c r="R193" i="22"/>
  <c r="R195" i="22"/>
  <c r="R197" i="22"/>
  <c r="R199" i="22"/>
  <c r="R201" i="22"/>
  <c r="R203" i="22"/>
  <c r="R205" i="22"/>
  <c r="R207" i="22"/>
  <c r="R209" i="22"/>
  <c r="R211" i="22"/>
  <c r="R213" i="22"/>
  <c r="R215" i="22"/>
  <c r="R217" i="22"/>
  <c r="C98" i="19"/>
  <c r="Q54" i="8"/>
  <c r="H54" i="8" s="1"/>
  <c r="S54" i="8"/>
  <c r="P54" i="8"/>
  <c r="G54" i="8" s="1"/>
  <c r="R54" i="8"/>
  <c r="P45" i="8"/>
  <c r="R45" i="8" s="1"/>
  <c r="P78" i="7"/>
  <c r="G78" i="7" s="1"/>
  <c r="O78" i="7"/>
  <c r="F78" i="7" s="1"/>
  <c r="P70" i="7"/>
  <c r="R70" i="7" s="1"/>
  <c r="P69" i="7"/>
  <c r="R69" i="7" s="1"/>
  <c r="G69" i="7"/>
  <c r="O69" i="7"/>
  <c r="P61" i="7"/>
  <c r="G61" i="7" s="1"/>
  <c r="O61" i="7"/>
  <c r="Q61" i="7" s="1"/>
  <c r="F61" i="7"/>
  <c r="P53" i="7"/>
  <c r="R53" i="7" s="1"/>
  <c r="P52" i="7"/>
  <c r="R52" i="7" s="1"/>
  <c r="O53" i="7"/>
  <c r="Q53" i="7" s="1"/>
  <c r="O52" i="7"/>
  <c r="Q52" i="7" s="1"/>
  <c r="P44" i="7"/>
  <c r="R44" i="7" s="1"/>
  <c r="P43" i="7"/>
  <c r="R43" i="7" s="1"/>
  <c r="O43" i="7"/>
  <c r="F43" i="7" s="1"/>
  <c r="P34" i="7"/>
  <c r="O35" i="7"/>
  <c r="F35" i="7" s="1"/>
  <c r="O34" i="7"/>
  <c r="Q34" i="7" s="1"/>
  <c r="B21" i="2"/>
  <c r="F12" i="5"/>
  <c r="E12" i="5"/>
  <c r="D12" i="5"/>
  <c r="AA492" i="29"/>
  <c r="AB492" i="29"/>
  <c r="AA493" i="29"/>
  <c r="AB493" i="29"/>
  <c r="AA494" i="29"/>
  <c r="AB494" i="29"/>
  <c r="AA495" i="29"/>
  <c r="AB495" i="29"/>
  <c r="AA483" i="29"/>
  <c r="AB483" i="29"/>
  <c r="AA484" i="29"/>
  <c r="AB484" i="29"/>
  <c r="AA485" i="29"/>
  <c r="AB485" i="29"/>
  <c r="AA486" i="29"/>
  <c r="AB486" i="29"/>
  <c r="AA474" i="29"/>
  <c r="AB474" i="29"/>
  <c r="AA475" i="29"/>
  <c r="AB475" i="29"/>
  <c r="AA476" i="29"/>
  <c r="AB476" i="29"/>
  <c r="AA477" i="29"/>
  <c r="AB477" i="29"/>
  <c r="AA465" i="29"/>
  <c r="AB465" i="29"/>
  <c r="AA466" i="29"/>
  <c r="AB466" i="29" s="1"/>
  <c r="AB469" i="29" s="1"/>
  <c r="AA467" i="29"/>
  <c r="AB467" i="29"/>
  <c r="AA468" i="29"/>
  <c r="AB468" i="29"/>
  <c r="AA456" i="29"/>
  <c r="AB456" i="29"/>
  <c r="AA457" i="29"/>
  <c r="AB457" i="29"/>
  <c r="AA458" i="29"/>
  <c r="AB458" i="29"/>
  <c r="AA459" i="29"/>
  <c r="AB459" i="29"/>
  <c r="AA445" i="29"/>
  <c r="AB445" i="29"/>
  <c r="AA446" i="29"/>
  <c r="AB446" i="29"/>
  <c r="AA447" i="29"/>
  <c r="AB447" i="29"/>
  <c r="AA448" i="29"/>
  <c r="AB448" i="29"/>
  <c r="AA436" i="29"/>
  <c r="AB436" i="29"/>
  <c r="AA437" i="29"/>
  <c r="AB437" i="29" s="1"/>
  <c r="AA438" i="29"/>
  <c r="AB438" i="29"/>
  <c r="AA439" i="29"/>
  <c r="AB439" i="29"/>
  <c r="AB440" i="29" s="1"/>
  <c r="AA427" i="29"/>
  <c r="AB427" i="29"/>
  <c r="AA428" i="29"/>
  <c r="AB428" i="29"/>
  <c r="AA429" i="29"/>
  <c r="AB429" i="29" s="1"/>
  <c r="AA430" i="29"/>
  <c r="AB430" i="29"/>
  <c r="AA418" i="29"/>
  <c r="AB418" i="29"/>
  <c r="AA419" i="29"/>
  <c r="AB419" i="29"/>
  <c r="AB422" i="29" s="1"/>
  <c r="AA420" i="29"/>
  <c r="AB420" i="29"/>
  <c r="AA421" i="29"/>
  <c r="AB421" i="29"/>
  <c r="AA409" i="29"/>
  <c r="AB409" i="29"/>
  <c r="AA410" i="29"/>
  <c r="AB410" i="29" s="1"/>
  <c r="AA411" i="29"/>
  <c r="AB411" i="29"/>
  <c r="AA412" i="29"/>
  <c r="AB412" i="29"/>
  <c r="AA400" i="29"/>
  <c r="AB400" i="29"/>
  <c r="AA401" i="29"/>
  <c r="AB401" i="29"/>
  <c r="AA402" i="29"/>
  <c r="AB402" i="29"/>
  <c r="AA403" i="29"/>
  <c r="AB403" i="29"/>
  <c r="AA389" i="29"/>
  <c r="AB389" i="29"/>
  <c r="AA390" i="29"/>
  <c r="AB390" i="29"/>
  <c r="AA391" i="29"/>
  <c r="AB391" i="29" s="1"/>
  <c r="AA392" i="29"/>
  <c r="AB392" i="29" s="1"/>
  <c r="AA380" i="29"/>
  <c r="AB380" i="29"/>
  <c r="AA381" i="29"/>
  <c r="AB381" i="29"/>
  <c r="AA382" i="29"/>
  <c r="AB382" i="29"/>
  <c r="AA383" i="29"/>
  <c r="AB383" i="29"/>
  <c r="AA371" i="29"/>
  <c r="AB371" i="29" s="1"/>
  <c r="AB375" i="29" s="1"/>
  <c r="AA372" i="29"/>
  <c r="AB372" i="29"/>
  <c r="AA373" i="29"/>
  <c r="AB373" i="29" s="1"/>
  <c r="AA374" i="29"/>
  <c r="AB374" i="29"/>
  <c r="AA362" i="29"/>
  <c r="AB362" i="29"/>
  <c r="AA363" i="29"/>
  <c r="AB363" i="29"/>
  <c r="AA364" i="29"/>
  <c r="AB364" i="29" s="1"/>
  <c r="AA365" i="29"/>
  <c r="AB365" i="29" s="1"/>
  <c r="AA353" i="29"/>
  <c r="AB353" i="29"/>
  <c r="AA354" i="29"/>
  <c r="AB354" i="29"/>
  <c r="AA355" i="29"/>
  <c r="AB355" i="29"/>
  <c r="AA356" i="29"/>
  <c r="AB356" i="29"/>
  <c r="AA342" i="29"/>
  <c r="AB342" i="29"/>
  <c r="AB346" i="29" s="1"/>
  <c r="AA343" i="29"/>
  <c r="AB343" i="29"/>
  <c r="AA344" i="29"/>
  <c r="AB344" i="29" s="1"/>
  <c r="AA345" i="29"/>
  <c r="AB345" i="29"/>
  <c r="AA333" i="29"/>
  <c r="AB333" i="29"/>
  <c r="AA334" i="29"/>
  <c r="AB334" i="29"/>
  <c r="AA335" i="29"/>
  <c r="AB335" i="29"/>
  <c r="AA336" i="29"/>
  <c r="AB336" i="29"/>
  <c r="AA324" i="29"/>
  <c r="AB324" i="29"/>
  <c r="AA325" i="29"/>
  <c r="AB325" i="29"/>
  <c r="AA326" i="29"/>
  <c r="AB326" i="29"/>
  <c r="AB328" i="29" s="1"/>
  <c r="AA327" i="29"/>
  <c r="AB327" i="29"/>
  <c r="AA315" i="29"/>
  <c r="AB315" i="29"/>
  <c r="AA316" i="29"/>
  <c r="AB316" i="29"/>
  <c r="AA317" i="29"/>
  <c r="AB317" i="29" s="1"/>
  <c r="AA318" i="29"/>
  <c r="AB318" i="29"/>
  <c r="AA306" i="29"/>
  <c r="AB306" i="29"/>
  <c r="AA307" i="29"/>
  <c r="AB307" i="29"/>
  <c r="AA308" i="29"/>
  <c r="AB308" i="29"/>
  <c r="AA309" i="29"/>
  <c r="AB309" i="29" s="1"/>
  <c r="AA297" i="29"/>
  <c r="AB297" i="29" s="1"/>
  <c r="AB301" i="29" s="1"/>
  <c r="AA298" i="29"/>
  <c r="AB298" i="29"/>
  <c r="AA299" i="29"/>
  <c r="AB299" i="29"/>
  <c r="AA300" i="29"/>
  <c r="AB300" i="29"/>
  <c r="AA286" i="29"/>
  <c r="AB286" i="29"/>
  <c r="AA287" i="29"/>
  <c r="AB287" i="29"/>
  <c r="AA288" i="29"/>
  <c r="AB288" i="29" s="1"/>
  <c r="AA289" i="29"/>
  <c r="AB289" i="29"/>
  <c r="AA277" i="29"/>
  <c r="AB277" i="29"/>
  <c r="AA278" i="29"/>
  <c r="AB278" i="29"/>
  <c r="AA279" i="29"/>
  <c r="AB279" i="29"/>
  <c r="AA280" i="29"/>
  <c r="AB280" i="29"/>
  <c r="AA268" i="29"/>
  <c r="AB268" i="29"/>
  <c r="AA269" i="29"/>
  <c r="AB269" i="29"/>
  <c r="AA270" i="29"/>
  <c r="AB270" i="29"/>
  <c r="AA271" i="29"/>
  <c r="AB271" i="29"/>
  <c r="AA259" i="29"/>
  <c r="AB259" i="29"/>
  <c r="AA260" i="29"/>
  <c r="AB260" i="29"/>
  <c r="AA261" i="29"/>
  <c r="AB261" i="29" s="1"/>
  <c r="AA262" i="29"/>
  <c r="AB262" i="29"/>
  <c r="AA250" i="29"/>
  <c r="AB250" i="29"/>
  <c r="AA251" i="29"/>
  <c r="AB251" i="29"/>
  <c r="AA252" i="29"/>
  <c r="AB252" i="29"/>
  <c r="AA253" i="29"/>
  <c r="AB253" i="29"/>
  <c r="AA241" i="29"/>
  <c r="AB241" i="29" s="1"/>
  <c r="AB245" i="29" s="1"/>
  <c r="AA242" i="29"/>
  <c r="AB242" i="29"/>
  <c r="AA243" i="29"/>
  <c r="AB243" i="29"/>
  <c r="AA244" i="29"/>
  <c r="AB244" i="29"/>
  <c r="AA230" i="29"/>
  <c r="AB230" i="29"/>
  <c r="AA231" i="29"/>
  <c r="AB231" i="29"/>
  <c r="AB234" i="29"/>
  <c r="AA232" i="29"/>
  <c r="AB232" i="29"/>
  <c r="AA233" i="29"/>
  <c r="AB233" i="29"/>
  <c r="AA221" i="29"/>
  <c r="AB221" i="29"/>
  <c r="AB225" i="29" s="1"/>
  <c r="AA222" i="29"/>
  <c r="AB222" i="29"/>
  <c r="AA223" i="29"/>
  <c r="AB223" i="29"/>
  <c r="AA224" i="29"/>
  <c r="AB224" i="29"/>
  <c r="AA212" i="29"/>
  <c r="AB212" i="29" s="1"/>
  <c r="AA213" i="29"/>
  <c r="AB213" i="29"/>
  <c r="AA214" i="29"/>
  <c r="AB214" i="29"/>
  <c r="AA215" i="29"/>
  <c r="AB215" i="29"/>
  <c r="AA203" i="29"/>
  <c r="AB203" i="29"/>
  <c r="AA204" i="29"/>
  <c r="AB204" i="29"/>
  <c r="AA205" i="29"/>
  <c r="AB205" i="29" s="1"/>
  <c r="AA206" i="29"/>
  <c r="AB206" i="29"/>
  <c r="AA194" i="29"/>
  <c r="AB194" i="29"/>
  <c r="AA195" i="29"/>
  <c r="AB195" i="29"/>
  <c r="AA196" i="29"/>
  <c r="AB196" i="29"/>
  <c r="AA197" i="29"/>
  <c r="AB197" i="29"/>
  <c r="AA185" i="29"/>
  <c r="AB185" i="29" s="1"/>
  <c r="AA186" i="29"/>
  <c r="AB186" i="29"/>
  <c r="AA187" i="29"/>
  <c r="AB187" i="29" s="1"/>
  <c r="AA188" i="29"/>
  <c r="AB188" i="29"/>
  <c r="AA174" i="29"/>
  <c r="AB174" i="29"/>
  <c r="AA175" i="29"/>
  <c r="AB175" i="29"/>
  <c r="AA176" i="29"/>
  <c r="AB176" i="29"/>
  <c r="AA177" i="29"/>
  <c r="AB177" i="29"/>
  <c r="AA165" i="29"/>
  <c r="AB165" i="29"/>
  <c r="AA166" i="29"/>
  <c r="AB166" i="29"/>
  <c r="AA167" i="29"/>
  <c r="AB167" i="29"/>
  <c r="AA168" i="29"/>
  <c r="AB168" i="29"/>
  <c r="AA156" i="29"/>
  <c r="AB156" i="29" s="1"/>
  <c r="AB160" i="29" s="1"/>
  <c r="AA157" i="29"/>
  <c r="AB157" i="29"/>
  <c r="AA158" i="29"/>
  <c r="AB158" i="29"/>
  <c r="AA159" i="29"/>
  <c r="AB159" i="29"/>
  <c r="AA147" i="29"/>
  <c r="AB147" i="29"/>
  <c r="AA148" i="29"/>
  <c r="AB148" i="29"/>
  <c r="AA149" i="29"/>
  <c r="AB149" i="29"/>
  <c r="AA150" i="29"/>
  <c r="AB150" i="29" s="1"/>
  <c r="AA138" i="29"/>
  <c r="AB138" i="29"/>
  <c r="AA139" i="29"/>
  <c r="AB139" i="29"/>
  <c r="AA140" i="29"/>
  <c r="AB140" i="29"/>
  <c r="AA141" i="29"/>
  <c r="AB141" i="29"/>
  <c r="AA129" i="29"/>
  <c r="AB129" i="29" s="1"/>
  <c r="AA130" i="29"/>
  <c r="AB130" i="29"/>
  <c r="AA131" i="29"/>
  <c r="AB131" i="29"/>
  <c r="AA132" i="29"/>
  <c r="AB132" i="29"/>
  <c r="AA115" i="29"/>
  <c r="AB115" i="29"/>
  <c r="AA116" i="29"/>
  <c r="AB116" i="29"/>
  <c r="AB118" i="29" s="1"/>
  <c r="AA117" i="29"/>
  <c r="AB117" i="29"/>
  <c r="AA107" i="29"/>
  <c r="AB107" i="29"/>
  <c r="AB110" i="29" s="1"/>
  <c r="AA108" i="29"/>
  <c r="AB108" i="29"/>
  <c r="AA109" i="29"/>
  <c r="AB109" i="29"/>
  <c r="AA99" i="29"/>
  <c r="AB99" i="29"/>
  <c r="AA100" i="29"/>
  <c r="AB100" i="29"/>
  <c r="AB102" i="29" s="1"/>
  <c r="AA101" i="29"/>
  <c r="AB101" i="29" s="1"/>
  <c r="AA91" i="29"/>
  <c r="AB91" i="29"/>
  <c r="AA92" i="29"/>
  <c r="AB92" i="29"/>
  <c r="AA93" i="29"/>
  <c r="AB93" i="29" s="1"/>
  <c r="AA65" i="29"/>
  <c r="AB65" i="29" s="1"/>
  <c r="AA66" i="29"/>
  <c r="AB66" i="29" s="1"/>
  <c r="AA67" i="29"/>
  <c r="AB67" i="29" s="1"/>
  <c r="AA68" i="29"/>
  <c r="AB68" i="29"/>
  <c r="AA69" i="29"/>
  <c r="AB69" i="29" s="1"/>
  <c r="AA70" i="29"/>
  <c r="AB70" i="29" s="1"/>
  <c r="AA71" i="29"/>
  <c r="AB71" i="29" s="1"/>
  <c r="AA72" i="29"/>
  <c r="AB72" i="29"/>
  <c r="AA54" i="29"/>
  <c r="AB54" i="29" s="1"/>
  <c r="AB57" i="29" s="1"/>
  <c r="AA55" i="29"/>
  <c r="AB55" i="29"/>
  <c r="AA56" i="29"/>
  <c r="AB56" i="29"/>
  <c r="AA35" i="29"/>
  <c r="AB35" i="29" s="1"/>
  <c r="AA36" i="29"/>
  <c r="AB36" i="29" s="1"/>
  <c r="AA37" i="29"/>
  <c r="AB37" i="29" s="1"/>
  <c r="AA38" i="29"/>
  <c r="AB38" i="29"/>
  <c r="AA39" i="29"/>
  <c r="AB39" i="29"/>
  <c r="AA40" i="29"/>
  <c r="AB40" i="29"/>
  <c r="AA41" i="29"/>
  <c r="AB41" i="29" s="1"/>
  <c r="AA42" i="29"/>
  <c r="AB42" i="29"/>
  <c r="AA24" i="29"/>
  <c r="AB24" i="29"/>
  <c r="AA25" i="29"/>
  <c r="AB25" i="29" s="1"/>
  <c r="AB27" i="29" s="1"/>
  <c r="AA26" i="29"/>
  <c r="AB26" i="29"/>
  <c r="C16" i="29"/>
  <c r="B63" i="13"/>
  <c r="D28" i="14"/>
  <c r="B28" i="14"/>
  <c r="C28" i="14"/>
  <c r="DR2" i="19"/>
  <c r="I12" i="2"/>
  <c r="F18" i="15" s="1"/>
  <c r="K3" i="11"/>
  <c r="L3" i="11"/>
  <c r="M3" i="11"/>
  <c r="N3" i="11"/>
  <c r="I139" i="10" s="1"/>
  <c r="J139" i="10" s="1"/>
  <c r="B42" i="10"/>
  <c r="C40" i="10"/>
  <c r="C42" i="10" s="1"/>
  <c r="K28" i="8"/>
  <c r="H28" i="8"/>
  <c r="I65" i="2"/>
  <c r="V17" i="18"/>
  <c r="W17" i="18"/>
  <c r="X17" i="18"/>
  <c r="Y17" i="18"/>
  <c r="Z17" i="18"/>
  <c r="V18" i="18"/>
  <c r="W18" i="18"/>
  <c r="X18" i="18"/>
  <c r="Y18" i="18"/>
  <c r="K22" i="8"/>
  <c r="K23" i="8"/>
  <c r="K24" i="8"/>
  <c r="K21" i="8"/>
  <c r="H22" i="8"/>
  <c r="H23" i="8"/>
  <c r="H24" i="8"/>
  <c r="H21" i="8"/>
  <c r="R390" i="22"/>
  <c r="R387" i="22"/>
  <c r="S144" i="22"/>
  <c r="F28" i="14"/>
  <c r="E28" i="14"/>
  <c r="B360" i="22"/>
  <c r="J76" i="27"/>
  <c r="G76" i="27"/>
  <c r="M74" i="27"/>
  <c r="M73" i="27"/>
  <c r="V67" i="27"/>
  <c r="R67" i="27"/>
  <c r="Q67" i="27"/>
  <c r="I67" i="27"/>
  <c r="AD66" i="27"/>
  <c r="Y66" i="27"/>
  <c r="V66" i="27"/>
  <c r="I66" i="27"/>
  <c r="V65" i="27"/>
  <c r="R65" i="27"/>
  <c r="Q65" i="27"/>
  <c r="I65" i="27"/>
  <c r="AD64" i="27"/>
  <c r="Y64" i="27"/>
  <c r="V64" i="27"/>
  <c r="I64" i="27"/>
  <c r="V63" i="27"/>
  <c r="R63" i="27"/>
  <c r="Q63" i="27"/>
  <c r="I63" i="27"/>
  <c r="AD62" i="27"/>
  <c r="Y62" i="27"/>
  <c r="V62" i="27"/>
  <c r="I62" i="27"/>
  <c r="V61" i="27"/>
  <c r="R61" i="27"/>
  <c r="Q61" i="27"/>
  <c r="I61" i="27"/>
  <c r="AD60" i="27"/>
  <c r="Y60" i="27"/>
  <c r="V60" i="27"/>
  <c r="I60" i="27"/>
  <c r="V59" i="27"/>
  <c r="R59" i="27"/>
  <c r="Q59" i="27"/>
  <c r="I59" i="27"/>
  <c r="AD58" i="27"/>
  <c r="Y58" i="27"/>
  <c r="V58" i="27"/>
  <c r="I58" i="27"/>
  <c r="V57" i="27"/>
  <c r="R57" i="27"/>
  <c r="Q57" i="27"/>
  <c r="I57" i="27"/>
  <c r="AD56" i="27"/>
  <c r="Y56" i="27"/>
  <c r="V56" i="27"/>
  <c r="I56" i="27"/>
  <c r="V55" i="27"/>
  <c r="R55" i="27"/>
  <c r="Q55" i="27"/>
  <c r="I55" i="27"/>
  <c r="AD54" i="27"/>
  <c r="Y54" i="27"/>
  <c r="V54" i="27"/>
  <c r="I54" i="27"/>
  <c r="V53" i="27"/>
  <c r="R53" i="27"/>
  <c r="Q53" i="27"/>
  <c r="I53" i="27"/>
  <c r="AD52" i="27"/>
  <c r="Y52" i="27"/>
  <c r="V52" i="27"/>
  <c r="I52" i="27"/>
  <c r="V51" i="27"/>
  <c r="R51" i="27"/>
  <c r="Q51" i="27"/>
  <c r="I51" i="27"/>
  <c r="AD50" i="27"/>
  <c r="Y50" i="27"/>
  <c r="V50" i="27"/>
  <c r="I50" i="27"/>
  <c r="V49" i="27"/>
  <c r="R49" i="27"/>
  <c r="Q49" i="27"/>
  <c r="I49" i="27"/>
  <c r="AD48" i="27"/>
  <c r="Y48" i="27"/>
  <c r="V48" i="27"/>
  <c r="I48" i="27"/>
  <c r="V47" i="27"/>
  <c r="R47" i="27"/>
  <c r="Q47" i="27"/>
  <c r="I47" i="27"/>
  <c r="AD46" i="27"/>
  <c r="Y46" i="27"/>
  <c r="V46" i="27"/>
  <c r="I46" i="27"/>
  <c r="V45" i="27"/>
  <c r="R45" i="27"/>
  <c r="Q45" i="27"/>
  <c r="I45" i="27"/>
  <c r="AD44" i="27"/>
  <c r="Y44" i="27"/>
  <c r="V44" i="27"/>
  <c r="I44" i="27"/>
  <c r="V43" i="27"/>
  <c r="R43" i="27"/>
  <c r="Q43" i="27"/>
  <c r="I43" i="27"/>
  <c r="AD42" i="27"/>
  <c r="Y42" i="27"/>
  <c r="V42" i="27"/>
  <c r="I42" i="27"/>
  <c r="V41" i="27"/>
  <c r="R41" i="27"/>
  <c r="Q41" i="27"/>
  <c r="I41" i="27"/>
  <c r="AD40" i="27"/>
  <c r="Y40" i="27"/>
  <c r="V40" i="27"/>
  <c r="I40" i="27"/>
  <c r="V39" i="27"/>
  <c r="R39" i="27"/>
  <c r="Q39" i="27"/>
  <c r="I39" i="27"/>
  <c r="AD38" i="27"/>
  <c r="Y38" i="27"/>
  <c r="V38" i="27"/>
  <c r="I38" i="27"/>
  <c r="V37" i="27"/>
  <c r="R37" i="27"/>
  <c r="Q37" i="27"/>
  <c r="I37" i="27"/>
  <c r="AD36" i="27"/>
  <c r="Y36" i="27"/>
  <c r="V36" i="27"/>
  <c r="I36" i="27"/>
  <c r="V35" i="27"/>
  <c r="R35" i="27"/>
  <c r="Q35" i="27"/>
  <c r="I35" i="27"/>
  <c r="AD34" i="27"/>
  <c r="Y34" i="27"/>
  <c r="V34" i="27"/>
  <c r="I34" i="27"/>
  <c r="V33" i="27"/>
  <c r="R33" i="27"/>
  <c r="Q33" i="27"/>
  <c r="I33" i="27"/>
  <c r="AD32" i="27"/>
  <c r="Y32" i="27"/>
  <c r="V32" i="27"/>
  <c r="I32" i="27"/>
  <c r="V31" i="27"/>
  <c r="R31" i="27"/>
  <c r="Q31" i="27"/>
  <c r="I31" i="27"/>
  <c r="AD30" i="27"/>
  <c r="Y30" i="27"/>
  <c r="V30" i="27"/>
  <c r="I30" i="27"/>
  <c r="V29" i="27"/>
  <c r="R29" i="27"/>
  <c r="Q29" i="27"/>
  <c r="I29" i="27"/>
  <c r="AD28" i="27"/>
  <c r="Y28" i="27"/>
  <c r="V28" i="27"/>
  <c r="I28" i="27"/>
  <c r="V27" i="27"/>
  <c r="R27" i="27"/>
  <c r="Q27" i="27"/>
  <c r="I27" i="27"/>
  <c r="AD26" i="27"/>
  <c r="Y26" i="27"/>
  <c r="V26" i="27"/>
  <c r="I26" i="27"/>
  <c r="V25" i="27"/>
  <c r="R25" i="27"/>
  <c r="Q25" i="27"/>
  <c r="I25" i="27"/>
  <c r="AD24" i="27"/>
  <c r="Y24" i="27"/>
  <c r="V24" i="27"/>
  <c r="I24" i="27"/>
  <c r="V23" i="27"/>
  <c r="R23" i="27"/>
  <c r="Q23" i="27"/>
  <c r="I23" i="27"/>
  <c r="AD22" i="27"/>
  <c r="Y22" i="27"/>
  <c r="V22" i="27"/>
  <c r="I22" i="27"/>
  <c r="V21" i="27"/>
  <c r="R21" i="27"/>
  <c r="Q21" i="27"/>
  <c r="I21" i="27"/>
  <c r="AD20" i="27"/>
  <c r="Y20" i="27"/>
  <c r="V20" i="27"/>
  <c r="I20" i="27"/>
  <c r="M14" i="27"/>
  <c r="M13" i="27"/>
  <c r="J11" i="27"/>
  <c r="I11" i="27"/>
  <c r="H11" i="27"/>
  <c r="G11" i="27"/>
  <c r="F11" i="27"/>
  <c r="E11" i="27"/>
  <c r="D11" i="27"/>
  <c r="C11" i="27"/>
  <c r="J10" i="27"/>
  <c r="I10" i="27"/>
  <c r="H10" i="27"/>
  <c r="G10" i="27"/>
  <c r="F10" i="27"/>
  <c r="E10" i="27"/>
  <c r="D10" i="27"/>
  <c r="C10" i="27"/>
  <c r="B90" i="27"/>
  <c r="C90" i="27" s="1"/>
  <c r="D90" i="27" s="1"/>
  <c r="O117" i="10"/>
  <c r="L117" i="10"/>
  <c r="G117" i="10"/>
  <c r="C117" i="10"/>
  <c r="B117" i="10"/>
  <c r="I89" i="10"/>
  <c r="G89" i="10"/>
  <c r="C89" i="10"/>
  <c r="B89" i="10"/>
  <c r="L53" i="8"/>
  <c r="K53" i="8"/>
  <c r="J53" i="8"/>
  <c r="D53" i="8"/>
  <c r="C53" i="8"/>
  <c r="B53" i="8"/>
  <c r="L44" i="8"/>
  <c r="K44" i="8"/>
  <c r="J44" i="8"/>
  <c r="I44" i="8"/>
  <c r="F44" i="8"/>
  <c r="D44" i="8"/>
  <c r="C44" i="8"/>
  <c r="B44" i="8"/>
  <c r="I77" i="7"/>
  <c r="G77" i="7"/>
  <c r="D77" i="7"/>
  <c r="C77" i="7"/>
  <c r="B77" i="7"/>
  <c r="I68" i="7"/>
  <c r="G68" i="7"/>
  <c r="D68" i="7"/>
  <c r="C68" i="7"/>
  <c r="B68" i="7"/>
  <c r="I60" i="7"/>
  <c r="G60" i="7"/>
  <c r="D60" i="7"/>
  <c r="C60" i="7"/>
  <c r="B60" i="7"/>
  <c r="I51" i="7"/>
  <c r="G51" i="7"/>
  <c r="D51" i="7"/>
  <c r="C51" i="7"/>
  <c r="B51" i="7"/>
  <c r="I42" i="7"/>
  <c r="G42" i="7"/>
  <c r="D42" i="7"/>
  <c r="C42" i="7"/>
  <c r="B42" i="7"/>
  <c r="L33" i="7"/>
  <c r="K33" i="7"/>
  <c r="I33" i="7"/>
  <c r="G33" i="7"/>
  <c r="C33" i="7"/>
  <c r="D33" i="7"/>
  <c r="B33" i="7"/>
  <c r="B13" i="5"/>
  <c r="K74" i="27"/>
  <c r="G113" i="27"/>
  <c r="K73" i="27"/>
  <c r="M90" i="27"/>
  <c r="J93" i="27"/>
  <c r="B12" i="5"/>
  <c r="C22" i="12"/>
  <c r="K90" i="27"/>
  <c r="G93" i="27"/>
  <c r="K91" i="27"/>
  <c r="M91" i="27"/>
  <c r="J58" i="22"/>
  <c r="J59" i="22"/>
  <c r="J56" i="22"/>
  <c r="I58" i="22"/>
  <c r="I59" i="22"/>
  <c r="I56" i="22"/>
  <c r="K100" i="27"/>
  <c r="B324" i="22"/>
  <c r="C324" i="22" s="1"/>
  <c r="D324" i="22" s="1"/>
  <c r="B323" i="22"/>
  <c r="C323" i="22"/>
  <c r="D323" i="22" s="1"/>
  <c r="B315" i="22"/>
  <c r="C315" i="22" s="1"/>
  <c r="D315" i="22" s="1"/>
  <c r="B314" i="22"/>
  <c r="C314" i="22"/>
  <c r="D314" i="22" s="1"/>
  <c r="B274" i="22"/>
  <c r="C274" i="22"/>
  <c r="D274" i="22" s="1"/>
  <c r="B273" i="22"/>
  <c r="C273" i="22" s="1"/>
  <c r="D273" i="22" s="1"/>
  <c r="M100" i="27"/>
  <c r="K99" i="27"/>
  <c r="M99" i="27"/>
  <c r="M120" i="27"/>
  <c r="J113" i="27"/>
  <c r="K120" i="27"/>
  <c r="K119" i="27"/>
  <c r="M119" i="27"/>
  <c r="J155" i="10"/>
  <c r="Y155" i="10"/>
  <c r="J154" i="10"/>
  <c r="Y154" i="10"/>
  <c r="J151" i="10"/>
  <c r="Y151" i="10"/>
  <c r="H118" i="23"/>
  <c r="G118" i="23"/>
  <c r="B118" i="23"/>
  <c r="H117" i="23"/>
  <c r="G117" i="23"/>
  <c r="B117" i="23"/>
  <c r="H116" i="23"/>
  <c r="G116" i="23"/>
  <c r="F105" i="23"/>
  <c r="C106" i="23"/>
  <c r="F118" i="23" s="1"/>
  <c r="I118" i="23" s="1"/>
  <c r="G65" i="23"/>
  <c r="C65" i="23"/>
  <c r="B65" i="23"/>
  <c r="G64" i="23"/>
  <c r="C64" i="23"/>
  <c r="B64" i="23"/>
  <c r="G63" i="23"/>
  <c r="C63" i="23"/>
  <c r="B63" i="23"/>
  <c r="G62" i="23"/>
  <c r="C62" i="23"/>
  <c r="B62" i="23"/>
  <c r="G61" i="23"/>
  <c r="C61" i="23"/>
  <c r="B61" i="23"/>
  <c r="G60" i="23"/>
  <c r="P56" i="23"/>
  <c r="F51" i="23"/>
  <c r="C52" i="23"/>
  <c r="F45" i="23"/>
  <c r="C46" i="23"/>
  <c r="I64" i="23" s="1"/>
  <c r="F39" i="23"/>
  <c r="C40" i="23" s="1"/>
  <c r="Q32" i="23"/>
  <c r="M32" i="23"/>
  <c r="C30" i="23"/>
  <c r="F32" i="23"/>
  <c r="C33" i="23"/>
  <c r="I29" i="23"/>
  <c r="K23" i="23"/>
  <c r="M23" i="23"/>
  <c r="J23" i="23"/>
  <c r="G23" i="23"/>
  <c r="I23" i="23"/>
  <c r="D23" i="23"/>
  <c r="F23" i="23"/>
  <c r="K22" i="23"/>
  <c r="L23" i="23"/>
  <c r="J22" i="23"/>
  <c r="G22" i="23"/>
  <c r="H23" i="23"/>
  <c r="D22" i="23"/>
  <c r="E23" i="23"/>
  <c r="K21" i="23"/>
  <c r="L22" i="23"/>
  <c r="J21" i="23"/>
  <c r="G21" i="23"/>
  <c r="H22" i="23" s="1"/>
  <c r="D21" i="23"/>
  <c r="E22" i="23"/>
  <c r="I334" i="22"/>
  <c r="F334" i="22"/>
  <c r="D312" i="22"/>
  <c r="B312" i="22"/>
  <c r="J276" i="22"/>
  <c r="G276" i="22"/>
  <c r="M274" i="22"/>
  <c r="K274" i="22"/>
  <c r="M273" i="22"/>
  <c r="K273" i="22"/>
  <c r="Q217" i="22"/>
  <c r="Q215" i="22"/>
  <c r="Q213" i="22"/>
  <c r="Q211" i="22"/>
  <c r="Q209" i="22"/>
  <c r="Q207" i="22"/>
  <c r="Q205" i="22"/>
  <c r="AD204" i="22"/>
  <c r="Q203" i="22"/>
  <c r="AD202" i="22"/>
  <c r="Q201" i="22"/>
  <c r="AD200" i="22"/>
  <c r="Q199" i="22"/>
  <c r="AD198" i="22"/>
  <c r="Q197" i="22"/>
  <c r="AD196" i="22"/>
  <c r="Q195" i="22"/>
  <c r="AD194" i="22"/>
  <c r="Q193" i="22"/>
  <c r="AD192" i="22"/>
  <c r="Q191" i="22"/>
  <c r="AD190" i="22"/>
  <c r="Q189" i="22"/>
  <c r="AD188" i="22"/>
  <c r="Q187" i="22"/>
  <c r="AD186" i="22"/>
  <c r="Q185" i="22"/>
  <c r="AD184" i="22"/>
  <c r="Q183" i="22"/>
  <c r="AD182" i="22"/>
  <c r="Q181" i="22"/>
  <c r="AD180" i="22"/>
  <c r="Q179" i="22"/>
  <c r="AD178" i="22"/>
  <c r="Q177" i="22"/>
  <c r="AD176" i="22"/>
  <c r="Q175" i="22"/>
  <c r="AD174" i="22"/>
  <c r="Q173" i="22"/>
  <c r="AD172" i="22"/>
  <c r="Q171" i="22"/>
  <c r="AD170" i="22"/>
  <c r="M157" i="22"/>
  <c r="L157" i="22"/>
  <c r="B155" i="22"/>
  <c r="F155" i="22"/>
  <c r="B154" i="22"/>
  <c r="F154" i="22"/>
  <c r="E146" i="22"/>
  <c r="M146" i="22" s="1"/>
  <c r="E145" i="22"/>
  <c r="M145" i="22"/>
  <c r="R143" i="22"/>
  <c r="Q143" i="22"/>
  <c r="R142" i="22"/>
  <c r="Q142" i="22"/>
  <c r="R141" i="22"/>
  <c r="Q141" i="22"/>
  <c r="R140" i="22"/>
  <c r="Q140" i="22"/>
  <c r="R139" i="22"/>
  <c r="Q139" i="22"/>
  <c r="R137" i="22"/>
  <c r="Q137" i="22"/>
  <c r="R135" i="22"/>
  <c r="Q135" i="22"/>
  <c r="R133" i="22"/>
  <c r="Q133" i="22"/>
  <c r="R131" i="22"/>
  <c r="Q131" i="22"/>
  <c r="R129" i="22"/>
  <c r="Q129" i="22"/>
  <c r="R127" i="22"/>
  <c r="Q127" i="22"/>
  <c r="R125" i="22"/>
  <c r="Q125" i="22"/>
  <c r="R123" i="22"/>
  <c r="Q123" i="22"/>
  <c r="R121" i="22"/>
  <c r="Q121" i="22"/>
  <c r="R119" i="22"/>
  <c r="Q119" i="22"/>
  <c r="R117" i="22"/>
  <c r="Q117" i="22"/>
  <c r="R115" i="22"/>
  <c r="Q115" i="22"/>
  <c r="R113" i="22"/>
  <c r="Q113" i="22"/>
  <c r="R111" i="22"/>
  <c r="Q111" i="22"/>
  <c r="R109" i="22"/>
  <c r="Q109" i="22"/>
  <c r="R107" i="22"/>
  <c r="Q107" i="22"/>
  <c r="R105" i="22"/>
  <c r="Q105" i="22"/>
  <c r="R103" i="22"/>
  <c r="Q103" i="22"/>
  <c r="R101" i="22"/>
  <c r="Q101" i="22"/>
  <c r="R99" i="22"/>
  <c r="Q99" i="22"/>
  <c r="R97" i="22"/>
  <c r="Q97" i="22"/>
  <c r="R59" i="22"/>
  <c r="Q59" i="22"/>
  <c r="H59" i="22"/>
  <c r="H58" i="22"/>
  <c r="H56" i="22"/>
  <c r="I41" i="22"/>
  <c r="I33" i="22"/>
  <c r="G33" i="22"/>
  <c r="D36" i="10"/>
  <c r="B34" i="8"/>
  <c r="R58" i="22"/>
  <c r="R56" i="22"/>
  <c r="C57" i="10"/>
  <c r="J24" i="3"/>
  <c r="E29" i="12"/>
  <c r="E55" i="12"/>
  <c r="J23" i="3"/>
  <c r="S62" i="4"/>
  <c r="U62" i="4" s="1"/>
  <c r="R62" i="4"/>
  <c r="T62" i="4" s="1"/>
  <c r="R60" i="4"/>
  <c r="T60" i="4"/>
  <c r="S60" i="4"/>
  <c r="U60" i="4" s="1"/>
  <c r="B87" i="12"/>
  <c r="S61" i="4"/>
  <c r="U61" i="4"/>
  <c r="R61" i="4"/>
  <c r="T61" i="4"/>
  <c r="J94" i="16"/>
  <c r="J81" i="16"/>
  <c r="J64" i="16"/>
  <c r="J45" i="16"/>
  <c r="J32" i="16"/>
  <c r="L102" i="10"/>
  <c r="O81" i="10"/>
  <c r="L81" i="10"/>
  <c r="O110" i="10"/>
  <c r="L110" i="10"/>
  <c r="B108" i="10"/>
  <c r="O41" i="10"/>
  <c r="L41" i="10"/>
  <c r="B81" i="13"/>
  <c r="C81" i="13"/>
  <c r="H69" i="13"/>
  <c r="B62" i="13"/>
  <c r="B18" i="13"/>
  <c r="D28" i="4"/>
  <c r="F84" i="12"/>
  <c r="C70" i="12"/>
  <c r="D77" i="10"/>
  <c r="G96" i="10"/>
  <c r="K36" i="10"/>
  <c r="M77" i="10"/>
  <c r="G31" i="10"/>
  <c r="K57" i="10"/>
  <c r="K58" i="10"/>
  <c r="F33" i="3"/>
  <c r="J31" i="14"/>
  <c r="J32" i="14"/>
  <c r="J70" i="14" s="1"/>
  <c r="I70" i="14" s="1"/>
  <c r="J29" i="14"/>
  <c r="K73" i="10"/>
  <c r="E31" i="10"/>
  <c r="I31" i="10"/>
  <c r="J31" i="10"/>
  <c r="L31" i="10"/>
  <c r="H36" i="10"/>
  <c r="C32" i="10"/>
  <c r="S59" i="4"/>
  <c r="U59" i="4"/>
  <c r="R59" i="4"/>
  <c r="T59" i="4"/>
  <c r="H91" i="4"/>
  <c r="Q87" i="4"/>
  <c r="O87" i="4"/>
  <c r="M87" i="4"/>
  <c r="I87" i="4"/>
  <c r="F87" i="4"/>
  <c r="D87" i="4"/>
  <c r="H56" i="4"/>
  <c r="R55" i="4"/>
  <c r="T83" i="4"/>
  <c r="D71" i="4"/>
  <c r="T44" i="4"/>
  <c r="D44" i="4"/>
  <c r="B47" i="4"/>
  <c r="M29" i="4"/>
  <c r="H29" i="4"/>
  <c r="CW1" i="19"/>
  <c r="CV1" i="19"/>
  <c r="N11" i="5"/>
  <c r="E11" i="5"/>
  <c r="F11" i="5"/>
  <c r="G11" i="5"/>
  <c r="H11" i="5"/>
  <c r="I11" i="5"/>
  <c r="J11" i="5"/>
  <c r="K11" i="5"/>
  <c r="L11" i="5"/>
  <c r="M11" i="5"/>
  <c r="O9" i="5"/>
  <c r="O11" i="5"/>
  <c r="P9" i="5"/>
  <c r="P11" i="5"/>
  <c r="Q9" i="5"/>
  <c r="Q11" i="5"/>
  <c r="D11" i="5"/>
  <c r="C11" i="5"/>
  <c r="B11" i="5"/>
  <c r="L49" i="12"/>
  <c r="L50" i="12"/>
  <c r="L40" i="12"/>
  <c r="B32" i="12"/>
  <c r="B58" i="12"/>
  <c r="L51" i="12"/>
  <c r="F139" i="10"/>
  <c r="F16" i="2"/>
  <c r="C17" i="18" s="1"/>
  <c r="L24" i="12"/>
  <c r="O3" i="11"/>
  <c r="P3" i="11"/>
  <c r="Q3" i="11"/>
  <c r="R3" i="11"/>
  <c r="S3" i="11"/>
  <c r="T3" i="11"/>
  <c r="F138" i="10"/>
  <c r="L76" i="12"/>
  <c r="L77" i="12"/>
  <c r="L75" i="12"/>
  <c r="L52" i="12"/>
  <c r="L53" i="12"/>
  <c r="L54" i="12"/>
  <c r="L25" i="12"/>
  <c r="L26" i="12"/>
  <c r="L27" i="12"/>
  <c r="L28" i="12"/>
  <c r="L23" i="12"/>
  <c r="I44" i="2"/>
  <c r="M66" i="2"/>
  <c r="X151" i="10"/>
  <c r="X152" i="10"/>
  <c r="X153" i="10"/>
  <c r="X154" i="10"/>
  <c r="X155" i="10"/>
  <c r="X150" i="10"/>
  <c r="X156" i="10" s="1"/>
  <c r="BI35" i="15"/>
  <c r="I35" i="15" s="1"/>
  <c r="BI31" i="15"/>
  <c r="BH35" i="15"/>
  <c r="BH31" i="15"/>
  <c r="K31" i="15"/>
  <c r="J8" i="19"/>
  <c r="J7" i="19"/>
  <c r="J6" i="19"/>
  <c r="J5" i="19"/>
  <c r="J4" i="19"/>
  <c r="J3" i="19"/>
  <c r="J2" i="19"/>
  <c r="I26" i="15"/>
  <c r="H26" i="15"/>
  <c r="I25" i="15"/>
  <c r="H25" i="15"/>
  <c r="I21" i="15"/>
  <c r="H21" i="15"/>
  <c r="K35" i="15"/>
  <c r="I17" i="15"/>
  <c r="H17" i="15"/>
  <c r="F96" i="10"/>
  <c r="BH61" i="15"/>
  <c r="BH45" i="15"/>
  <c r="U12" i="21"/>
  <c r="M217" i="19"/>
  <c r="I217" i="19"/>
  <c r="F217" i="19"/>
  <c r="K214" i="19"/>
  <c r="J214" i="19"/>
  <c r="F214" i="19" s="1"/>
  <c r="M214" i="19"/>
  <c r="H214" i="19"/>
  <c r="M213" i="19"/>
  <c r="I213" i="19"/>
  <c r="F213" i="19"/>
  <c r="M212" i="19"/>
  <c r="I212" i="19"/>
  <c r="F212" i="19"/>
  <c r="M211" i="19"/>
  <c r="I211" i="19"/>
  <c r="F211" i="19"/>
  <c r="M210" i="19"/>
  <c r="I210" i="19"/>
  <c r="F210" i="19"/>
  <c r="AY19" i="19"/>
  <c r="AY18" i="19"/>
  <c r="CE10" i="19"/>
  <c r="CG10" i="19" s="1"/>
  <c r="CF10" i="19"/>
  <c r="CE9" i="19"/>
  <c r="CG9" i="19"/>
  <c r="CE8" i="19"/>
  <c r="CF8" i="19"/>
  <c r="CG7" i="19"/>
  <c r="CF7" i="19"/>
  <c r="CE6" i="19"/>
  <c r="CF6" i="19" s="1"/>
  <c r="CG6" i="19"/>
  <c r="CG5" i="19"/>
  <c r="CH5" i="19"/>
  <c r="CF5" i="19"/>
  <c r="CF9" i="19"/>
  <c r="U35" i="15"/>
  <c r="K75" i="10"/>
  <c r="K76" i="10"/>
  <c r="K74" i="10"/>
  <c r="B45" i="10"/>
  <c r="C53" i="10"/>
  <c r="F27" i="2"/>
  <c r="C340" i="26" s="1"/>
  <c r="F140" i="10"/>
  <c r="I61" i="2"/>
  <c r="J61" i="2"/>
  <c r="B2" i="21"/>
  <c r="B1" i="21"/>
  <c r="C130" i="10"/>
  <c r="D11" i="21"/>
  <c r="E11" i="21"/>
  <c r="F11" i="21"/>
  <c r="F12" i="21"/>
  <c r="D13" i="21"/>
  <c r="E13" i="21"/>
  <c r="F13" i="21"/>
  <c r="F14" i="21"/>
  <c r="D15" i="21"/>
  <c r="E15" i="21"/>
  <c r="F15" i="21"/>
  <c r="F16" i="21"/>
  <c r="D17" i="21"/>
  <c r="E17" i="21"/>
  <c r="F17" i="21"/>
  <c r="F18" i="21"/>
  <c r="D19" i="21"/>
  <c r="E19" i="21"/>
  <c r="F19" i="21"/>
  <c r="B20" i="21"/>
  <c r="F20" i="21"/>
  <c r="B21" i="21"/>
  <c r="F21" i="21"/>
  <c r="B22" i="21"/>
  <c r="F22" i="21"/>
  <c r="B23" i="21"/>
  <c r="F23" i="21"/>
  <c r="B24" i="21"/>
  <c r="F24" i="21"/>
  <c r="B25" i="21"/>
  <c r="F25" i="21"/>
  <c r="B26" i="21"/>
  <c r="F26" i="21"/>
  <c r="B27" i="21"/>
  <c r="F27" i="21"/>
  <c r="B28" i="21"/>
  <c r="C28" i="21"/>
  <c r="F28" i="21"/>
  <c r="B29" i="21"/>
  <c r="C29" i="21"/>
  <c r="F29" i="21"/>
  <c r="E69" i="16"/>
  <c r="F63" i="15"/>
  <c r="BH68" i="15"/>
  <c r="F56" i="15"/>
  <c r="F47" i="15"/>
  <c r="E71" i="16"/>
  <c r="U21" i="21"/>
  <c r="F40" i="15"/>
  <c r="F42" i="15"/>
  <c r="E68" i="16"/>
  <c r="B27" i="2"/>
  <c r="U26" i="21"/>
  <c r="K41" i="15"/>
  <c r="K47" i="15"/>
  <c r="U11" i="21"/>
  <c r="U17" i="21"/>
  <c r="U22" i="21"/>
  <c r="U23" i="21"/>
  <c r="U24" i="21"/>
  <c r="F22" i="15"/>
  <c r="BH41" i="15"/>
  <c r="F62" i="15"/>
  <c r="F51" i="15"/>
  <c r="F66" i="15"/>
  <c r="E17" i="16"/>
  <c r="E22" i="16"/>
  <c r="K63" i="15"/>
  <c r="U18" i="21"/>
  <c r="U19" i="21"/>
  <c r="U20" i="21"/>
  <c r="BH47" i="15"/>
  <c r="BH63" i="15"/>
  <c r="F60" i="15"/>
  <c r="B23" i="2"/>
  <c r="E20" i="12"/>
  <c r="F48" i="15"/>
  <c r="F64" i="15"/>
  <c r="F49" i="15"/>
  <c r="F65" i="15"/>
  <c r="E37" i="16"/>
  <c r="F20" i="12"/>
  <c r="F25" i="15"/>
  <c r="F38" i="15"/>
  <c r="F54" i="15"/>
  <c r="F43" i="15"/>
  <c r="F59" i="15"/>
  <c r="E50" i="16"/>
  <c r="E51" i="16"/>
  <c r="E56" i="16"/>
  <c r="E67" i="16"/>
  <c r="B25" i="2"/>
  <c r="AU39" i="15"/>
  <c r="AU40" i="15" s="1"/>
  <c r="K45" i="15"/>
  <c r="U25" i="21"/>
  <c r="U10" i="21"/>
  <c r="U14" i="21"/>
  <c r="E37" i="12"/>
  <c r="B16" i="13"/>
  <c r="D69" i="13"/>
  <c r="G79" i="13"/>
  <c r="G41" i="10"/>
  <c r="M53" i="10"/>
  <c r="I152" i="10"/>
  <c r="J152" i="10" s="1"/>
  <c r="Y152" i="10" s="1"/>
  <c r="G67" i="22"/>
  <c r="S83" i="4"/>
  <c r="M56" i="4"/>
  <c r="K87" i="4"/>
  <c r="T87" i="4"/>
  <c r="E84" i="12"/>
  <c r="CV9" i="19"/>
  <c r="CV11" i="19"/>
  <c r="F37" i="12"/>
  <c r="D53" i="10"/>
  <c r="G54" i="10"/>
  <c r="F87" i="10"/>
  <c r="F89" i="10"/>
  <c r="I153" i="10"/>
  <c r="J153" i="10" s="1"/>
  <c r="Y153" i="10" s="1"/>
  <c r="F53" i="10"/>
  <c r="I54" i="10"/>
  <c r="H135" i="10"/>
  <c r="G84" i="12"/>
  <c r="CV10" i="19"/>
  <c r="CV16" i="19"/>
  <c r="DG17" i="19"/>
  <c r="B17" i="13"/>
  <c r="B65" i="13"/>
  <c r="I69" i="13"/>
  <c r="D79" i="13"/>
  <c r="J54" i="10"/>
  <c r="I150" i="10"/>
  <c r="J150" i="10"/>
  <c r="Y150" i="10"/>
  <c r="H136" i="10"/>
  <c r="Q56" i="22"/>
  <c r="Q58" i="22"/>
  <c r="C48" i="4"/>
  <c r="F76" i="27"/>
  <c r="I76" i="27"/>
  <c r="I93" i="27"/>
  <c r="I122" i="27"/>
  <c r="I113" i="27"/>
  <c r="F122" i="27"/>
  <c r="F113" i="27"/>
  <c r="F93" i="27"/>
  <c r="DR3" i="19" a="1"/>
  <c r="DR49" i="19" s="1"/>
  <c r="B48" i="4"/>
  <c r="L63" i="23"/>
  <c r="M63" i="23"/>
  <c r="J85" i="29"/>
  <c r="U85" i="29"/>
  <c r="G86" i="29"/>
  <c r="B69" i="4"/>
  <c r="M46" i="4"/>
  <c r="F46" i="4"/>
  <c r="O10" i="4"/>
  <c r="G10" i="4"/>
  <c r="I46" i="4"/>
  <c r="I10" i="4"/>
  <c r="P73" i="4"/>
  <c r="E10" i="4"/>
  <c r="P46" i="4"/>
  <c r="Q10" i="4"/>
  <c r="F31" i="3"/>
  <c r="C341" i="26"/>
  <c r="C340" i="22"/>
  <c r="C338" i="22"/>
  <c r="I26" i="8"/>
  <c r="F26" i="8"/>
  <c r="G20" i="8"/>
  <c r="I19" i="8"/>
  <c r="J20" i="8"/>
  <c r="G27" i="8"/>
  <c r="F19" i="8"/>
  <c r="J27" i="8"/>
  <c r="C85" i="29"/>
  <c r="V86" i="29"/>
  <c r="E85" i="29"/>
  <c r="O85" i="29"/>
  <c r="E38" i="22"/>
  <c r="E302" i="22" s="1"/>
  <c r="CG8" i="19"/>
  <c r="I85" i="29"/>
  <c r="S85" i="29"/>
  <c r="F86" i="29"/>
  <c r="Q86" i="29"/>
  <c r="O70" i="7"/>
  <c r="F70" i="7" s="1"/>
  <c r="W150" i="10"/>
  <c r="O44" i="7"/>
  <c r="Q44" i="7" s="1"/>
  <c r="P35" i="7"/>
  <c r="G147" i="22"/>
  <c r="K147" i="22"/>
  <c r="O64" i="23"/>
  <c r="K60" i="23"/>
  <c r="K61" i="23"/>
  <c r="K64" i="23"/>
  <c r="K63" i="23"/>
  <c r="AB133" i="29"/>
  <c r="AB198" i="29"/>
  <c r="G62" i="22"/>
  <c r="AB94" i="29"/>
  <c r="AB272" i="29"/>
  <c r="M62" i="22"/>
  <c r="E39" i="22"/>
  <c r="E303" i="22" s="1"/>
  <c r="Q53" i="10"/>
  <c r="F85" i="29"/>
  <c r="K85" i="29"/>
  <c r="Q85" i="29"/>
  <c r="V85" i="29"/>
  <c r="C86" i="29"/>
  <c r="I86" i="29"/>
  <c r="N86" i="29"/>
  <c r="S86" i="29"/>
  <c r="Y86" i="29"/>
  <c r="S91" i="4"/>
  <c r="CH6" i="19"/>
  <c r="CH7" i="19" s="1"/>
  <c r="CH8" i="19" s="1"/>
  <c r="CH9" i="19" s="1"/>
  <c r="CH10" i="19" s="1"/>
  <c r="G85" i="29"/>
  <c r="M85" i="29"/>
  <c r="R85" i="29"/>
  <c r="W85" i="29"/>
  <c r="E86" i="29"/>
  <c r="J86" i="29"/>
  <c r="O86" i="29"/>
  <c r="U86" i="29"/>
  <c r="Z86" i="29"/>
  <c r="AB431" i="29"/>
  <c r="L58" i="22"/>
  <c r="I30" i="12"/>
  <c r="M63" i="22"/>
  <c r="G63" i="22"/>
  <c r="F55" i="12"/>
  <c r="AA17" i="18"/>
  <c r="AB17" i="18"/>
  <c r="Z18" i="18"/>
  <c r="AA18" i="18"/>
  <c r="AB18" i="18"/>
  <c r="AC18" i="18"/>
  <c r="AC17" i="18"/>
  <c r="B5" i="29"/>
  <c r="F38" i="22"/>
  <c r="L146" i="22"/>
  <c r="L145" i="22"/>
  <c r="M67" i="22"/>
  <c r="H67" i="22"/>
  <c r="F145" i="22"/>
  <c r="E146" i="26"/>
  <c r="J62" i="14"/>
  <c r="I62" i="14" s="1"/>
  <c r="O8" i="5"/>
  <c r="AD17" i="18"/>
  <c r="AE17" i="18"/>
  <c r="AF17" i="18"/>
  <c r="B10" i="8"/>
  <c r="B19" i="7"/>
  <c r="AB216" i="29"/>
  <c r="AB413" i="29"/>
  <c r="AB487" i="29"/>
  <c r="K67" i="14"/>
  <c r="J46" i="14"/>
  <c r="I46" i="14" s="1"/>
  <c r="O60" i="23"/>
  <c r="J68" i="14"/>
  <c r="I214" i="19"/>
  <c r="B218" i="19"/>
  <c r="AB478" i="29"/>
  <c r="F117" i="23"/>
  <c r="I117" i="23"/>
  <c r="L21" i="22"/>
  <c r="L21" i="26"/>
  <c r="I261" i="26" s="1"/>
  <c r="F75" i="10"/>
  <c r="L75" i="10"/>
  <c r="K29" i="10"/>
  <c r="K31" i="10"/>
  <c r="L20" i="26"/>
  <c r="K17" i="26" s="1"/>
  <c r="Q129" i="26" s="1"/>
  <c r="K19" i="26"/>
  <c r="F58" i="10"/>
  <c r="L58" i="10" s="1"/>
  <c r="F76" i="10"/>
  <c r="L76" i="10" s="1"/>
  <c r="F33" i="10"/>
  <c r="F29" i="10"/>
  <c r="F31" i="10"/>
  <c r="F74" i="10"/>
  <c r="L74" i="10"/>
  <c r="F35" i="10"/>
  <c r="D29" i="10"/>
  <c r="D31" i="10" s="1"/>
  <c r="I138" i="10"/>
  <c r="J138" i="10"/>
  <c r="CU11" i="19"/>
  <c r="C339" i="26"/>
  <c r="CU9" i="19"/>
  <c r="S35" i="4" s="1"/>
  <c r="U35" i="4" s="1"/>
  <c r="D85" i="29"/>
  <c r="H85" i="29"/>
  <c r="L85" i="29"/>
  <c r="P85" i="29"/>
  <c r="T85" i="29"/>
  <c r="L86" i="29"/>
  <c r="P86" i="29"/>
  <c r="CU10" i="19"/>
  <c r="N21" i="4"/>
  <c r="F117" i="26"/>
  <c r="F129" i="26"/>
  <c r="F239" i="26"/>
  <c r="F222" i="26"/>
  <c r="F322" i="26"/>
  <c r="F311" i="26"/>
  <c r="K49" i="14"/>
  <c r="J49" i="14"/>
  <c r="J63" i="14"/>
  <c r="I63" i="14" s="1"/>
  <c r="J74" i="14"/>
  <c r="I74" i="14" s="1"/>
  <c r="J58" i="14"/>
  <c r="I58" i="14" s="1"/>
  <c r="J69" i="14"/>
  <c r="J72" i="14"/>
  <c r="I72" i="14" s="1"/>
  <c r="Q78" i="7"/>
  <c r="C15" i="18"/>
  <c r="AD18" i="18"/>
  <c r="AE18" i="18"/>
  <c r="AF18" i="18"/>
  <c r="AG18" i="18"/>
  <c r="K158" i="26"/>
  <c r="K139" i="26"/>
  <c r="G213" i="26"/>
  <c r="K137" i="26"/>
  <c r="G211" i="26"/>
  <c r="K135" i="26"/>
  <c r="G209" i="26"/>
  <c r="I209" i="26" s="1"/>
  <c r="K133" i="26"/>
  <c r="G207" i="26"/>
  <c r="I207" i="26" s="1"/>
  <c r="E315" i="26"/>
  <c r="B308" i="22"/>
  <c r="E315" i="22"/>
  <c r="E317" i="26"/>
  <c r="L66" i="2"/>
  <c r="B10" i="3"/>
  <c r="H5" i="22"/>
  <c r="B104" i="10"/>
  <c r="B22" i="4"/>
  <c r="B22" i="12"/>
  <c r="B75" i="4"/>
  <c r="B91" i="4"/>
  <c r="B12" i="4"/>
  <c r="U14" i="4" s="1" a="1"/>
  <c r="U14" i="4" s="1"/>
  <c r="B57" i="10"/>
  <c r="C342" i="26" s="1"/>
  <c r="B112" i="10"/>
  <c r="B43" i="10"/>
  <c r="G10" i="16"/>
  <c r="G64" i="16" s="1"/>
  <c r="B70" i="12"/>
  <c r="B83" i="10"/>
  <c r="Q5" i="26"/>
  <c r="J116" i="22"/>
  <c r="H111" i="22"/>
  <c r="I123" i="22"/>
  <c r="H125" i="22"/>
  <c r="H211" i="22"/>
  <c r="H142" i="22"/>
  <c r="J117" i="22"/>
  <c r="H121" i="22"/>
  <c r="H124" i="22"/>
  <c r="I138" i="22"/>
  <c r="J118" i="22"/>
  <c r="H127" i="22"/>
  <c r="G136" i="22"/>
  <c r="G141" i="22"/>
  <c r="I143" i="22"/>
  <c r="I136" i="22"/>
  <c r="I131" i="22"/>
  <c r="H192" i="22"/>
  <c r="I137" i="22"/>
  <c r="H140" i="22"/>
  <c r="H200" i="22"/>
  <c r="I122" i="22"/>
  <c r="G117" i="22"/>
  <c r="J136" i="22"/>
  <c r="G130" i="22"/>
  <c r="H198" i="22"/>
  <c r="H184" i="22"/>
  <c r="H116" i="22"/>
  <c r="G119" i="22"/>
  <c r="H215" i="22"/>
  <c r="H120" i="22"/>
  <c r="H194" i="22"/>
  <c r="I111" i="22"/>
  <c r="J122" i="22"/>
  <c r="G118" i="22"/>
  <c r="J121" i="22"/>
  <c r="J130" i="22"/>
  <c r="G121" i="22"/>
  <c r="H195" i="22"/>
  <c r="I117" i="22"/>
  <c r="J140" i="22"/>
  <c r="J111" i="22"/>
  <c r="H143" i="22"/>
  <c r="H201" i="22"/>
  <c r="H119" i="22"/>
  <c r="J139" i="22"/>
  <c r="H196" i="22"/>
  <c r="G124" i="22"/>
  <c r="G126" i="22"/>
  <c r="I119" i="22"/>
  <c r="H193" i="22"/>
  <c r="I121" i="22"/>
  <c r="G127" i="22"/>
  <c r="J125" i="22"/>
  <c r="H117" i="22"/>
  <c r="I139" i="22"/>
  <c r="G120" i="22"/>
  <c r="H138" i="22"/>
  <c r="I116" i="22"/>
  <c r="G116" i="22"/>
  <c r="H210" i="22"/>
  <c r="G137" i="22"/>
  <c r="H199" i="22"/>
  <c r="I125" i="22"/>
  <c r="J131" i="22"/>
  <c r="I110" i="22"/>
  <c r="H190" i="22"/>
  <c r="G138" i="22"/>
  <c r="I140" i="22"/>
  <c r="I127" i="22"/>
  <c r="H205" i="22"/>
  <c r="G140" i="22"/>
  <c r="H185" i="22"/>
  <c r="H216" i="22"/>
  <c r="G143" i="22"/>
  <c r="H197" i="22"/>
  <c r="I126" i="22"/>
  <c r="I118" i="22"/>
  <c r="H122" i="22"/>
  <c r="H213" i="22"/>
  <c r="G142" i="22"/>
  <c r="J124" i="22"/>
  <c r="J119" i="22"/>
  <c r="H110" i="22"/>
  <c r="J137" i="22"/>
  <c r="I130" i="22"/>
  <c r="G131" i="22"/>
  <c r="H136" i="22"/>
  <c r="J143" i="22"/>
  <c r="J110" i="22"/>
  <c r="H141" i="22"/>
  <c r="H191" i="22"/>
  <c r="J127" i="22"/>
  <c r="J126" i="22"/>
  <c r="G123" i="22"/>
  <c r="I142" i="22"/>
  <c r="I124" i="22"/>
  <c r="H126" i="22"/>
  <c r="H118" i="22"/>
  <c r="H214" i="22"/>
  <c r="J141" i="22"/>
  <c r="H130" i="22"/>
  <c r="J142" i="22"/>
  <c r="I141" i="22"/>
  <c r="G122" i="22"/>
  <c r="G111" i="22"/>
  <c r="G139" i="22"/>
  <c r="H137" i="22"/>
  <c r="J138" i="22"/>
  <c r="H139" i="22"/>
  <c r="G125" i="22"/>
  <c r="H204" i="22"/>
  <c r="J120" i="22"/>
  <c r="G110" i="22"/>
  <c r="I120" i="22"/>
  <c r="H217" i="22"/>
  <c r="H212" i="22"/>
  <c r="H123" i="22"/>
  <c r="H131" i="22"/>
  <c r="J123" i="22"/>
  <c r="F335" i="22" l="1"/>
  <c r="F53" i="7"/>
  <c r="R389" i="22"/>
  <c r="C336" i="22"/>
  <c r="Y201" i="26"/>
  <c r="B293" i="26"/>
  <c r="M276" i="22"/>
  <c r="B264" i="26"/>
  <c r="B91" i="27"/>
  <c r="M113" i="27"/>
  <c r="F64" i="27"/>
  <c r="F42" i="27"/>
  <c r="B234" i="26"/>
  <c r="Q234" i="26" s="1"/>
  <c r="R305" i="26"/>
  <c r="B64" i="26"/>
  <c r="Q215" i="26"/>
  <c r="I173" i="26"/>
  <c r="C120" i="27"/>
  <c r="D120" i="27" s="1"/>
  <c r="R217" i="26"/>
  <c r="C84" i="27"/>
  <c r="D84" i="27" s="1"/>
  <c r="F59" i="27"/>
  <c r="BI174" i="22"/>
  <c r="F31" i="27"/>
  <c r="F41" i="27"/>
  <c r="F29" i="27"/>
  <c r="G224" i="22"/>
  <c r="M224" i="22" s="1"/>
  <c r="F45" i="27"/>
  <c r="B156" i="26"/>
  <c r="Q156" i="26" s="1"/>
  <c r="F146" i="22"/>
  <c r="B284" i="26"/>
  <c r="B316" i="26"/>
  <c r="E147" i="26"/>
  <c r="F38" i="27"/>
  <c r="G34" i="26"/>
  <c r="F52" i="27"/>
  <c r="Y193" i="26"/>
  <c r="B242" i="26"/>
  <c r="F138" i="26"/>
  <c r="S138" i="26" s="1"/>
  <c r="AB73" i="29"/>
  <c r="R379" i="26"/>
  <c r="AU41" i="15"/>
  <c r="R373" i="26"/>
  <c r="R378" i="26"/>
  <c r="H35" i="15"/>
  <c r="J54" i="14"/>
  <c r="I54" i="14" s="1"/>
  <c r="J57" i="14"/>
  <c r="I57" i="14" s="1"/>
  <c r="J66" i="14"/>
  <c r="I66" i="14" s="1"/>
  <c r="J71" i="14"/>
  <c r="I71" i="14" s="1"/>
  <c r="K66" i="14"/>
  <c r="J61" i="14"/>
  <c r="I61" i="14" s="1"/>
  <c r="J47" i="14"/>
  <c r="I47" i="14" s="1"/>
  <c r="J78" i="14"/>
  <c r="I78" i="14" s="1"/>
  <c r="J77" i="14"/>
  <c r="I77" i="14" s="1"/>
  <c r="I70" i="12"/>
  <c r="H342" i="26"/>
  <c r="D128" i="27"/>
  <c r="O30" i="8"/>
  <c r="F343" i="22" s="1"/>
  <c r="R392" i="22" s="1"/>
  <c r="S45" i="8"/>
  <c r="Q35" i="7"/>
  <c r="G43" i="7"/>
  <c r="F44" i="7"/>
  <c r="F52" i="7"/>
  <c r="Q70" i="7"/>
  <c r="Q43" i="7"/>
  <c r="G44" i="7"/>
  <c r="G45" i="8"/>
  <c r="K18" i="26"/>
  <c r="Q284" i="26" s="1"/>
  <c r="W156" i="10"/>
  <c r="Q243" i="26"/>
  <c r="Q265" i="26"/>
  <c r="F34" i="7"/>
  <c r="G52" i="7"/>
  <c r="R78" i="7"/>
  <c r="Q285" i="26"/>
  <c r="S33" i="22"/>
  <c r="G349" i="22" s="1"/>
  <c r="R381" i="22" s="1"/>
  <c r="R61" i="7"/>
  <c r="F32" i="10"/>
  <c r="I301" i="26"/>
  <c r="Y189" i="26"/>
  <c r="F57" i="10"/>
  <c r="M15" i="26"/>
  <c r="Y191" i="26"/>
  <c r="J156" i="10"/>
  <c r="F128" i="27" s="1"/>
  <c r="I239" i="26"/>
  <c r="J12" i="2"/>
  <c r="G53" i="7"/>
  <c r="F261" i="26"/>
  <c r="F210" i="22"/>
  <c r="T210" i="22" s="1"/>
  <c r="BH66" i="15"/>
  <c r="R86" i="29"/>
  <c r="G70" i="7"/>
  <c r="R157" i="26"/>
  <c r="B266" i="26"/>
  <c r="B286" i="26"/>
  <c r="B295" i="26"/>
  <c r="B277" i="26"/>
  <c r="O35" i="4"/>
  <c r="B318" i="26"/>
  <c r="U13" i="4"/>
  <c r="U17" i="4" s="1"/>
  <c r="N91" i="4"/>
  <c r="C43" i="10"/>
  <c r="E8" i="21"/>
  <c r="D8" i="21"/>
  <c r="C8" i="21"/>
  <c r="BI214" i="22"/>
  <c r="BI183" i="26"/>
  <c r="D352" i="26"/>
  <c r="AB142" i="29"/>
  <c r="R33" i="4"/>
  <c r="T33" i="4" s="1"/>
  <c r="AB319" i="29"/>
  <c r="BI200" i="22"/>
  <c r="BI179" i="26"/>
  <c r="BI198" i="22"/>
  <c r="F22" i="4"/>
  <c r="I91" i="4" s="1"/>
  <c r="J91" i="4" s="1"/>
  <c r="D17" i="18"/>
  <c r="E17" i="18" s="1"/>
  <c r="F17" i="18" s="1"/>
  <c r="I184" i="26"/>
  <c r="D350" i="26"/>
  <c r="R376" i="26" s="1"/>
  <c r="C104" i="10"/>
  <c r="G104" i="10" s="1"/>
  <c r="L104" i="10"/>
  <c r="H25" i="8"/>
  <c r="K25" i="8"/>
  <c r="BI176" i="26"/>
  <c r="AB207" i="29"/>
  <c r="Q213" i="26"/>
  <c r="BI185" i="22"/>
  <c r="BI217" i="22"/>
  <c r="BI194" i="22"/>
  <c r="O62" i="23"/>
  <c r="O61" i="23"/>
  <c r="BI173" i="26"/>
  <c r="R243" i="26"/>
  <c r="BI172" i="22"/>
  <c r="Y185" i="26"/>
  <c r="BI178" i="22"/>
  <c r="BI210" i="22"/>
  <c r="BI189" i="26"/>
  <c r="BI171" i="22"/>
  <c r="F116" i="23"/>
  <c r="I116" i="23" s="1"/>
  <c r="F37" i="27"/>
  <c r="R388" i="26"/>
  <c r="F336" i="26"/>
  <c r="C337" i="26"/>
  <c r="F183" i="26"/>
  <c r="B244" i="26"/>
  <c r="B227" i="26"/>
  <c r="K15" i="26"/>
  <c r="B306" i="26"/>
  <c r="B149" i="26"/>
  <c r="G37" i="26"/>
  <c r="I55" i="26"/>
  <c r="C284" i="26"/>
  <c r="D284" i="26" s="1"/>
  <c r="BI211" i="22"/>
  <c r="BI198" i="26"/>
  <c r="F208" i="26"/>
  <c r="T208" i="26" s="1"/>
  <c r="J73" i="14"/>
  <c r="I73" i="14" s="1"/>
  <c r="R32" i="4"/>
  <c r="T32" i="4" s="1"/>
  <c r="F69" i="7"/>
  <c r="Q69" i="7"/>
  <c r="F111" i="26"/>
  <c r="S111" i="26" s="1"/>
  <c r="Y197" i="26"/>
  <c r="BI204" i="22"/>
  <c r="BI193" i="26"/>
  <c r="BI182" i="26"/>
  <c r="BI201" i="22"/>
  <c r="L60" i="23"/>
  <c r="M65" i="23"/>
  <c r="L61" i="23"/>
  <c r="L64" i="23"/>
  <c r="N65" i="23"/>
  <c r="L62" i="23"/>
  <c r="L65" i="23"/>
  <c r="M64" i="23"/>
  <c r="AB290" i="29"/>
  <c r="BI197" i="22"/>
  <c r="F218" i="26"/>
  <c r="Q217" i="26"/>
  <c r="BI195" i="22"/>
  <c r="Q77" i="10"/>
  <c r="BI115" i="26"/>
  <c r="BI209" i="22"/>
  <c r="BI196" i="26"/>
  <c r="BI174" i="26"/>
  <c r="BI187" i="22"/>
  <c r="T186" i="26"/>
  <c r="S186" i="26"/>
  <c r="F178" i="26"/>
  <c r="S178" i="26" s="1"/>
  <c r="F177" i="26"/>
  <c r="S177" i="26" s="1"/>
  <c r="R34" i="7"/>
  <c r="G34" i="7"/>
  <c r="O63" i="23"/>
  <c r="J59" i="14"/>
  <c r="I59" i="14" s="1"/>
  <c r="J45" i="14"/>
  <c r="I45" i="14" s="1"/>
  <c r="K68" i="14"/>
  <c r="I68" i="14" s="1"/>
  <c r="J67" i="14"/>
  <c r="I67" i="14" s="1"/>
  <c r="J76" i="14"/>
  <c r="I76" i="14" s="1"/>
  <c r="K69" i="14"/>
  <c r="I69" i="14" s="1"/>
  <c r="J75" i="14"/>
  <c r="I75" i="14" s="1"/>
  <c r="J60" i="14"/>
  <c r="I60" i="14" s="1"/>
  <c r="O83" i="10"/>
  <c r="AB189" i="29"/>
  <c r="F191" i="26"/>
  <c r="BI211" i="26"/>
  <c r="O32" i="4"/>
  <c r="AB404" i="29"/>
  <c r="BI192" i="22"/>
  <c r="BI101" i="26"/>
  <c r="BI99" i="26"/>
  <c r="BI103" i="26"/>
  <c r="BI191" i="26"/>
  <c r="BI219" i="26"/>
  <c r="BI220" i="22"/>
  <c r="BI106" i="22"/>
  <c r="BI203" i="26"/>
  <c r="BI194" i="26"/>
  <c r="BI114" i="22"/>
  <c r="BI176" i="22"/>
  <c r="BI108" i="22"/>
  <c r="BI199" i="26"/>
  <c r="BI184" i="22"/>
  <c r="BI195" i="26"/>
  <c r="BI175" i="22"/>
  <c r="BI112" i="22"/>
  <c r="BI212" i="22"/>
  <c r="BI104" i="22"/>
  <c r="BI183" i="22"/>
  <c r="BI223" i="22"/>
  <c r="BI202" i="26"/>
  <c r="BI223" i="26"/>
  <c r="R203" i="26"/>
  <c r="S33" i="4"/>
  <c r="U33" i="4" s="1"/>
  <c r="P35" i="4"/>
  <c r="S34" i="4"/>
  <c r="U34" i="4" s="1"/>
  <c r="K33" i="4"/>
  <c r="K35" i="4"/>
  <c r="J35" i="4"/>
  <c r="K34" i="4"/>
  <c r="R34" i="4"/>
  <c r="T34" i="4" s="1"/>
  <c r="P32" i="4"/>
  <c r="O34" i="4"/>
  <c r="J32" i="4"/>
  <c r="J33" i="4"/>
  <c r="S32" i="4"/>
  <c r="U32" i="4" s="1"/>
  <c r="J55" i="26"/>
  <c r="H36" i="26"/>
  <c r="B150" i="26"/>
  <c r="I222" i="26"/>
  <c r="I322" i="26"/>
  <c r="F281" i="26"/>
  <c r="F290" i="26"/>
  <c r="J311" i="26"/>
  <c r="M17" i="26"/>
  <c r="I290" i="26"/>
  <c r="M18" i="26"/>
  <c r="R137" i="26" s="1"/>
  <c r="F301" i="26"/>
  <c r="I281" i="26"/>
  <c r="F272" i="26"/>
  <c r="AB43" i="29"/>
  <c r="AB254" i="29"/>
  <c r="BI173" i="22"/>
  <c r="BI181" i="22"/>
  <c r="BI189" i="22"/>
  <c r="BI205" i="22"/>
  <c r="BI213" i="22"/>
  <c r="BI221" i="22"/>
  <c r="BI200" i="26"/>
  <c r="BI182" i="22"/>
  <c r="BI222" i="22"/>
  <c r="BI206" i="22"/>
  <c r="C316" i="26"/>
  <c r="D316" i="26" s="1"/>
  <c r="BI202" i="22"/>
  <c r="AB384" i="29"/>
  <c r="BI181" i="26"/>
  <c r="M91" i="4"/>
  <c r="T75" i="4"/>
  <c r="C348" i="26"/>
  <c r="I174" i="26"/>
  <c r="F209" i="26"/>
  <c r="F210" i="26"/>
  <c r="BI180" i="26"/>
  <c r="F211" i="26"/>
  <c r="S211" i="26" s="1"/>
  <c r="Q211" i="26"/>
  <c r="G65" i="26"/>
  <c r="M65" i="26"/>
  <c r="R65" i="26"/>
  <c r="BI199" i="22"/>
  <c r="AB357" i="29"/>
  <c r="BI178" i="26"/>
  <c r="C264" i="26"/>
  <c r="D264" i="26" s="1"/>
  <c r="H64" i="23"/>
  <c r="P64" i="23" s="1"/>
  <c r="Q64" i="23" s="1"/>
  <c r="I65" i="23"/>
  <c r="J65" i="23"/>
  <c r="H61" i="23"/>
  <c r="P61" i="23" s="1"/>
  <c r="Q61" i="23" s="1"/>
  <c r="H63" i="23"/>
  <c r="H62" i="23"/>
  <c r="P62" i="23" s="1"/>
  <c r="Q62" i="23" s="1"/>
  <c r="H60" i="23"/>
  <c r="P60" i="23" s="1"/>
  <c r="Q60" i="23" s="1"/>
  <c r="I63" i="23"/>
  <c r="H65" i="23"/>
  <c r="P65" i="23" s="1"/>
  <c r="Q65" i="23" s="1"/>
  <c r="BI196" i="22"/>
  <c r="S198" i="26"/>
  <c r="T198" i="26"/>
  <c r="H64" i="26"/>
  <c r="L64" i="26"/>
  <c r="K62" i="23"/>
  <c r="K65" i="23"/>
  <c r="F172" i="26"/>
  <c r="T172" i="26" s="1"/>
  <c r="F171" i="26"/>
  <c r="BI113" i="26"/>
  <c r="BI177" i="22"/>
  <c r="BI193" i="22"/>
  <c r="BI188" i="26"/>
  <c r="AB178" i="29"/>
  <c r="R285" i="26"/>
  <c r="AB393" i="29"/>
  <c r="BI170" i="22"/>
  <c r="BI186" i="22"/>
  <c r="BI218" i="22"/>
  <c r="BI197" i="26"/>
  <c r="AB366" i="29"/>
  <c r="F181" i="26"/>
  <c r="R265" i="26"/>
  <c r="F128" i="26"/>
  <c r="B315" i="26"/>
  <c r="C315" i="26" s="1"/>
  <c r="D315" i="26" s="1"/>
  <c r="B241" i="26"/>
  <c r="B224" i="26"/>
  <c r="Q224" i="26" s="1"/>
  <c r="F131" i="26"/>
  <c r="F126" i="26"/>
  <c r="S126" i="26" s="1"/>
  <c r="Q101" i="26"/>
  <c r="B263" i="26"/>
  <c r="C263" i="26" s="1"/>
  <c r="D263" i="26" s="1"/>
  <c r="F204" i="26"/>
  <c r="F99" i="26"/>
  <c r="F114" i="26"/>
  <c r="S114" i="26" s="1"/>
  <c r="Q113" i="26"/>
  <c r="F101" i="26"/>
  <c r="B283" i="26"/>
  <c r="C283" i="26" s="1"/>
  <c r="D283" i="26" s="1"/>
  <c r="Q205" i="26"/>
  <c r="B68" i="26"/>
  <c r="R68" i="26" s="1"/>
  <c r="B292" i="26"/>
  <c r="R292" i="26" s="1"/>
  <c r="B256" i="26"/>
  <c r="Q256" i="26" s="1"/>
  <c r="Q131" i="26"/>
  <c r="F119" i="26"/>
  <c r="Q242" i="26"/>
  <c r="B274" i="26"/>
  <c r="Q274" i="26" s="1"/>
  <c r="Q119" i="26"/>
  <c r="Q313" i="26"/>
  <c r="F205" i="26"/>
  <c r="F109" i="26"/>
  <c r="B233" i="26"/>
  <c r="X188" i="26" s="1"/>
  <c r="F107" i="26"/>
  <c r="F103" i="26"/>
  <c r="I59" i="26"/>
  <c r="O65" i="23"/>
  <c r="BI179" i="22"/>
  <c r="BI203" i="22"/>
  <c r="BI219" i="22"/>
  <c r="BI190" i="26"/>
  <c r="BI214" i="26"/>
  <c r="AB337" i="29"/>
  <c r="R35" i="4"/>
  <c r="T35" i="4" s="1"/>
  <c r="F175" i="26"/>
  <c r="F102" i="26"/>
  <c r="S102" i="26" s="1"/>
  <c r="R35" i="7"/>
  <c r="G35" i="7"/>
  <c r="C263" i="22"/>
  <c r="D263" i="22" s="1"/>
  <c r="AB460" i="29"/>
  <c r="J34" i="4"/>
  <c r="P34" i="4"/>
  <c r="BI180" i="22"/>
  <c r="O33" i="4"/>
  <c r="F207" i="26"/>
  <c r="P33" i="4"/>
  <c r="F115" i="26"/>
  <c r="C90" i="19"/>
  <c r="F184" i="26"/>
  <c r="S184" i="26" s="1"/>
  <c r="K32" i="4"/>
  <c r="C352" i="26"/>
  <c r="F127" i="26"/>
  <c r="AB281" i="29"/>
  <c r="BI207" i="26"/>
  <c r="I272" i="26"/>
  <c r="F289" i="22"/>
  <c r="M17" i="22"/>
  <c r="R145" i="22" s="1"/>
  <c r="F238" i="22"/>
  <c r="I321" i="22"/>
  <c r="J54" i="22"/>
  <c r="I260" i="22"/>
  <c r="I280" i="22"/>
  <c r="F147" i="26"/>
  <c r="Q147" i="26"/>
  <c r="M147" i="26"/>
  <c r="L147" i="26"/>
  <c r="C234" i="22"/>
  <c r="D234" i="22" s="1"/>
  <c r="T57" i="22"/>
  <c r="U57" i="22" s="1"/>
  <c r="L59" i="22"/>
  <c r="BI208" i="22"/>
  <c r="BI184" i="26"/>
  <c r="AB263" i="29"/>
  <c r="R189" i="26"/>
  <c r="M64" i="22"/>
  <c r="M70" i="22" s="1"/>
  <c r="L64" i="22"/>
  <c r="BI185" i="26"/>
  <c r="BI217" i="26"/>
  <c r="G64" i="22"/>
  <c r="Y156" i="10"/>
  <c r="L57" i="22"/>
  <c r="F187" i="26"/>
  <c r="BI218" i="26"/>
  <c r="M147" i="22"/>
  <c r="I147" i="22"/>
  <c r="J147" i="22"/>
  <c r="BI192" i="26"/>
  <c r="BI216" i="26"/>
  <c r="B100" i="27"/>
  <c r="C100" i="27" s="1"/>
  <c r="D100" i="27" s="1"/>
  <c r="B111" i="27"/>
  <c r="C111" i="27" s="1"/>
  <c r="D111" i="27" s="1"/>
  <c r="B74" i="27"/>
  <c r="C74" i="27" s="1"/>
  <c r="D74" i="27" s="1"/>
  <c r="Y195" i="26"/>
  <c r="B317" i="26"/>
  <c r="C317" i="26" s="1"/>
  <c r="D317" i="26" s="1"/>
  <c r="B70" i="26"/>
  <c r="M70" i="26" s="1"/>
  <c r="B326" i="26"/>
  <c r="R326" i="26" s="1"/>
  <c r="C242" i="26"/>
  <c r="D242" i="26" s="1"/>
  <c r="AB496" i="29"/>
  <c r="C285" i="26"/>
  <c r="D285" i="26" s="1"/>
  <c r="B69" i="26"/>
  <c r="H69" i="26" s="1"/>
  <c r="BI190" i="22"/>
  <c r="AB151" i="29"/>
  <c r="L69" i="22"/>
  <c r="J242" i="22" s="1"/>
  <c r="H69" i="22"/>
  <c r="M69" i="22"/>
  <c r="F203" i="22"/>
  <c r="S203" i="22" s="1"/>
  <c r="BI191" i="22"/>
  <c r="BI215" i="22"/>
  <c r="F147" i="22"/>
  <c r="B275" i="26"/>
  <c r="B225" i="26"/>
  <c r="H147" i="22"/>
  <c r="BI216" i="22"/>
  <c r="BI187" i="26"/>
  <c r="BI208" i="26"/>
  <c r="M68" i="22"/>
  <c r="L68" i="22"/>
  <c r="J241" i="22" s="1"/>
  <c r="H68" i="22"/>
  <c r="F43" i="27"/>
  <c r="F66" i="27"/>
  <c r="F35" i="27"/>
  <c r="F49" i="27"/>
  <c r="B73" i="27"/>
  <c r="C73" i="27" s="1"/>
  <c r="D73" i="27" s="1"/>
  <c r="F48" i="27"/>
  <c r="F27" i="27"/>
  <c r="F55" i="27"/>
  <c r="BI209" i="26"/>
  <c r="F39" i="27"/>
  <c r="J341" i="22"/>
  <c r="H64" i="22"/>
  <c r="J342" i="26"/>
  <c r="B304" i="26"/>
  <c r="L57" i="10"/>
  <c r="T56" i="22"/>
  <c r="U56" i="22" s="1"/>
  <c r="C232" i="22"/>
  <c r="D232" i="22" s="1"/>
  <c r="T59" i="22"/>
  <c r="U59" i="22" s="1"/>
  <c r="L56" i="22"/>
  <c r="F20" i="27"/>
  <c r="F23" i="27"/>
  <c r="T82" i="4"/>
  <c r="K61" i="15"/>
  <c r="K66" i="15" s="1"/>
  <c r="K36" i="15" s="1"/>
  <c r="F353" i="22" s="1"/>
  <c r="K68" i="15"/>
  <c r="F52" i="15"/>
  <c r="J110" i="10"/>
  <c r="L69" i="13"/>
  <c r="K79" i="13"/>
  <c r="I73" i="4"/>
  <c r="N85" i="29"/>
  <c r="X85" i="29"/>
  <c r="U13" i="21"/>
  <c r="F53" i="15"/>
  <c r="M79" i="13"/>
  <c r="T81" i="4"/>
  <c r="U27" i="21"/>
  <c r="U29" i="21"/>
  <c r="F26" i="15"/>
  <c r="M69" i="13"/>
  <c r="H79" i="13"/>
  <c r="G110" i="10"/>
  <c r="U10" i="4"/>
  <c r="Y85" i="29"/>
  <c r="B42" i="4"/>
  <c r="F73" i="10"/>
  <c r="L73" i="10" s="1"/>
  <c r="D86" i="29"/>
  <c r="I79" i="13"/>
  <c r="K86" i="29"/>
  <c r="H86" i="29"/>
  <c r="T71" i="4"/>
  <c r="E16" i="16"/>
  <c r="J81" i="10"/>
  <c r="G81" i="10"/>
  <c r="M10" i="4"/>
  <c r="DH17" i="19"/>
  <c r="R28" i="4"/>
  <c r="R9" i="5"/>
  <c r="R11" i="5" s="1"/>
  <c r="U28" i="21"/>
  <c r="F41" i="15"/>
  <c r="B17" i="4"/>
  <c r="F50" i="15"/>
  <c r="U15" i="21"/>
  <c r="DA16" i="19"/>
  <c r="G102" i="10"/>
  <c r="F21" i="3"/>
  <c r="Z85" i="29"/>
  <c r="T86" i="29"/>
  <c r="F34" i="10"/>
  <c r="S81" i="4"/>
  <c r="E70" i="16"/>
  <c r="E26" i="16"/>
  <c r="J41" i="10"/>
  <c r="S10" i="4"/>
  <c r="Q21" i="4"/>
  <c r="DB1" i="19"/>
  <c r="F67" i="15"/>
  <c r="F68" i="15" s="1"/>
  <c r="E41" i="16"/>
  <c r="DH3" i="19"/>
  <c r="L20" i="22"/>
  <c r="B317" i="22" s="1"/>
  <c r="DA1" i="19"/>
  <c r="B18" i="4"/>
  <c r="F46" i="15"/>
  <c r="E36" i="16"/>
  <c r="L79" i="13"/>
  <c r="L53" i="10"/>
  <c r="DB16" i="19"/>
  <c r="DA6" i="19"/>
  <c r="F57" i="15"/>
  <c r="B15" i="4"/>
  <c r="F39" i="15"/>
  <c r="U16" i="21"/>
  <c r="B14" i="13"/>
  <c r="DG3" i="19"/>
  <c r="M73" i="4"/>
  <c r="M86" i="29"/>
  <c r="X86" i="29"/>
  <c r="CW11" i="19"/>
  <c r="DG4" i="19"/>
  <c r="F45" i="15"/>
  <c r="F73" i="12"/>
  <c r="CW16" i="19"/>
  <c r="DH4" i="19"/>
  <c r="F58" i="15"/>
  <c r="F44" i="15"/>
  <c r="F55" i="15"/>
  <c r="F21" i="15"/>
  <c r="G69" i="13"/>
  <c r="S82" i="4"/>
  <c r="F73" i="4"/>
  <c r="W86" i="29"/>
  <c r="C80" i="10"/>
  <c r="C82" i="10" s="1"/>
  <c r="B85" i="4"/>
  <c r="H29" i="10"/>
  <c r="H31" i="10" s="1"/>
  <c r="CW10" i="19"/>
  <c r="F61" i="15"/>
  <c r="K69" i="13"/>
  <c r="K10" i="4"/>
  <c r="I140" i="10"/>
  <c r="J140" i="10" s="1"/>
  <c r="J141" i="10" s="1"/>
  <c r="CW9" i="19"/>
  <c r="G225" i="22"/>
  <c r="M225" i="22" s="1"/>
  <c r="G128" i="27"/>
  <c r="BI210" i="26"/>
  <c r="B309" i="26"/>
  <c r="E314" i="22"/>
  <c r="I64" i="2"/>
  <c r="G304" i="22"/>
  <c r="BI102" i="22"/>
  <c r="BI100" i="22"/>
  <c r="BI98" i="22"/>
  <c r="BI105" i="26"/>
  <c r="AB169" i="29"/>
  <c r="E316" i="22"/>
  <c r="E18" i="18"/>
  <c r="F18" i="18" s="1"/>
  <c r="G18" i="18" s="1"/>
  <c r="H18" i="18" s="1"/>
  <c r="I18" i="18" s="1"/>
  <c r="J18" i="18" s="1"/>
  <c r="K18" i="18" s="1"/>
  <c r="L18" i="18" s="1"/>
  <c r="M18" i="18" s="1"/>
  <c r="N18" i="18" s="1"/>
  <c r="O18" i="18" s="1"/>
  <c r="P18" i="18" s="1"/>
  <c r="Q18" i="18" s="1"/>
  <c r="R18" i="18" s="1"/>
  <c r="S18" i="18" s="1"/>
  <c r="T18" i="18" s="1"/>
  <c r="U18" i="18" s="1"/>
  <c r="F203" i="26"/>
  <c r="BI107" i="26"/>
  <c r="BI215" i="26"/>
  <c r="AB449" i="29"/>
  <c r="AB310" i="29"/>
  <c r="E304" i="22"/>
  <c r="BI186" i="26"/>
  <c r="D18" i="18"/>
  <c r="BI109" i="26"/>
  <c r="BI188" i="22"/>
  <c r="F196" i="26"/>
  <c r="S196" i="26" s="1"/>
  <c r="Y203" i="26"/>
  <c r="K81" i="13"/>
  <c r="Q216" i="22"/>
  <c r="F173" i="22"/>
  <c r="T172" i="22" s="1"/>
  <c r="K345" i="22" s="1"/>
  <c r="F197" i="22"/>
  <c r="S197" i="22" s="1"/>
  <c r="F174" i="22"/>
  <c r="T174" i="22" s="1"/>
  <c r="S193" i="22"/>
  <c r="T193" i="22"/>
  <c r="S175" i="22"/>
  <c r="T175" i="22"/>
  <c r="S199" i="22"/>
  <c r="T199" i="22"/>
  <c r="F188" i="22"/>
  <c r="T188" i="22" s="1"/>
  <c r="F198" i="22"/>
  <c r="T198" i="22" s="1"/>
  <c r="F181" i="22"/>
  <c r="S181" i="22" s="1"/>
  <c r="F205" i="22"/>
  <c r="T204" i="22" s="1"/>
  <c r="F187" i="22"/>
  <c r="S187" i="22" s="1"/>
  <c r="F192" i="22"/>
  <c r="T192" i="22" s="1"/>
  <c r="F215" i="22"/>
  <c r="F216" i="22"/>
  <c r="F185" i="22"/>
  <c r="S185" i="22" s="1"/>
  <c r="T183" i="22"/>
  <c r="F209" i="22"/>
  <c r="S209" i="22" s="1"/>
  <c r="F206" i="22"/>
  <c r="T206" i="22" s="1"/>
  <c r="T177" i="22"/>
  <c r="S177" i="22"/>
  <c r="S189" i="22"/>
  <c r="T189" i="22"/>
  <c r="S207" i="22"/>
  <c r="S171" i="22"/>
  <c r="F195" i="22"/>
  <c r="S195" i="22" s="1"/>
  <c r="S191" i="22"/>
  <c r="F176" i="22"/>
  <c r="T176" i="22" s="1"/>
  <c r="F201" i="22"/>
  <c r="T200" i="22" s="1"/>
  <c r="F213" i="22"/>
  <c r="F170" i="22"/>
  <c r="T170" i="22" s="1"/>
  <c r="D345" i="22" s="1"/>
  <c r="F217" i="22"/>
  <c r="F182" i="22"/>
  <c r="F190" i="22"/>
  <c r="T190" i="22" s="1"/>
  <c r="F179" i="22"/>
  <c r="S179" i="22" s="1"/>
  <c r="U58" i="22"/>
  <c r="M122" i="27"/>
  <c r="M123" i="27" s="1"/>
  <c r="M102" i="27"/>
  <c r="K104" i="27" s="1"/>
  <c r="Q115" i="26"/>
  <c r="Q305" i="26"/>
  <c r="Q127" i="26"/>
  <c r="Q173" i="26"/>
  <c r="T211" i="22"/>
  <c r="C256" i="26"/>
  <c r="D256" i="26" s="1"/>
  <c r="R200" i="22"/>
  <c r="R206" i="22"/>
  <c r="Q189" i="26"/>
  <c r="F195" i="26"/>
  <c r="Q203" i="26"/>
  <c r="Q195" i="26"/>
  <c r="F271" i="22"/>
  <c r="F346" i="26"/>
  <c r="I172" i="26"/>
  <c r="F202" i="26"/>
  <c r="F192" i="26"/>
  <c r="F130" i="26"/>
  <c r="F200" i="26"/>
  <c r="F214" i="22"/>
  <c r="R214" i="22"/>
  <c r="Q123" i="26"/>
  <c r="Q99" i="26"/>
  <c r="Q117" i="26"/>
  <c r="Q199" i="26"/>
  <c r="Q185" i="26"/>
  <c r="Q107" i="26"/>
  <c r="Q121" i="26"/>
  <c r="Q183" i="26"/>
  <c r="Q191" i="26"/>
  <c r="Q103" i="26"/>
  <c r="Q109" i="26"/>
  <c r="Q179" i="26"/>
  <c r="Q201" i="26"/>
  <c r="Q193" i="26"/>
  <c r="F212" i="26"/>
  <c r="R180" i="22"/>
  <c r="Q197" i="26"/>
  <c r="Q97" i="26"/>
  <c r="S128" i="26"/>
  <c r="Q181" i="26"/>
  <c r="R176" i="22"/>
  <c r="R198" i="22"/>
  <c r="F182" i="26"/>
  <c r="F190" i="26"/>
  <c r="R114" i="22"/>
  <c r="R171" i="26"/>
  <c r="R131" i="26"/>
  <c r="R205" i="26"/>
  <c r="R199" i="26"/>
  <c r="R146" i="26"/>
  <c r="G64" i="26"/>
  <c r="M64" i="26"/>
  <c r="Q64" i="26"/>
  <c r="M19" i="22"/>
  <c r="R293" i="22" s="1"/>
  <c r="L14" i="27"/>
  <c r="F300" i="22"/>
  <c r="I238" i="22"/>
  <c r="I300" i="22"/>
  <c r="F260" i="22"/>
  <c r="J310" i="22"/>
  <c r="F310" i="22"/>
  <c r="H35" i="22"/>
  <c r="I271" i="22"/>
  <c r="F321" i="22"/>
  <c r="I289" i="22"/>
  <c r="Q264" i="26"/>
  <c r="M76" i="27"/>
  <c r="C75" i="27"/>
  <c r="D75" i="27" s="1"/>
  <c r="C325" i="26"/>
  <c r="D325" i="26" s="1"/>
  <c r="Q325" i="26"/>
  <c r="F40" i="26"/>
  <c r="Q40" i="26"/>
  <c r="G40" i="26" s="1"/>
  <c r="B99" i="27"/>
  <c r="M110" i="27" s="1"/>
  <c r="B119" i="27"/>
  <c r="F25" i="27"/>
  <c r="F21" i="27"/>
  <c r="F57" i="27"/>
  <c r="F63" i="27"/>
  <c r="F28" i="27"/>
  <c r="F53" i="27"/>
  <c r="F51" i="27"/>
  <c r="F33" i="27"/>
  <c r="F47" i="27"/>
  <c r="F32" i="27"/>
  <c r="B82" i="27"/>
  <c r="F46" i="27"/>
  <c r="Q64" i="27"/>
  <c r="F61" i="27"/>
  <c r="Y199" i="26"/>
  <c r="F216" i="26"/>
  <c r="T216" i="26" s="1"/>
  <c r="C92" i="27"/>
  <c r="D92" i="27" s="1"/>
  <c r="Q157" i="26"/>
  <c r="I58" i="26"/>
  <c r="F180" i="26"/>
  <c r="T179" i="26" s="1"/>
  <c r="E148" i="26"/>
  <c r="I148" i="26" s="1"/>
  <c r="B226" i="26"/>
  <c r="B294" i="26"/>
  <c r="R370" i="26"/>
  <c r="T174" i="26"/>
  <c r="I211" i="26"/>
  <c r="R215" i="26"/>
  <c r="F215" i="26"/>
  <c r="R387" i="26"/>
  <c r="I213" i="26"/>
  <c r="R132" i="22"/>
  <c r="R130" i="22"/>
  <c r="R116" i="22"/>
  <c r="R255" i="22"/>
  <c r="R120" i="22"/>
  <c r="C293" i="26"/>
  <c r="D293" i="26" s="1"/>
  <c r="Q293" i="26"/>
  <c r="L146" i="26"/>
  <c r="F146" i="26"/>
  <c r="Q146" i="26"/>
  <c r="M146" i="26"/>
  <c r="C224" i="26"/>
  <c r="D224" i="26" s="1"/>
  <c r="J148" i="26"/>
  <c r="R190" i="22"/>
  <c r="R291" i="22"/>
  <c r="R283" i="26"/>
  <c r="M93" i="27"/>
  <c r="F54" i="27"/>
  <c r="F40" i="27"/>
  <c r="F44" i="27"/>
  <c r="F22" i="27"/>
  <c r="F26" i="27"/>
  <c r="F56" i="27"/>
  <c r="F50" i="27"/>
  <c r="F30" i="27"/>
  <c r="F34" i="27"/>
  <c r="F58" i="27"/>
  <c r="F36" i="27"/>
  <c r="F24" i="27"/>
  <c r="F60" i="27"/>
  <c r="F62" i="27"/>
  <c r="W187" i="26"/>
  <c r="F134" i="26"/>
  <c r="S134" i="26" s="1"/>
  <c r="F139" i="26"/>
  <c r="J58" i="26"/>
  <c r="F108" i="26"/>
  <c r="I60" i="26"/>
  <c r="F214" i="26"/>
  <c r="F206" i="26"/>
  <c r="F201" i="26"/>
  <c r="F197" i="26"/>
  <c r="F194" i="26"/>
  <c r="F189" i="26"/>
  <c r="F185" i="26"/>
  <c r="Q171" i="26"/>
  <c r="F137" i="26"/>
  <c r="F140" i="26"/>
  <c r="S140" i="26" s="1"/>
  <c r="F133" i="26"/>
  <c r="Q139" i="26"/>
  <c r="Q137" i="26"/>
  <c r="Q135" i="26"/>
  <c r="Q133" i="26"/>
  <c r="C305" i="26"/>
  <c r="D305" i="26" s="1"/>
  <c r="F157" i="26"/>
  <c r="C225" i="26"/>
  <c r="D225" i="26" s="1"/>
  <c r="B39" i="26"/>
  <c r="F124" i="26"/>
  <c r="S124" i="26" s="1"/>
  <c r="F118" i="26"/>
  <c r="J57" i="26"/>
  <c r="F116" i="26"/>
  <c r="J60" i="26"/>
  <c r="F122" i="26"/>
  <c r="S122" i="26" s="1"/>
  <c r="F106" i="26"/>
  <c r="S106" i="26" s="1"/>
  <c r="B303" i="26"/>
  <c r="I33" i="26"/>
  <c r="F104" i="26"/>
  <c r="S104" i="26" s="1"/>
  <c r="B155" i="26"/>
  <c r="I34" i="26"/>
  <c r="S34" i="26" s="1"/>
  <c r="F100" i="26"/>
  <c r="B63" i="26"/>
  <c r="F97" i="26"/>
  <c r="F121" i="26"/>
  <c r="F188" i="26"/>
  <c r="Q177" i="26"/>
  <c r="F135" i="26"/>
  <c r="B324" i="26"/>
  <c r="G33" i="26"/>
  <c r="F98" i="26"/>
  <c r="S98" i="26" s="1"/>
  <c r="F113" i="26"/>
  <c r="I57" i="26"/>
  <c r="F132" i="26"/>
  <c r="F123" i="26"/>
  <c r="J59" i="26"/>
  <c r="F120" i="26"/>
  <c r="F110" i="26"/>
  <c r="F105" i="26"/>
  <c r="F125" i="26"/>
  <c r="Q65" i="26"/>
  <c r="C234" i="26"/>
  <c r="D234" i="26" s="1"/>
  <c r="F176" i="26"/>
  <c r="Q105" i="26"/>
  <c r="Q125" i="26"/>
  <c r="Q33" i="26"/>
  <c r="Q111" i="26"/>
  <c r="M18" i="22"/>
  <c r="B149" i="22"/>
  <c r="F280" i="22"/>
  <c r="M15" i="22"/>
  <c r="I221" i="22"/>
  <c r="F221" i="22"/>
  <c r="C241" i="26"/>
  <c r="D241" i="26" s="1"/>
  <c r="Q241" i="26"/>
  <c r="C91" i="27"/>
  <c r="D91" i="27" s="1"/>
  <c r="C110" i="27"/>
  <c r="D110" i="27" s="1"/>
  <c r="H65" i="26"/>
  <c r="C265" i="26"/>
  <c r="D265" i="26" s="1"/>
  <c r="F136" i="26"/>
  <c r="S136" i="26" s="1"/>
  <c r="F217" i="26"/>
  <c r="F173" i="26"/>
  <c r="F199" i="26"/>
  <c r="Q207" i="26"/>
  <c r="R64" i="27"/>
  <c r="B121" i="27"/>
  <c r="C121" i="27" s="1"/>
  <c r="D121" i="27" s="1"/>
  <c r="B112" i="27"/>
  <c r="B101" i="27"/>
  <c r="R66" i="27"/>
  <c r="Q66" i="27"/>
  <c r="F65" i="27"/>
  <c r="F67" i="27"/>
  <c r="H70" i="26"/>
  <c r="L70" i="26"/>
  <c r="G70" i="26"/>
  <c r="C243" i="26"/>
  <c r="D243" i="26" s="1"/>
  <c r="R202" i="22"/>
  <c r="B83" i="27"/>
  <c r="B41" i="26"/>
  <c r="B235" i="26"/>
  <c r="B276" i="26"/>
  <c r="V214" i="22"/>
  <c r="V206" i="22"/>
  <c r="V198" i="22"/>
  <c r="I312" i="22"/>
  <c r="X174" i="22"/>
  <c r="X217" i="22"/>
  <c r="X213" i="22"/>
  <c r="X205" i="22"/>
  <c r="V201" i="22"/>
  <c r="X197" i="22"/>
  <c r="X185" i="22"/>
  <c r="V181" i="22"/>
  <c r="V177" i="22"/>
  <c r="D347" i="22"/>
  <c r="K122" i="22"/>
  <c r="G196" i="22" s="1"/>
  <c r="W196" i="22" s="1"/>
  <c r="X216" i="22"/>
  <c r="V212" i="22"/>
  <c r="X204" i="22"/>
  <c r="V196" i="22"/>
  <c r="V192" i="22"/>
  <c r="V188" i="22"/>
  <c r="X184" i="22"/>
  <c r="V180" i="22"/>
  <c r="X176" i="22"/>
  <c r="V172" i="22"/>
  <c r="X210" i="22"/>
  <c r="X202" i="22"/>
  <c r="X194" i="22"/>
  <c r="X186" i="22"/>
  <c r="V178" i="22"/>
  <c r="V193" i="22"/>
  <c r="V215" i="22"/>
  <c r="V211" i="22"/>
  <c r="X207" i="22"/>
  <c r="V203" i="22"/>
  <c r="X199" i="22"/>
  <c r="X195" i="22"/>
  <c r="V191" i="22"/>
  <c r="F349" i="22"/>
  <c r="V179" i="22"/>
  <c r="X175" i="22"/>
  <c r="V171" i="22"/>
  <c r="U75" i="4"/>
  <c r="G32" i="16"/>
  <c r="G81" i="13"/>
  <c r="D22" i="4"/>
  <c r="N22" i="4" s="1"/>
  <c r="X183" i="22"/>
  <c r="X179" i="22"/>
  <c r="X191" i="22"/>
  <c r="V175" i="22"/>
  <c r="X171" i="22"/>
  <c r="G345" i="22"/>
  <c r="V183" i="22"/>
  <c r="C339" i="22"/>
  <c r="D351" i="22"/>
  <c r="K353" i="22"/>
  <c r="C351" i="22"/>
  <c r="C355" i="22"/>
  <c r="Q5" i="22"/>
  <c r="I353" i="22"/>
  <c r="D355" i="22"/>
  <c r="H353" i="22"/>
  <c r="C353" i="22"/>
  <c r="D353" i="22"/>
  <c r="J353" i="22"/>
  <c r="G353" i="22"/>
  <c r="H81" i="13"/>
  <c r="I81" i="13" s="1"/>
  <c r="L81" i="13"/>
  <c r="M81" i="13" s="1"/>
  <c r="DR57" i="19"/>
  <c r="DR33" i="19"/>
  <c r="DR86" i="19"/>
  <c r="DR20" i="19"/>
  <c r="DR32" i="19"/>
  <c r="DR10" i="19"/>
  <c r="DR56" i="19"/>
  <c r="DR40" i="19"/>
  <c r="DR44" i="19"/>
  <c r="DR39" i="19"/>
  <c r="DR37" i="19"/>
  <c r="DR65" i="19"/>
  <c r="X192" i="22"/>
  <c r="X212" i="22"/>
  <c r="DR81" i="19"/>
  <c r="DR87" i="19"/>
  <c r="DR51" i="19"/>
  <c r="DR92" i="19"/>
  <c r="DR99" i="19"/>
  <c r="DR54" i="19"/>
  <c r="DR42" i="19"/>
  <c r="V194" i="22"/>
  <c r="X188" i="22"/>
  <c r="DR90" i="19"/>
  <c r="DR29" i="19"/>
  <c r="DR66" i="19"/>
  <c r="DR3" i="19"/>
  <c r="DR43" i="19"/>
  <c r="DR100" i="19"/>
  <c r="V204" i="22"/>
  <c r="V186" i="22"/>
  <c r="K107" i="22"/>
  <c r="G181" i="22" s="1"/>
  <c r="W181" i="22" s="1"/>
  <c r="X190" i="22"/>
  <c r="X206" i="22"/>
  <c r="V210" i="22"/>
  <c r="V202" i="22"/>
  <c r="X198" i="22"/>
  <c r="I49" i="14"/>
  <c r="I345" i="22"/>
  <c r="V199" i="22"/>
  <c r="J43" i="10"/>
  <c r="G45" i="16"/>
  <c r="X189" i="22"/>
  <c r="V176" i="22"/>
  <c r="C83" i="10"/>
  <c r="O43" i="10"/>
  <c r="H22" i="4"/>
  <c r="D48" i="4" s="1"/>
  <c r="G94" i="16"/>
  <c r="K109" i="22"/>
  <c r="G183" i="22" s="1"/>
  <c r="D349" i="22" s="1"/>
  <c r="G146" i="22"/>
  <c r="K111" i="22"/>
  <c r="G185" i="22" s="1"/>
  <c r="I185" i="22" s="1"/>
  <c r="V190" i="22"/>
  <c r="V187" i="22"/>
  <c r="V185" i="22"/>
  <c r="X203" i="22"/>
  <c r="X180" i="22"/>
  <c r="C341" i="22"/>
  <c r="G81" i="16"/>
  <c r="K129" i="22"/>
  <c r="G203" i="22" s="1"/>
  <c r="W203" i="22" s="1"/>
  <c r="V216" i="22"/>
  <c r="X196" i="22"/>
  <c r="X187" i="22"/>
  <c r="X181" i="22"/>
  <c r="V197" i="22"/>
  <c r="K97" i="22"/>
  <c r="G171" i="22" s="1"/>
  <c r="J145" i="22"/>
  <c r="K118" i="22"/>
  <c r="G192" i="22" s="1"/>
  <c r="I192" i="22" s="1"/>
  <c r="K123" i="22"/>
  <c r="G197" i="22" s="1"/>
  <c r="K98" i="22"/>
  <c r="G172" i="22" s="1"/>
  <c r="K104" i="22"/>
  <c r="G178" i="22" s="1"/>
  <c r="J146" i="22"/>
  <c r="X172" i="22"/>
  <c r="X211" i="22"/>
  <c r="X177" i="22"/>
  <c r="V205" i="22"/>
  <c r="K135" i="22"/>
  <c r="G209" i="22" s="1"/>
  <c r="I209" i="22" s="1"/>
  <c r="K132" i="22"/>
  <c r="G206" i="22" s="1"/>
  <c r="Y206" i="22" s="1"/>
  <c r="K131" i="22"/>
  <c r="G205" i="22" s="1"/>
  <c r="W205" i="22" s="1"/>
  <c r="K138" i="22"/>
  <c r="G212" i="22" s="1"/>
  <c r="W212" i="22" s="1"/>
  <c r="X170" i="22"/>
  <c r="V170" i="22"/>
  <c r="DR80" i="19"/>
  <c r="DR84" i="19"/>
  <c r="DR75" i="19"/>
  <c r="DR58" i="19"/>
  <c r="DR13" i="19"/>
  <c r="DR30" i="19"/>
  <c r="DR55" i="19"/>
  <c r="DR27" i="19"/>
  <c r="DR59" i="19"/>
  <c r="DR95" i="19"/>
  <c r="DR71" i="19"/>
  <c r="DR34" i="19"/>
  <c r="DR7" i="19"/>
  <c r="DR73" i="19"/>
  <c r="DR26" i="19"/>
  <c r="DR38" i="19"/>
  <c r="DR46" i="19"/>
  <c r="DR93" i="19"/>
  <c r="DR23" i="19"/>
  <c r="DR82" i="19"/>
  <c r="DR17" i="19"/>
  <c r="DR79" i="19"/>
  <c r="DR62" i="19"/>
  <c r="DR67" i="19"/>
  <c r="DR6" i="19"/>
  <c r="DR25" i="19"/>
  <c r="DR72" i="19"/>
  <c r="DR63" i="19"/>
  <c r="DR64" i="19"/>
  <c r="DR15" i="19"/>
  <c r="DR8" i="19"/>
  <c r="DR91" i="19"/>
  <c r="DR31" i="19"/>
  <c r="DR5" i="19"/>
  <c r="DR76" i="19"/>
  <c r="DR11" i="19"/>
  <c r="DR41" i="19"/>
  <c r="DR50" i="19"/>
  <c r="DR19" i="19"/>
  <c r="DR60" i="19"/>
  <c r="DR21" i="19"/>
  <c r="DR83" i="19"/>
  <c r="H146" i="22"/>
  <c r="K127" i="22"/>
  <c r="G201" i="22" s="1"/>
  <c r="W201" i="22" s="1"/>
  <c r="K139" i="22"/>
  <c r="G213" i="22" s="1"/>
  <c r="W213" i="22" s="1"/>
  <c r="K142" i="22"/>
  <c r="G216" i="22" s="1"/>
  <c r="W216" i="22" s="1"/>
  <c r="DR28" i="19"/>
  <c r="DR85" i="19"/>
  <c r="DR14" i="19"/>
  <c r="DR78" i="19"/>
  <c r="DR24" i="19"/>
  <c r="DR35" i="19"/>
  <c r="DR22" i="19"/>
  <c r="DR94" i="19"/>
  <c r="DR70" i="19"/>
  <c r="DR36" i="19"/>
  <c r="DR4" i="19"/>
  <c r="DR89" i="19"/>
  <c r="DR45" i="19"/>
  <c r="DR88" i="19"/>
  <c r="DR61" i="19"/>
  <c r="V209" i="22"/>
  <c r="X209" i="22"/>
  <c r="V182" i="22"/>
  <c r="DR53" i="19"/>
  <c r="DR18" i="19"/>
  <c r="DR68" i="19"/>
  <c r="DR48" i="19"/>
  <c r="DR74" i="19"/>
  <c r="DR96" i="19"/>
  <c r="DR97" i="19"/>
  <c r="DR47" i="19"/>
  <c r="DR52" i="19"/>
  <c r="DR77" i="19"/>
  <c r="DR69" i="19"/>
  <c r="DR12" i="19"/>
  <c r="DR98" i="19"/>
  <c r="DR9" i="19"/>
  <c r="DR16" i="19"/>
  <c r="X201" i="22"/>
  <c r="X208" i="22"/>
  <c r="V208" i="22"/>
  <c r="X200" i="22"/>
  <c r="V207" i="22"/>
  <c r="K110" i="22"/>
  <c r="G184" i="22" s="1"/>
  <c r="K100" i="22"/>
  <c r="G174" i="22" s="1"/>
  <c r="I174" i="22" s="1"/>
  <c r="K102" i="22"/>
  <c r="G176" i="22" s="1"/>
  <c r="K96" i="22"/>
  <c r="G170" i="22" s="1"/>
  <c r="W170" i="22" s="1"/>
  <c r="K116" i="22"/>
  <c r="G190" i="22" s="1"/>
  <c r="K136" i="22"/>
  <c r="G210" i="22" s="1"/>
  <c r="K112" i="22"/>
  <c r="G186" i="22" s="1"/>
  <c r="R359" i="26"/>
  <c r="V184" i="22"/>
  <c r="V200" i="22"/>
  <c r="X215" i="22"/>
  <c r="X182" i="22"/>
  <c r="V189" i="22"/>
  <c r="V217" i="22"/>
  <c r="V174" i="22"/>
  <c r="K120" i="22"/>
  <c r="K133" i="22"/>
  <c r="G207" i="22" s="1"/>
  <c r="K99" i="22"/>
  <c r="G173" i="22" s="1"/>
  <c r="I173" i="22" s="1"/>
  <c r="I146" i="22"/>
  <c r="K119" i="22"/>
  <c r="G193" i="22" s="1"/>
  <c r="K106" i="22"/>
  <c r="K126" i="22"/>
  <c r="K103" i="22"/>
  <c r="G177" i="22" s="1"/>
  <c r="W177" i="22" s="1"/>
  <c r="K130" i="22"/>
  <c r="K108" i="22"/>
  <c r="K137" i="22"/>
  <c r="G211" i="22" s="1"/>
  <c r="K141" i="22"/>
  <c r="G215" i="22" s="1"/>
  <c r="W215" i="22" s="1"/>
  <c r="K115" i="22"/>
  <c r="G189" i="22" s="1"/>
  <c r="W189" i="22" s="1"/>
  <c r="H145" i="22"/>
  <c r="K143" i="22"/>
  <c r="G217" i="22" s="1"/>
  <c r="W217" i="22" s="1"/>
  <c r="K105" i="22"/>
  <c r="G179" i="22" s="1"/>
  <c r="I179" i="22" s="1"/>
  <c r="K101" i="22"/>
  <c r="G175" i="22" s="1"/>
  <c r="G145" i="22"/>
  <c r="G154" i="22" s="1"/>
  <c r="K128" i="22"/>
  <c r="G202" i="22" s="1"/>
  <c r="K117" i="22"/>
  <c r="G191" i="22" s="1"/>
  <c r="I191" i="22" s="1"/>
  <c r="K113" i="22"/>
  <c r="G187" i="22" s="1"/>
  <c r="K134" i="22"/>
  <c r="K121" i="22"/>
  <c r="G195" i="22" s="1"/>
  <c r="K140" i="22"/>
  <c r="G214" i="22" s="1"/>
  <c r="K124" i="22"/>
  <c r="K125" i="22"/>
  <c r="G199" i="22" s="1"/>
  <c r="W199" i="22" s="1"/>
  <c r="V213" i="22"/>
  <c r="R368" i="26"/>
  <c r="R365" i="26"/>
  <c r="I145" i="22"/>
  <c r="K114" i="22"/>
  <c r="X178" i="22"/>
  <c r="X193" i="22"/>
  <c r="V195" i="22"/>
  <c r="X214" i="22"/>
  <c r="X173" i="22"/>
  <c r="V173" i="22"/>
  <c r="H154" i="22" l="1"/>
  <c r="H157" i="22" s="1"/>
  <c r="I154" i="22"/>
  <c r="I157" i="22" s="1"/>
  <c r="J154" i="22"/>
  <c r="J157" i="22" s="1"/>
  <c r="K22" i="4"/>
  <c r="F35" i="4" s="1"/>
  <c r="G157" i="22"/>
  <c r="S127" i="26"/>
  <c r="T195" i="26"/>
  <c r="T180" i="22"/>
  <c r="S304" i="22"/>
  <c r="Q69" i="26"/>
  <c r="T178" i="26"/>
  <c r="S137" i="26"/>
  <c r="L69" i="26"/>
  <c r="J242" i="26" s="1"/>
  <c r="Q263" i="26"/>
  <c r="G69" i="26"/>
  <c r="I69" i="26" s="1"/>
  <c r="T181" i="26"/>
  <c r="S172" i="26"/>
  <c r="F156" i="26"/>
  <c r="C233" i="26"/>
  <c r="D233" i="26" s="1"/>
  <c r="R101" i="26"/>
  <c r="Q225" i="26"/>
  <c r="X179" i="26"/>
  <c r="C99" i="27"/>
  <c r="X190" i="26"/>
  <c r="Q315" i="26"/>
  <c r="Q304" i="26"/>
  <c r="Q187" i="26"/>
  <c r="Q316" i="26"/>
  <c r="T208" i="22"/>
  <c r="Q34" i="26"/>
  <c r="G241" i="22"/>
  <c r="M241" i="22" s="1"/>
  <c r="H84" i="27"/>
  <c r="T207" i="26"/>
  <c r="S205" i="26"/>
  <c r="Q209" i="26"/>
  <c r="Q175" i="26"/>
  <c r="C344" i="26"/>
  <c r="R360" i="26" s="1"/>
  <c r="D344" i="26"/>
  <c r="R361" i="26" s="1"/>
  <c r="F344" i="26"/>
  <c r="R391" i="26" s="1"/>
  <c r="F36" i="10"/>
  <c r="O112" i="10"/>
  <c r="F341" i="22" s="1"/>
  <c r="S208" i="26"/>
  <c r="R223" i="22"/>
  <c r="R118" i="22"/>
  <c r="T177" i="26"/>
  <c r="R106" i="22"/>
  <c r="S101" i="26"/>
  <c r="R314" i="22"/>
  <c r="F314" i="22" s="1"/>
  <c r="R104" i="22"/>
  <c r="R323" i="22"/>
  <c r="R126" i="22"/>
  <c r="R194" i="22"/>
  <c r="R124" i="22"/>
  <c r="R135" i="27"/>
  <c r="I342" i="26"/>
  <c r="R394" i="26" s="1"/>
  <c r="R372" i="26"/>
  <c r="I341" i="22"/>
  <c r="R395" i="22" s="1"/>
  <c r="R273" i="22"/>
  <c r="R110" i="22"/>
  <c r="R67" i="22"/>
  <c r="J67" i="22" s="1"/>
  <c r="R192" i="22"/>
  <c r="S183" i="26"/>
  <c r="M348" i="26" s="1"/>
  <c r="R262" i="22"/>
  <c r="U16" i="4"/>
  <c r="U18" i="4" s="1"/>
  <c r="U19" i="4" s="1"/>
  <c r="R184" i="22"/>
  <c r="R108" i="22"/>
  <c r="T183" i="26"/>
  <c r="C350" i="26" s="1"/>
  <c r="R156" i="26"/>
  <c r="J161" i="10"/>
  <c r="C128" i="27" s="1"/>
  <c r="R134" i="27" s="1"/>
  <c r="T203" i="22"/>
  <c r="R38" i="22"/>
  <c r="H38" i="22" s="1"/>
  <c r="R33" i="22"/>
  <c r="R312" i="22"/>
  <c r="F312" i="22" s="1"/>
  <c r="R188" i="22"/>
  <c r="R302" i="22"/>
  <c r="F302" i="22" s="1"/>
  <c r="R62" i="22"/>
  <c r="J62" i="22" s="1"/>
  <c r="R204" i="22"/>
  <c r="R154" i="22"/>
  <c r="K15" i="22"/>
  <c r="Q46" i="8"/>
  <c r="P46" i="8"/>
  <c r="S207" i="26"/>
  <c r="R102" i="22"/>
  <c r="R178" i="22"/>
  <c r="R128" i="22"/>
  <c r="R170" i="22"/>
  <c r="R282" i="22"/>
  <c r="R96" i="22"/>
  <c r="R172" i="22"/>
  <c r="R182" i="22"/>
  <c r="R232" i="22"/>
  <c r="U15" i="4" a="1"/>
  <c r="U15" i="4" s="1"/>
  <c r="T196" i="26"/>
  <c r="N35" i="4"/>
  <c r="H35" i="4"/>
  <c r="M35" i="4"/>
  <c r="I35" i="4"/>
  <c r="G342" i="26"/>
  <c r="R393" i="26" s="1"/>
  <c r="G341" i="22"/>
  <c r="R394" i="22" s="1"/>
  <c r="Y161" i="10"/>
  <c r="G17" i="18"/>
  <c r="H17" i="18" s="1"/>
  <c r="I17" i="18" s="1"/>
  <c r="J17" i="18" s="1"/>
  <c r="K17" i="18" s="1"/>
  <c r="L17" i="18" s="1"/>
  <c r="M17" i="18" s="1"/>
  <c r="N17" i="18" s="1"/>
  <c r="O17" i="18" s="1"/>
  <c r="P17" i="18" s="1"/>
  <c r="Q17" i="18" s="1"/>
  <c r="R17" i="18" s="1"/>
  <c r="S17" i="18" s="1"/>
  <c r="T17" i="18" s="1"/>
  <c r="U17" i="18" s="1"/>
  <c r="M68" i="26"/>
  <c r="R384" i="22"/>
  <c r="R197" i="26"/>
  <c r="R201" i="26"/>
  <c r="R173" i="26"/>
  <c r="R117" i="26"/>
  <c r="R123" i="26"/>
  <c r="R33" i="26"/>
  <c r="R193" i="26"/>
  <c r="R185" i="26"/>
  <c r="R179" i="26"/>
  <c r="R103" i="26"/>
  <c r="P63" i="23"/>
  <c r="Q63" i="23" s="1"/>
  <c r="F61" i="4"/>
  <c r="R377" i="26"/>
  <c r="L68" i="26"/>
  <c r="J241" i="26" s="1"/>
  <c r="R183" i="26"/>
  <c r="T48" i="4"/>
  <c r="R115" i="26"/>
  <c r="R241" i="26"/>
  <c r="L43" i="10"/>
  <c r="AF20" i="27" s="1"/>
  <c r="R127" i="26"/>
  <c r="S195" i="26"/>
  <c r="R125" i="26"/>
  <c r="T218" i="26"/>
  <c r="S218" i="26"/>
  <c r="R225" i="26"/>
  <c r="R263" i="26"/>
  <c r="R275" i="26"/>
  <c r="R264" i="26"/>
  <c r="R147" i="26"/>
  <c r="L150" i="26" s="1"/>
  <c r="R105" i="26"/>
  <c r="L91" i="4"/>
  <c r="P91" i="4" s="1"/>
  <c r="R91" i="4" s="1"/>
  <c r="U91" i="4" s="1"/>
  <c r="R139" i="26"/>
  <c r="L149" i="26"/>
  <c r="M149" i="26"/>
  <c r="R195" i="26"/>
  <c r="Q326" i="26"/>
  <c r="U48" i="4"/>
  <c r="Q275" i="26"/>
  <c r="I275" i="26" s="1"/>
  <c r="R315" i="26"/>
  <c r="F315" i="26" s="1"/>
  <c r="A21" i="21"/>
  <c r="A10" i="21"/>
  <c r="A18" i="21"/>
  <c r="A26" i="21"/>
  <c r="A24" i="21"/>
  <c r="A27" i="21"/>
  <c r="A12" i="21"/>
  <c r="A22" i="21"/>
  <c r="A14" i="21"/>
  <c r="A13" i="21"/>
  <c r="A16" i="21"/>
  <c r="A17" i="21"/>
  <c r="A20" i="21"/>
  <c r="B8" i="21"/>
  <c r="A25" i="21"/>
  <c r="A28" i="21"/>
  <c r="A15" i="21"/>
  <c r="A11" i="21"/>
  <c r="A19" i="21"/>
  <c r="A29" i="21"/>
  <c r="A23" i="21"/>
  <c r="W213" i="26"/>
  <c r="R133" i="26"/>
  <c r="R274" i="26"/>
  <c r="T184" i="26"/>
  <c r="R209" i="26"/>
  <c r="R211" i="26"/>
  <c r="Q233" i="26"/>
  <c r="R313" i="26"/>
  <c r="F313" i="26" s="1"/>
  <c r="R177" i="26"/>
  <c r="R109" i="26"/>
  <c r="R121" i="26"/>
  <c r="R213" i="26"/>
  <c r="L77" i="10"/>
  <c r="R316" i="26"/>
  <c r="F316" i="26" s="1"/>
  <c r="J112" i="10"/>
  <c r="Q283" i="26"/>
  <c r="T204" i="26"/>
  <c r="S204" i="26"/>
  <c r="R207" i="26"/>
  <c r="R304" i="26"/>
  <c r="R129" i="26"/>
  <c r="R233" i="26"/>
  <c r="S179" i="26"/>
  <c r="Q292" i="26"/>
  <c r="S133" i="26"/>
  <c r="L83" i="10"/>
  <c r="R242" i="26"/>
  <c r="R113" i="26"/>
  <c r="C275" i="26"/>
  <c r="D275" i="26" s="1"/>
  <c r="R34" i="26"/>
  <c r="S216" i="26"/>
  <c r="C274" i="26"/>
  <c r="D274" i="26" s="1"/>
  <c r="G43" i="10"/>
  <c r="S125" i="26"/>
  <c r="R196" i="22"/>
  <c r="R98" i="22"/>
  <c r="C292" i="26"/>
  <c r="D292" i="26" s="1"/>
  <c r="R240" i="22"/>
  <c r="R256" i="26"/>
  <c r="M69" i="26"/>
  <c r="R69" i="26"/>
  <c r="T210" i="26"/>
  <c r="S210" i="26"/>
  <c r="R284" i="26"/>
  <c r="Q22" i="4"/>
  <c r="AD22" i="4" s="1"/>
  <c r="F59" i="4"/>
  <c r="F34" i="4"/>
  <c r="F33" i="4"/>
  <c r="F32" i="4"/>
  <c r="F148" i="26"/>
  <c r="F60" i="4"/>
  <c r="H148" i="26"/>
  <c r="Q68" i="26"/>
  <c r="T203" i="26"/>
  <c r="S203" i="26"/>
  <c r="M148" i="26"/>
  <c r="R325" i="26"/>
  <c r="G68" i="26"/>
  <c r="J68" i="26" s="1"/>
  <c r="Q317" i="26"/>
  <c r="R317" i="26"/>
  <c r="F317" i="26" s="1"/>
  <c r="H68" i="26"/>
  <c r="R119" i="26"/>
  <c r="R99" i="26"/>
  <c r="C326" i="26"/>
  <c r="D326" i="26" s="1"/>
  <c r="R97" i="26"/>
  <c r="R135" i="26"/>
  <c r="R107" i="26"/>
  <c r="F256" i="26"/>
  <c r="F252" i="26"/>
  <c r="G252" i="26" s="1"/>
  <c r="E84" i="27"/>
  <c r="B252" i="22"/>
  <c r="I257" i="26"/>
  <c r="I252" i="26"/>
  <c r="J252" i="26" s="1"/>
  <c r="B252" i="26"/>
  <c r="B253" i="26"/>
  <c r="I253" i="26"/>
  <c r="J253" i="26" s="1"/>
  <c r="I256" i="26"/>
  <c r="B251" i="22"/>
  <c r="B268" i="22"/>
  <c r="I252" i="22"/>
  <c r="B269" i="26"/>
  <c r="F255" i="22"/>
  <c r="I251" i="22"/>
  <c r="B105" i="19"/>
  <c r="F256" i="22"/>
  <c r="B106" i="19"/>
  <c r="F251" i="22"/>
  <c r="I256" i="22"/>
  <c r="I255" i="22"/>
  <c r="F257" i="26"/>
  <c r="R175" i="26"/>
  <c r="L70" i="22"/>
  <c r="R224" i="26"/>
  <c r="C304" i="26"/>
  <c r="D304" i="26" s="1"/>
  <c r="F62" i="4"/>
  <c r="M62" i="4" s="1"/>
  <c r="X210" i="26"/>
  <c r="R111" i="26"/>
  <c r="S121" i="26"/>
  <c r="I54" i="22"/>
  <c r="L13" i="27"/>
  <c r="K17" i="22"/>
  <c r="B305" i="22"/>
  <c r="K19" i="22"/>
  <c r="B226" i="22"/>
  <c r="B265" i="22"/>
  <c r="B294" i="22"/>
  <c r="B285" i="22"/>
  <c r="B243" i="22"/>
  <c r="B276" i="22"/>
  <c r="G36" i="22"/>
  <c r="K18" i="22"/>
  <c r="B148" i="22"/>
  <c r="R187" i="26"/>
  <c r="R40" i="26"/>
  <c r="H40" i="26" s="1"/>
  <c r="K91" i="4"/>
  <c r="O91" i="4" s="1"/>
  <c r="Q91" i="4" s="1"/>
  <c r="T91" i="4" s="1"/>
  <c r="T171" i="26"/>
  <c r="D346" i="26" s="1"/>
  <c r="S171" i="26"/>
  <c r="C346" i="26" s="1"/>
  <c r="J65" i="26"/>
  <c r="Q70" i="26"/>
  <c r="I70" i="26" s="1"/>
  <c r="R181" i="26"/>
  <c r="R64" i="26"/>
  <c r="J64" i="26" s="1"/>
  <c r="R70" i="26"/>
  <c r="J70" i="26" s="1"/>
  <c r="R234" i="26"/>
  <c r="R293" i="26"/>
  <c r="F77" i="10"/>
  <c r="P25" i="8"/>
  <c r="Q25" i="8"/>
  <c r="T202" i="22"/>
  <c r="S105" i="26"/>
  <c r="R122" i="22"/>
  <c r="R191" i="26"/>
  <c r="G242" i="22"/>
  <c r="M242" i="22" s="1"/>
  <c r="T209" i="26"/>
  <c r="S209" i="26"/>
  <c r="W65" i="27"/>
  <c r="T196" i="22"/>
  <c r="T186" i="22"/>
  <c r="T187" i="22"/>
  <c r="T197" i="22"/>
  <c r="T181" i="22"/>
  <c r="S173" i="22"/>
  <c r="T173" i="22"/>
  <c r="T205" i="22"/>
  <c r="S205" i="22"/>
  <c r="T194" i="22"/>
  <c r="T184" i="22"/>
  <c r="T185" i="22"/>
  <c r="T215" i="22"/>
  <c r="S215" i="22"/>
  <c r="E225" i="22"/>
  <c r="G234" i="22" s="1"/>
  <c r="T209" i="22"/>
  <c r="T216" i="22"/>
  <c r="S216" i="22"/>
  <c r="T195" i="22"/>
  <c r="T213" i="22"/>
  <c r="S213" i="22"/>
  <c r="T182" i="22"/>
  <c r="C349" i="22" s="1"/>
  <c r="T212" i="22"/>
  <c r="T178" i="22"/>
  <c r="T179" i="22"/>
  <c r="T217" i="22"/>
  <c r="S217" i="22"/>
  <c r="S201" i="22"/>
  <c r="T201" i="22"/>
  <c r="R294" i="26"/>
  <c r="Q294" i="26"/>
  <c r="H82" i="27"/>
  <c r="E82" i="27"/>
  <c r="C119" i="27"/>
  <c r="D119" i="27" s="1"/>
  <c r="R316" i="22"/>
  <c r="F316" i="22" s="1"/>
  <c r="R275" i="22"/>
  <c r="R147" i="22"/>
  <c r="R264" i="22"/>
  <c r="R64" i="22"/>
  <c r="J64" i="22" s="1"/>
  <c r="R284" i="22"/>
  <c r="R69" i="22"/>
  <c r="J69" i="22" s="1"/>
  <c r="R156" i="22"/>
  <c r="R304" i="22"/>
  <c r="F304" i="22" s="1"/>
  <c r="R325" i="22"/>
  <c r="R225" i="22"/>
  <c r="K64" i="26"/>
  <c r="I64" i="26"/>
  <c r="S190" i="26"/>
  <c r="T190" i="26"/>
  <c r="T212" i="26"/>
  <c r="S212" i="26"/>
  <c r="S191" i="26"/>
  <c r="T192" i="26"/>
  <c r="S192" i="26"/>
  <c r="T191" i="26"/>
  <c r="C294" i="26"/>
  <c r="D294" i="26" s="1"/>
  <c r="S123" i="26"/>
  <c r="X203" i="26"/>
  <c r="L59" i="26"/>
  <c r="X213" i="26"/>
  <c r="X187" i="26"/>
  <c r="R242" i="22"/>
  <c r="Q226" i="26"/>
  <c r="R226" i="26"/>
  <c r="T214" i="22"/>
  <c r="S214" i="22"/>
  <c r="T202" i="26"/>
  <c r="S202" i="26"/>
  <c r="T211" i="26"/>
  <c r="K111" i="27"/>
  <c r="C226" i="26"/>
  <c r="D226" i="26" s="1"/>
  <c r="X205" i="26"/>
  <c r="T58" i="26"/>
  <c r="U58" i="26" s="1"/>
  <c r="R40" i="22"/>
  <c r="H40" i="22" s="1"/>
  <c r="F225" i="22"/>
  <c r="W211" i="26"/>
  <c r="G148" i="26"/>
  <c r="R148" i="26"/>
  <c r="Q148" i="26"/>
  <c r="T182" i="26"/>
  <c r="S182" i="26"/>
  <c r="T200" i="26"/>
  <c r="S200" i="26"/>
  <c r="H225" i="22"/>
  <c r="K110" i="27"/>
  <c r="I225" i="22"/>
  <c r="I224" i="22"/>
  <c r="H224" i="22"/>
  <c r="H241" i="22" s="1"/>
  <c r="I223" i="22"/>
  <c r="H223" i="22"/>
  <c r="J223" i="22" s="1"/>
  <c r="M111" i="27"/>
  <c r="C82" i="27"/>
  <c r="D82" i="27" s="1"/>
  <c r="J243" i="26"/>
  <c r="X186" i="26"/>
  <c r="X174" i="26"/>
  <c r="L57" i="26"/>
  <c r="K148" i="26"/>
  <c r="L148" i="26"/>
  <c r="R234" i="22"/>
  <c r="T180" i="26"/>
  <c r="S180" i="26"/>
  <c r="I88" i="27"/>
  <c r="I97" i="27"/>
  <c r="F71" i="27"/>
  <c r="M11" i="27"/>
  <c r="F97" i="27"/>
  <c r="F117" i="27"/>
  <c r="M8" i="27"/>
  <c r="M12" i="27"/>
  <c r="R112" i="27" s="1"/>
  <c r="M10" i="27"/>
  <c r="I71" i="27"/>
  <c r="F88" i="27"/>
  <c r="I108" i="27"/>
  <c r="I117" i="27"/>
  <c r="F108" i="27"/>
  <c r="S129" i="26"/>
  <c r="S130" i="26"/>
  <c r="S181" i="26"/>
  <c r="C276" i="26"/>
  <c r="D276" i="26" s="1"/>
  <c r="Q276" i="26"/>
  <c r="R276" i="26"/>
  <c r="S116" i="26"/>
  <c r="S115" i="26"/>
  <c r="T197" i="26"/>
  <c r="S197" i="26"/>
  <c r="F274" i="26"/>
  <c r="I274" i="26"/>
  <c r="W29" i="27"/>
  <c r="X23" i="27"/>
  <c r="W38" i="27"/>
  <c r="W67" i="27"/>
  <c r="W23" i="27"/>
  <c r="X37" i="27"/>
  <c r="W20" i="27"/>
  <c r="W54" i="27"/>
  <c r="X33" i="27"/>
  <c r="W49" i="27"/>
  <c r="W39" i="27"/>
  <c r="X40" i="27"/>
  <c r="X38" i="27"/>
  <c r="W42" i="27"/>
  <c r="X20" i="27"/>
  <c r="W60" i="27"/>
  <c r="W40" i="27"/>
  <c r="W62" i="27"/>
  <c r="W32" i="27"/>
  <c r="X50" i="27"/>
  <c r="W21" i="27"/>
  <c r="W66" i="27"/>
  <c r="X48" i="27"/>
  <c r="X56" i="27"/>
  <c r="W48" i="27"/>
  <c r="W44" i="27"/>
  <c r="X60" i="27"/>
  <c r="W63" i="27"/>
  <c r="C83" i="27"/>
  <c r="D83" i="27" s="1"/>
  <c r="X46" i="27"/>
  <c r="X39" i="27"/>
  <c r="W43" i="27"/>
  <c r="W26" i="27"/>
  <c r="X47" i="27"/>
  <c r="X65" i="27"/>
  <c r="X58" i="27"/>
  <c r="W52" i="27"/>
  <c r="W47" i="27"/>
  <c r="X63" i="27"/>
  <c r="X51" i="27"/>
  <c r="X62" i="27"/>
  <c r="X25" i="27"/>
  <c r="W64" i="27"/>
  <c r="W61" i="27"/>
  <c r="X29" i="27"/>
  <c r="X64" i="27"/>
  <c r="X28" i="27"/>
  <c r="W33" i="27"/>
  <c r="X31" i="27"/>
  <c r="X21" i="27"/>
  <c r="X34" i="27"/>
  <c r="W34" i="27"/>
  <c r="W25" i="27"/>
  <c r="X55" i="27"/>
  <c r="X42" i="27"/>
  <c r="X32" i="27"/>
  <c r="W57" i="27"/>
  <c r="X27" i="27"/>
  <c r="W51" i="27"/>
  <c r="W45" i="27"/>
  <c r="W58" i="27"/>
  <c r="E83" i="27"/>
  <c r="X61" i="27"/>
  <c r="X67" i="27"/>
  <c r="X66" i="27"/>
  <c r="W50" i="27"/>
  <c r="X49" i="27"/>
  <c r="W36" i="27"/>
  <c r="X26" i="27"/>
  <c r="W27" i="27"/>
  <c r="W46" i="27"/>
  <c r="X43" i="27"/>
  <c r="X45" i="27"/>
  <c r="W28" i="27"/>
  <c r="X53" i="27"/>
  <c r="W22" i="27"/>
  <c r="W53" i="27"/>
  <c r="W55" i="27"/>
  <c r="X41" i="27"/>
  <c r="X59" i="27"/>
  <c r="W30" i="27"/>
  <c r="X52" i="27"/>
  <c r="X36" i="27"/>
  <c r="X24" i="27"/>
  <c r="W56" i="27"/>
  <c r="W24" i="27"/>
  <c r="W59" i="27"/>
  <c r="X44" i="27"/>
  <c r="X35" i="27"/>
  <c r="X22" i="27"/>
  <c r="K64" i="27"/>
  <c r="W35" i="27"/>
  <c r="W41" i="27"/>
  <c r="W37" i="27"/>
  <c r="W31" i="27"/>
  <c r="X30" i="27"/>
  <c r="X54" i="27"/>
  <c r="K66" i="27"/>
  <c r="X57" i="27"/>
  <c r="H83" i="27"/>
  <c r="C112" i="27"/>
  <c r="D112" i="27" s="1"/>
  <c r="M112" i="27"/>
  <c r="K112" i="27"/>
  <c r="R136" i="22"/>
  <c r="R138" i="22"/>
  <c r="R134" i="22"/>
  <c r="R241" i="22"/>
  <c r="R155" i="22"/>
  <c r="R283" i="22"/>
  <c r="R39" i="22"/>
  <c r="H39" i="22" s="1"/>
  <c r="R224" i="22"/>
  <c r="R63" i="22"/>
  <c r="J63" i="22" s="1"/>
  <c r="R315" i="22"/>
  <c r="F315" i="22" s="1"/>
  <c r="R303" i="22"/>
  <c r="F303" i="22" s="1"/>
  <c r="R263" i="22"/>
  <c r="R68" i="22"/>
  <c r="J68" i="22" s="1"/>
  <c r="R292" i="22"/>
  <c r="R146" i="22"/>
  <c r="I149" i="22" s="1"/>
  <c r="R100" i="22"/>
  <c r="R274" i="22"/>
  <c r="R212" i="22"/>
  <c r="R324" i="22"/>
  <c r="R112" i="22"/>
  <c r="R174" i="22"/>
  <c r="R186" i="22"/>
  <c r="R208" i="22"/>
  <c r="R210" i="22"/>
  <c r="R233" i="22"/>
  <c r="T176" i="26"/>
  <c r="S176" i="26"/>
  <c r="S175" i="26"/>
  <c r="T175" i="26"/>
  <c r="J147" i="26"/>
  <c r="S113" i="26"/>
  <c r="G147" i="26"/>
  <c r="K147" i="26"/>
  <c r="H147" i="26"/>
  <c r="I147" i="26"/>
  <c r="S135" i="26"/>
  <c r="S100" i="26"/>
  <c r="S99" i="26"/>
  <c r="S33" i="26"/>
  <c r="G350" i="26" s="1"/>
  <c r="R380" i="26" s="1"/>
  <c r="S193" i="26"/>
  <c r="T193" i="26"/>
  <c r="T194" i="26"/>
  <c r="S194" i="26"/>
  <c r="W171" i="26"/>
  <c r="X172" i="26"/>
  <c r="X206" i="26"/>
  <c r="X209" i="26"/>
  <c r="X196" i="26"/>
  <c r="L60" i="26"/>
  <c r="X181" i="26"/>
  <c r="X193" i="26"/>
  <c r="X194" i="26"/>
  <c r="X197" i="26"/>
  <c r="X176" i="26"/>
  <c r="X180" i="26"/>
  <c r="X214" i="26"/>
  <c r="W176" i="26"/>
  <c r="S103" i="26"/>
  <c r="T199" i="26"/>
  <c r="S199" i="26"/>
  <c r="C303" i="26"/>
  <c r="D303" i="26" s="1"/>
  <c r="Q303" i="26"/>
  <c r="R303" i="26"/>
  <c r="E39" i="26"/>
  <c r="E303" i="26" s="1"/>
  <c r="R39" i="26"/>
  <c r="Q39" i="26"/>
  <c r="F39" i="26"/>
  <c r="E304" i="26"/>
  <c r="T214" i="26"/>
  <c r="S214" i="26"/>
  <c r="C235" i="26"/>
  <c r="D235" i="26" s="1"/>
  <c r="X215" i="26"/>
  <c r="X208" i="26"/>
  <c r="W182" i="26"/>
  <c r="W180" i="26"/>
  <c r="W183" i="26"/>
  <c r="W189" i="26"/>
  <c r="W200" i="26"/>
  <c r="W184" i="26"/>
  <c r="W206" i="26"/>
  <c r="W192" i="26"/>
  <c r="W205" i="26"/>
  <c r="W202" i="26"/>
  <c r="W196" i="26"/>
  <c r="W175" i="26"/>
  <c r="W185" i="26"/>
  <c r="W191" i="26"/>
  <c r="W172" i="26"/>
  <c r="W193" i="26"/>
  <c r="W216" i="26"/>
  <c r="W186" i="26"/>
  <c r="W197" i="26"/>
  <c r="Q235" i="26"/>
  <c r="W218" i="26"/>
  <c r="W181" i="26"/>
  <c r="W188" i="26"/>
  <c r="X189" i="26"/>
  <c r="X178" i="26"/>
  <c r="W203" i="26"/>
  <c r="W208" i="26"/>
  <c r="W174" i="26"/>
  <c r="W214" i="26"/>
  <c r="W198" i="26"/>
  <c r="W201" i="26"/>
  <c r="W173" i="26"/>
  <c r="W207" i="26"/>
  <c r="W217" i="26"/>
  <c r="W179" i="26"/>
  <c r="R235" i="26"/>
  <c r="W215" i="26"/>
  <c r="X218" i="26"/>
  <c r="W178" i="26"/>
  <c r="W194" i="26"/>
  <c r="W209" i="26"/>
  <c r="W190" i="26"/>
  <c r="X217" i="26"/>
  <c r="W177" i="26"/>
  <c r="F226" i="26"/>
  <c r="H225" i="26"/>
  <c r="E225" i="26"/>
  <c r="E242" i="26" s="1"/>
  <c r="I226" i="26"/>
  <c r="T173" i="26"/>
  <c r="K346" i="26" s="1"/>
  <c r="H224" i="26"/>
  <c r="S173" i="26"/>
  <c r="J346" i="26" s="1"/>
  <c r="I224" i="26"/>
  <c r="E226" i="26"/>
  <c r="E243" i="26" s="1"/>
  <c r="F224" i="26"/>
  <c r="E224" i="26"/>
  <c r="I225" i="26"/>
  <c r="F225" i="26"/>
  <c r="H226" i="26"/>
  <c r="U235" i="26" s="1"/>
  <c r="T217" i="26"/>
  <c r="S217" i="26"/>
  <c r="S110" i="26"/>
  <c r="S109" i="26"/>
  <c r="S131" i="26"/>
  <c r="S132" i="26"/>
  <c r="T188" i="26"/>
  <c r="S188" i="26"/>
  <c r="H146" i="26"/>
  <c r="S97" i="26"/>
  <c r="I146" i="26"/>
  <c r="K146" i="26"/>
  <c r="G146" i="26"/>
  <c r="J146" i="26"/>
  <c r="F155" i="26"/>
  <c r="G226" i="26"/>
  <c r="R155" i="26"/>
  <c r="Q155" i="26"/>
  <c r="G225" i="26"/>
  <c r="T185" i="26"/>
  <c r="S185" i="26"/>
  <c r="S201" i="26"/>
  <c r="T201" i="26"/>
  <c r="S139" i="26"/>
  <c r="X173" i="26"/>
  <c r="X184" i="26"/>
  <c r="W212" i="26"/>
  <c r="X192" i="26"/>
  <c r="L58" i="26"/>
  <c r="T57" i="26"/>
  <c r="U57" i="26" s="1"/>
  <c r="X199" i="26"/>
  <c r="X200" i="26"/>
  <c r="T59" i="26"/>
  <c r="U59" i="26" s="1"/>
  <c r="X191" i="26"/>
  <c r="X177" i="26"/>
  <c r="X195" i="26"/>
  <c r="X204" i="26"/>
  <c r="X182" i="26"/>
  <c r="S187" i="26"/>
  <c r="T215" i="26"/>
  <c r="S215" i="26"/>
  <c r="T213" i="26"/>
  <c r="E41" i="26"/>
  <c r="E305" i="26" s="1"/>
  <c r="F305" i="26" s="1"/>
  <c r="F41" i="26"/>
  <c r="R41" i="26"/>
  <c r="Q41" i="26"/>
  <c r="J41" i="26"/>
  <c r="G305" i="26" s="1"/>
  <c r="C101" i="27"/>
  <c r="D101" i="27" s="1"/>
  <c r="W210" i="26"/>
  <c r="K65" i="26"/>
  <c r="I65" i="26"/>
  <c r="S120" i="26"/>
  <c r="S119" i="26"/>
  <c r="R324" i="26"/>
  <c r="C324" i="26"/>
  <c r="D324" i="26" s="1"/>
  <c r="Q324" i="26"/>
  <c r="H63" i="26"/>
  <c r="M63" i="26"/>
  <c r="L63" i="26"/>
  <c r="G63" i="26"/>
  <c r="Q63" i="26"/>
  <c r="R63" i="26"/>
  <c r="S117" i="26"/>
  <c r="S118" i="26"/>
  <c r="S189" i="26"/>
  <c r="T189" i="26"/>
  <c r="S206" i="26"/>
  <c r="T206" i="26"/>
  <c r="T205" i="26"/>
  <c r="S108" i="26"/>
  <c r="S107" i="26"/>
  <c r="X171" i="26"/>
  <c r="X212" i="26"/>
  <c r="W204" i="26"/>
  <c r="X216" i="26"/>
  <c r="W195" i="26"/>
  <c r="X202" i="26"/>
  <c r="X175" i="26"/>
  <c r="X183" i="26"/>
  <c r="X185" i="26"/>
  <c r="X207" i="26"/>
  <c r="X201" i="26"/>
  <c r="X211" i="26"/>
  <c r="X198" i="26"/>
  <c r="W199" i="26"/>
  <c r="G224" i="26"/>
  <c r="T187" i="26"/>
  <c r="T60" i="26"/>
  <c r="U60" i="26" s="1"/>
  <c r="S213" i="26"/>
  <c r="I196" i="22"/>
  <c r="Y196" i="22"/>
  <c r="R373" i="22"/>
  <c r="R360" i="22"/>
  <c r="R374" i="22"/>
  <c r="R378" i="22"/>
  <c r="R379" i="22"/>
  <c r="R380" i="22"/>
  <c r="F342" i="26"/>
  <c r="I170" i="22"/>
  <c r="Y192" i="22"/>
  <c r="I205" i="22"/>
  <c r="I203" i="22"/>
  <c r="S130" i="22"/>
  <c r="I181" i="22"/>
  <c r="I213" i="22"/>
  <c r="S128" i="22"/>
  <c r="I183" i="22"/>
  <c r="G204" i="22"/>
  <c r="W204" i="22" s="1"/>
  <c r="I216" i="22"/>
  <c r="W173" i="22"/>
  <c r="S212" i="22"/>
  <c r="W183" i="22"/>
  <c r="I177" i="22"/>
  <c r="S174" i="22"/>
  <c r="S98" i="22"/>
  <c r="W179" i="22"/>
  <c r="S96" i="22"/>
  <c r="W174" i="22"/>
  <c r="S178" i="22"/>
  <c r="S110" i="22"/>
  <c r="S184" i="22"/>
  <c r="W191" i="22"/>
  <c r="S122" i="22"/>
  <c r="I212" i="22"/>
  <c r="W185" i="22"/>
  <c r="W192" i="22"/>
  <c r="S100" i="22"/>
  <c r="S116" i="22"/>
  <c r="R377" i="22"/>
  <c r="G112" i="10"/>
  <c r="L112" i="10"/>
  <c r="G83" i="10"/>
  <c r="J83" i="10"/>
  <c r="I210" i="22"/>
  <c r="W210" i="22"/>
  <c r="W209" i="22"/>
  <c r="S138" i="22"/>
  <c r="C347" i="22"/>
  <c r="I215" i="22"/>
  <c r="I217" i="22"/>
  <c r="S210" i="22"/>
  <c r="I201" i="22"/>
  <c r="W214" i="22"/>
  <c r="I214" i="22"/>
  <c r="I199" i="22"/>
  <c r="S118" i="22"/>
  <c r="S104" i="22"/>
  <c r="S102" i="22"/>
  <c r="W184" i="22"/>
  <c r="Y184" i="22"/>
  <c r="I184" i="22"/>
  <c r="I195" i="22"/>
  <c r="W195" i="22"/>
  <c r="I211" i="22"/>
  <c r="W211" i="22"/>
  <c r="S126" i="22"/>
  <c r="G200" i="22"/>
  <c r="W178" i="22"/>
  <c r="K347" i="22"/>
  <c r="I178" i="22"/>
  <c r="S176" i="22"/>
  <c r="W176" i="22"/>
  <c r="I176" i="22"/>
  <c r="S134" i="22"/>
  <c r="G208" i="22"/>
  <c r="G182" i="22"/>
  <c r="S108" i="22"/>
  <c r="G180" i="22"/>
  <c r="S106" i="22"/>
  <c r="W207" i="22"/>
  <c r="I207" i="22"/>
  <c r="S112" i="22"/>
  <c r="I189" i="22"/>
  <c r="S136" i="22"/>
  <c r="W206" i="22"/>
  <c r="R388" i="22"/>
  <c r="I206" i="22"/>
  <c r="S206" i="22"/>
  <c r="S124" i="22"/>
  <c r="G198" i="22"/>
  <c r="I187" i="22"/>
  <c r="W187" i="22"/>
  <c r="I175" i="22"/>
  <c r="W175" i="22"/>
  <c r="I193" i="22"/>
  <c r="S192" i="22"/>
  <c r="W193" i="22"/>
  <c r="G194" i="22"/>
  <c r="S120" i="22"/>
  <c r="S186" i="22"/>
  <c r="I186" i="22"/>
  <c r="W186" i="22"/>
  <c r="K146" i="22"/>
  <c r="S132" i="22"/>
  <c r="G188" i="22"/>
  <c r="S114" i="22"/>
  <c r="I171" i="22"/>
  <c r="W171" i="22"/>
  <c r="F345" i="22"/>
  <c r="S170" i="22"/>
  <c r="C345" i="22" s="1"/>
  <c r="S172" i="22"/>
  <c r="J345" i="22" s="1"/>
  <c r="I172" i="22"/>
  <c r="W172" i="22"/>
  <c r="H345" i="22"/>
  <c r="S190" i="22"/>
  <c r="Y190" i="22"/>
  <c r="I190" i="22"/>
  <c r="W190" i="22"/>
  <c r="K145" i="22"/>
  <c r="I202" i="22"/>
  <c r="Y202" i="22"/>
  <c r="S202" i="22"/>
  <c r="W202" i="22"/>
  <c r="W197" i="22"/>
  <c r="I197" i="22"/>
  <c r="S196" i="22"/>
  <c r="K154" i="22" l="1"/>
  <c r="G223" i="22" s="1"/>
  <c r="N62" i="4"/>
  <c r="H232" i="22"/>
  <c r="G255" i="22" s="1"/>
  <c r="K69" i="26"/>
  <c r="K84" i="27"/>
  <c r="J313" i="26"/>
  <c r="E318" i="26"/>
  <c r="I240" i="22"/>
  <c r="H41" i="22"/>
  <c r="F275" i="26"/>
  <c r="J244" i="26"/>
  <c r="G251" i="22"/>
  <c r="J312" i="22"/>
  <c r="F304" i="26"/>
  <c r="E264" i="26"/>
  <c r="F264" i="26" s="1"/>
  <c r="J69" i="26"/>
  <c r="I242" i="26" s="1"/>
  <c r="L71" i="26"/>
  <c r="R375" i="26"/>
  <c r="Q33" i="8"/>
  <c r="D343" i="22"/>
  <c r="R362" i="22" s="1"/>
  <c r="P33" i="8"/>
  <c r="C343" i="22"/>
  <c r="R361" i="22" s="1"/>
  <c r="G149" i="22"/>
  <c r="J149" i="22"/>
  <c r="G264" i="22"/>
  <c r="G284" i="22" s="1"/>
  <c r="G293" i="22" s="1"/>
  <c r="G325" i="22" s="1"/>
  <c r="H46" i="8"/>
  <c r="S46" i="8"/>
  <c r="H149" i="22"/>
  <c r="R46" i="8"/>
  <c r="G46" i="8"/>
  <c r="R374" i="26"/>
  <c r="AF170" i="22"/>
  <c r="I68" i="26"/>
  <c r="G235" i="26"/>
  <c r="M71" i="26"/>
  <c r="Q316" i="22"/>
  <c r="Q147" i="22"/>
  <c r="Q304" i="22"/>
  <c r="Q284" i="22"/>
  <c r="Q293" i="22"/>
  <c r="Q69" i="22"/>
  <c r="Q156" i="22"/>
  <c r="Q234" i="22"/>
  <c r="Q242" i="22"/>
  <c r="Q325" i="22"/>
  <c r="Q225" i="22"/>
  <c r="Q64" i="22"/>
  <c r="Q264" i="22"/>
  <c r="Q40" i="22"/>
  <c r="G40" i="22" s="1"/>
  <c r="Q275" i="22"/>
  <c r="H251" i="22"/>
  <c r="H252" i="22"/>
  <c r="K68" i="26"/>
  <c r="Q132" i="22"/>
  <c r="Q122" i="22"/>
  <c r="Q96" i="22"/>
  <c r="Q116" i="22"/>
  <c r="Q120" i="22"/>
  <c r="Q128" i="22"/>
  <c r="Q124" i="22"/>
  <c r="Q255" i="22"/>
  <c r="Q145" i="22"/>
  <c r="Q314" i="22"/>
  <c r="Q126" i="22"/>
  <c r="Q240" i="22"/>
  <c r="Q262" i="22"/>
  <c r="Q98" i="22"/>
  <c r="Q130" i="22"/>
  <c r="Q302" i="22"/>
  <c r="Q196" i="22"/>
  <c r="Q118" i="22"/>
  <c r="Q106" i="22"/>
  <c r="Q273" i="22"/>
  <c r="Q180" i="22"/>
  <c r="Q202" i="22"/>
  <c r="Q291" i="22"/>
  <c r="Q232" i="22"/>
  <c r="Q62" i="22"/>
  <c r="Q67" i="22"/>
  <c r="Q184" i="22"/>
  <c r="Q323" i="22"/>
  <c r="Q170" i="22"/>
  <c r="Q190" i="22"/>
  <c r="Q178" i="22"/>
  <c r="Q33" i="22"/>
  <c r="Q154" i="22"/>
  <c r="Q192" i="22"/>
  <c r="Q104" i="22"/>
  <c r="Q204" i="22"/>
  <c r="Q198" i="22"/>
  <c r="Q312" i="22"/>
  <c r="Q102" i="22"/>
  <c r="Q114" i="22"/>
  <c r="Q176" i="22"/>
  <c r="Q282" i="22"/>
  <c r="Q108" i="22"/>
  <c r="Q223" i="22"/>
  <c r="Q200" i="22"/>
  <c r="Q194" i="22"/>
  <c r="Q182" i="22"/>
  <c r="Q172" i="22"/>
  <c r="Q188" i="22"/>
  <c r="Q206" i="22"/>
  <c r="Q38" i="22"/>
  <c r="G38" i="22" s="1"/>
  <c r="Q110" i="22"/>
  <c r="B113" i="27"/>
  <c r="B76" i="27"/>
  <c r="K12" i="27"/>
  <c r="B93" i="27"/>
  <c r="K8" i="27"/>
  <c r="K10" i="27"/>
  <c r="B102" i="27"/>
  <c r="K11" i="27"/>
  <c r="J251" i="22"/>
  <c r="AF171" i="26"/>
  <c r="E265" i="26"/>
  <c r="F265" i="26" s="1"/>
  <c r="H62" i="4"/>
  <c r="F305" i="22"/>
  <c r="M150" i="26"/>
  <c r="J252" i="22"/>
  <c r="I62" i="4"/>
  <c r="R362" i="26"/>
  <c r="R363" i="26"/>
  <c r="F243" i="26"/>
  <c r="M33" i="4"/>
  <c r="I33" i="4"/>
  <c r="N33" i="4"/>
  <c r="H33" i="4"/>
  <c r="K70" i="26"/>
  <c r="H59" i="4"/>
  <c r="N59" i="4"/>
  <c r="I59" i="4"/>
  <c r="M59" i="4"/>
  <c r="N61" i="4"/>
  <c r="I61" i="4"/>
  <c r="H61" i="4"/>
  <c r="M61" i="4"/>
  <c r="E251" i="22"/>
  <c r="V251" i="22" s="1"/>
  <c r="R251" i="22"/>
  <c r="Q251" i="22"/>
  <c r="C251" i="22"/>
  <c r="D251" i="22" s="1"/>
  <c r="G263" i="22"/>
  <c r="G283" i="22" s="1"/>
  <c r="G292" i="22" s="1"/>
  <c r="G324" i="22" s="1"/>
  <c r="AG17" i="18"/>
  <c r="B257" i="26"/>
  <c r="C253" i="26"/>
  <c r="D253" i="26" s="1"/>
  <c r="Q253" i="26"/>
  <c r="R253" i="26"/>
  <c r="C252" i="26"/>
  <c r="D252" i="26" s="1"/>
  <c r="R252" i="26"/>
  <c r="Q252" i="26"/>
  <c r="I60" i="4"/>
  <c r="M60" i="4"/>
  <c r="H60" i="4"/>
  <c r="N60" i="4"/>
  <c r="F318" i="26"/>
  <c r="G318" i="26" s="1"/>
  <c r="R101" i="27"/>
  <c r="M32" i="4"/>
  <c r="I32" i="4"/>
  <c r="N32" i="4"/>
  <c r="H32" i="4"/>
  <c r="B256" i="22"/>
  <c r="G256" i="22" s="1"/>
  <c r="AL256" i="22" s="1"/>
  <c r="R252" i="22"/>
  <c r="Q252" i="22"/>
  <c r="C252" i="22"/>
  <c r="D252" i="22" s="1"/>
  <c r="C126" i="23"/>
  <c r="Q208" i="22"/>
  <c r="Q324" i="22"/>
  <c r="Q212" i="22"/>
  <c r="Q263" i="22"/>
  <c r="Q155" i="22"/>
  <c r="Q241" i="22"/>
  <c r="Q233" i="22"/>
  <c r="Q303" i="22"/>
  <c r="Q283" i="22"/>
  <c r="Q134" i="22"/>
  <c r="Q63" i="22"/>
  <c r="Q146" i="22"/>
  <c r="Q210" i="22"/>
  <c r="Q224" i="22"/>
  <c r="Q174" i="22"/>
  <c r="Q315" i="22"/>
  <c r="Q274" i="22"/>
  <c r="Q100" i="22"/>
  <c r="Q39" i="22"/>
  <c r="G39" i="22" s="1"/>
  <c r="Q292" i="22"/>
  <c r="Q186" i="22"/>
  <c r="Q112" i="22"/>
  <c r="Q68" i="22"/>
  <c r="Q138" i="22"/>
  <c r="Q136" i="22"/>
  <c r="H252" i="26"/>
  <c r="I34" i="4"/>
  <c r="H34" i="4"/>
  <c r="N34" i="4"/>
  <c r="M34" i="4"/>
  <c r="H253" i="26"/>
  <c r="H277" i="26"/>
  <c r="E252" i="26"/>
  <c r="F317" i="22"/>
  <c r="G317" i="22" s="1"/>
  <c r="T234" i="22"/>
  <c r="E242" i="22"/>
  <c r="E264" i="22" s="1"/>
  <c r="C70" i="23"/>
  <c r="C73" i="23" s="1"/>
  <c r="F234" i="22"/>
  <c r="E234" i="22"/>
  <c r="I243" i="26"/>
  <c r="K46" i="27"/>
  <c r="K20" i="27"/>
  <c r="K40" i="27"/>
  <c r="I226" i="22"/>
  <c r="J233" i="22"/>
  <c r="H240" i="22"/>
  <c r="H262" i="22" s="1"/>
  <c r="H233" i="22"/>
  <c r="I241" i="22"/>
  <c r="R99" i="27"/>
  <c r="R20" i="27"/>
  <c r="R30" i="27"/>
  <c r="R44" i="27"/>
  <c r="R48" i="27"/>
  <c r="R38" i="27"/>
  <c r="R73" i="27"/>
  <c r="R110" i="27"/>
  <c r="R26" i="27"/>
  <c r="R90" i="27"/>
  <c r="R40" i="27"/>
  <c r="R28" i="27"/>
  <c r="R52" i="27"/>
  <c r="R56" i="27"/>
  <c r="R34" i="27"/>
  <c r="R42" i="27"/>
  <c r="R22" i="27"/>
  <c r="R54" i="27"/>
  <c r="R32" i="27"/>
  <c r="R50" i="27"/>
  <c r="R46" i="27"/>
  <c r="K52" i="27"/>
  <c r="K30" i="27"/>
  <c r="K48" i="27"/>
  <c r="K54" i="27"/>
  <c r="K22" i="27"/>
  <c r="F242" i="26"/>
  <c r="J70" i="22"/>
  <c r="R62" i="27"/>
  <c r="R100" i="27"/>
  <c r="R83" i="27"/>
  <c r="R24" i="27"/>
  <c r="R74" i="27"/>
  <c r="R36" i="27"/>
  <c r="R91" i="27"/>
  <c r="R58" i="27"/>
  <c r="R120" i="27"/>
  <c r="R60" i="27"/>
  <c r="R111" i="27"/>
  <c r="K38" i="27"/>
  <c r="I234" i="22"/>
  <c r="H242" i="22"/>
  <c r="H234" i="22"/>
  <c r="J234" i="22"/>
  <c r="K225" i="22"/>
  <c r="U234" i="22"/>
  <c r="K26" i="27"/>
  <c r="K50" i="27"/>
  <c r="R119" i="27"/>
  <c r="I233" i="22"/>
  <c r="F235" i="26"/>
  <c r="F242" i="22"/>
  <c r="K32" i="27"/>
  <c r="K34" i="27"/>
  <c r="R84" i="27"/>
  <c r="R92" i="27"/>
  <c r="R75" i="27"/>
  <c r="K82" i="27"/>
  <c r="U233" i="22"/>
  <c r="R121" i="27"/>
  <c r="K56" i="27"/>
  <c r="I242" i="22"/>
  <c r="K28" i="27"/>
  <c r="K42" i="27"/>
  <c r="K44" i="27"/>
  <c r="R82" i="27"/>
  <c r="R383" i="26"/>
  <c r="M225" i="26"/>
  <c r="E234" i="26"/>
  <c r="G242" i="26"/>
  <c r="G234" i="26"/>
  <c r="F234" i="26"/>
  <c r="T234" i="26"/>
  <c r="I149" i="26"/>
  <c r="I150" i="26"/>
  <c r="F227" i="26"/>
  <c r="I234" i="26"/>
  <c r="H242" i="26"/>
  <c r="H234" i="26"/>
  <c r="U234" i="26"/>
  <c r="J234" i="26"/>
  <c r="K225" i="26"/>
  <c r="C123" i="23"/>
  <c r="F126" i="23" s="1"/>
  <c r="J149" i="26"/>
  <c r="J150" i="26"/>
  <c r="E306" i="26"/>
  <c r="F303" i="26"/>
  <c r="M224" i="26"/>
  <c r="G227" i="26"/>
  <c r="M227" i="26" s="1"/>
  <c r="E233" i="26"/>
  <c r="F233" i="26"/>
  <c r="T233" i="26"/>
  <c r="G233" i="26"/>
  <c r="G241" i="26"/>
  <c r="M226" i="26"/>
  <c r="G243" i="26"/>
  <c r="K150" i="26"/>
  <c r="K149" i="26"/>
  <c r="E241" i="26"/>
  <c r="E227" i="26"/>
  <c r="R367" i="26"/>
  <c r="R366" i="26"/>
  <c r="J235" i="26"/>
  <c r="T235" i="26"/>
  <c r="K83" i="27"/>
  <c r="H243" i="26"/>
  <c r="K226" i="26"/>
  <c r="K224" i="26"/>
  <c r="I233" i="26"/>
  <c r="H241" i="26"/>
  <c r="J233" i="26"/>
  <c r="U233" i="26"/>
  <c r="H233" i="26"/>
  <c r="H227" i="26"/>
  <c r="I276" i="26"/>
  <c r="I277" i="26" s="1"/>
  <c r="F276" i="26"/>
  <c r="S305" i="26"/>
  <c r="I235" i="26"/>
  <c r="H235" i="26"/>
  <c r="K58" i="27"/>
  <c r="K36" i="27"/>
  <c r="K24" i="27"/>
  <c r="K60" i="27"/>
  <c r="K62" i="27"/>
  <c r="K63" i="26"/>
  <c r="I63" i="26"/>
  <c r="J63" i="26"/>
  <c r="H41" i="26"/>
  <c r="G41" i="26"/>
  <c r="G149" i="26"/>
  <c r="G150" i="26"/>
  <c r="H150" i="26"/>
  <c r="H149" i="26"/>
  <c r="I227" i="26"/>
  <c r="I241" i="26"/>
  <c r="E235" i="26"/>
  <c r="H39" i="26"/>
  <c r="G39" i="26"/>
  <c r="L149" i="22"/>
  <c r="M149" i="22"/>
  <c r="E277" i="26"/>
  <c r="I204" i="22"/>
  <c r="S204" i="22"/>
  <c r="F223" i="22"/>
  <c r="F240" i="22" s="1"/>
  <c r="D342" i="26"/>
  <c r="R364" i="26" s="1"/>
  <c r="D341" i="22"/>
  <c r="R365" i="22" s="1"/>
  <c r="E223" i="22"/>
  <c r="S180" i="22"/>
  <c r="W180" i="22"/>
  <c r="I180" i="22"/>
  <c r="I208" i="22"/>
  <c r="F224" i="22"/>
  <c r="F241" i="22" s="1"/>
  <c r="E224" i="22"/>
  <c r="S208" i="22"/>
  <c r="W208" i="22"/>
  <c r="Y194" i="22"/>
  <c r="S194" i="22"/>
  <c r="W194" i="22"/>
  <c r="I194" i="22"/>
  <c r="W198" i="22"/>
  <c r="S198" i="22"/>
  <c r="Y198" i="22"/>
  <c r="I198" i="22"/>
  <c r="W182" i="22"/>
  <c r="S182" i="22"/>
  <c r="M347" i="22" s="1"/>
  <c r="I182" i="22"/>
  <c r="Y200" i="22"/>
  <c r="I200" i="22"/>
  <c r="W200" i="22"/>
  <c r="S200" i="22"/>
  <c r="K149" i="22"/>
  <c r="R363" i="22"/>
  <c r="R364" i="22"/>
  <c r="R367" i="22"/>
  <c r="R368" i="22"/>
  <c r="R366" i="22"/>
  <c r="R369" i="22"/>
  <c r="I188" i="22"/>
  <c r="Y188" i="22"/>
  <c r="W188" i="22"/>
  <c r="S188" i="22"/>
  <c r="H23" i="21" a="1"/>
  <c r="H21" i="21" a="1"/>
  <c r="I25" i="21" a="1"/>
  <c r="I10" i="21" a="1"/>
  <c r="H25" i="21" a="1"/>
  <c r="H29" i="21" a="1"/>
  <c r="I13" i="21" a="1"/>
  <c r="H14" i="21" a="1"/>
  <c r="I11" i="21" a="1"/>
  <c r="I17" i="21" a="1"/>
  <c r="I21" i="21" a="1"/>
  <c r="I18" i="21" a="1"/>
  <c r="H22" i="21" a="1"/>
  <c r="H19" i="21" a="1"/>
  <c r="I23" i="21" a="1"/>
  <c r="I29" i="21" a="1"/>
  <c r="H24" i="21" a="1"/>
  <c r="H15" i="21" a="1"/>
  <c r="I24" i="21" a="1"/>
  <c r="I12" i="21" a="1"/>
  <c r="H16" i="21" a="1"/>
  <c r="H18" i="21" a="1"/>
  <c r="I14" i="21" a="1"/>
  <c r="H26" i="21" a="1"/>
  <c r="I26" i="21" a="1"/>
  <c r="I28" i="21" a="1"/>
  <c r="I15" i="21" a="1"/>
  <c r="H12" i="21" a="1"/>
  <c r="I20" i="21" a="1"/>
  <c r="H11" i="21" a="1"/>
  <c r="I16" i="21" a="1"/>
  <c r="I19" i="21" a="1"/>
  <c r="I27" i="21" a="1"/>
  <c r="H17" i="21" a="1"/>
  <c r="H27" i="21" a="1"/>
  <c r="H13" i="21" a="1"/>
  <c r="H20" i="21" a="1"/>
  <c r="H10" i="21" a="1"/>
  <c r="I22" i="21" a="1"/>
  <c r="H28" i="21" a="1"/>
  <c r="K157" i="22" l="1"/>
  <c r="J232" i="22"/>
  <c r="U232" i="22"/>
  <c r="J226" i="22"/>
  <c r="J240" i="22"/>
  <c r="J243" i="22" s="1"/>
  <c r="I232" i="22"/>
  <c r="F232" i="22"/>
  <c r="I71" i="26"/>
  <c r="G240" i="22"/>
  <c r="M223" i="22"/>
  <c r="G226" i="22"/>
  <c r="F277" i="26"/>
  <c r="F306" i="26"/>
  <c r="K148" i="22"/>
  <c r="J71" i="26"/>
  <c r="V252" i="26"/>
  <c r="W252" i="26"/>
  <c r="E284" i="26"/>
  <c r="E293" i="26" s="1"/>
  <c r="H226" i="22"/>
  <c r="R397" i="22" s="1"/>
  <c r="E285" i="26"/>
  <c r="F285" i="26" s="1"/>
  <c r="W251" i="22"/>
  <c r="H264" i="22"/>
  <c r="H284" i="22" s="1"/>
  <c r="R75" i="4"/>
  <c r="J75" i="4"/>
  <c r="H75" i="4"/>
  <c r="H26" i="21"/>
  <c r="H13" i="21"/>
  <c r="H12" i="21"/>
  <c r="H19" i="21"/>
  <c r="H24" i="21"/>
  <c r="I19" i="21"/>
  <c r="H20" i="21"/>
  <c r="I17" i="21"/>
  <c r="H11" i="21"/>
  <c r="I23" i="21"/>
  <c r="I20" i="21"/>
  <c r="H18" i="21"/>
  <c r="I21" i="21"/>
  <c r="I28" i="21"/>
  <c r="I22" i="21"/>
  <c r="H16" i="21"/>
  <c r="I12" i="21"/>
  <c r="H28" i="21"/>
  <c r="H15" i="21"/>
  <c r="I25" i="21"/>
  <c r="H22" i="21"/>
  <c r="H21" i="21"/>
  <c r="H17" i="21"/>
  <c r="I10" i="21"/>
  <c r="I16" i="21"/>
  <c r="I14" i="21"/>
  <c r="H14" i="21"/>
  <c r="H29" i="21"/>
  <c r="H23" i="21"/>
  <c r="H10" i="21"/>
  <c r="I13" i="21"/>
  <c r="I18" i="21"/>
  <c r="I29" i="21"/>
  <c r="I27" i="21"/>
  <c r="I26" i="21"/>
  <c r="I24" i="21"/>
  <c r="I11" i="21"/>
  <c r="H27" i="21"/>
  <c r="I15" i="21"/>
  <c r="H25" i="21"/>
  <c r="P75" i="4"/>
  <c r="K75" i="4"/>
  <c r="F75" i="4"/>
  <c r="G48" i="4"/>
  <c r="H48" i="4"/>
  <c r="F48" i="4"/>
  <c r="K48" i="4"/>
  <c r="J48" i="4"/>
  <c r="I48" i="4"/>
  <c r="M48" i="4"/>
  <c r="N48" i="4"/>
  <c r="O48" i="4"/>
  <c r="Q75" i="4"/>
  <c r="I275" i="22"/>
  <c r="F275" i="22"/>
  <c r="K277" i="26"/>
  <c r="K64" i="22"/>
  <c r="I64" i="22"/>
  <c r="E305" i="22"/>
  <c r="I68" i="22"/>
  <c r="K68" i="22"/>
  <c r="R257" i="26"/>
  <c r="C257" i="26"/>
  <c r="D257" i="26" s="1"/>
  <c r="Q257" i="26"/>
  <c r="J265" i="26"/>
  <c r="J285" i="26" s="1"/>
  <c r="J294" i="26" s="1"/>
  <c r="J264" i="26"/>
  <c r="J284" i="26" s="1"/>
  <c r="J293" i="26" s="1"/>
  <c r="J257" i="26"/>
  <c r="AM257" i="26" s="1"/>
  <c r="G257" i="26"/>
  <c r="AL257" i="26" s="1"/>
  <c r="W252" i="22"/>
  <c r="C256" i="22"/>
  <c r="D256" i="22" s="1"/>
  <c r="R256" i="22"/>
  <c r="Q256" i="22"/>
  <c r="J263" i="22"/>
  <c r="J264" i="22"/>
  <c r="Q40" i="27"/>
  <c r="Q56" i="27"/>
  <c r="Q119" i="27"/>
  <c r="Q52" i="27"/>
  <c r="Q82" i="27"/>
  <c r="Q28" i="27"/>
  <c r="Q30" i="27"/>
  <c r="Q90" i="27"/>
  <c r="Q38" i="27"/>
  <c r="Q48" i="27"/>
  <c r="Q110" i="27"/>
  <c r="Q99" i="27"/>
  <c r="Q73" i="27"/>
  <c r="Q34" i="27"/>
  <c r="Q42" i="27"/>
  <c r="Q44" i="27"/>
  <c r="Q22" i="27"/>
  <c r="Q20" i="27"/>
  <c r="Q26" i="27"/>
  <c r="Q46" i="27"/>
  <c r="Q50" i="27"/>
  <c r="Q54" i="27"/>
  <c r="Q32" i="27"/>
  <c r="F274" i="22"/>
  <c r="I274" i="22"/>
  <c r="V253" i="26"/>
  <c r="M148" i="22"/>
  <c r="L148" i="22"/>
  <c r="J148" i="22"/>
  <c r="G148" i="22"/>
  <c r="H148" i="22"/>
  <c r="I148" i="22"/>
  <c r="E317" i="22"/>
  <c r="P48" i="4"/>
  <c r="R48" i="4"/>
  <c r="Q48" i="4"/>
  <c r="Q92" i="27"/>
  <c r="Q75" i="27"/>
  <c r="Q112" i="27"/>
  <c r="Q121" i="27"/>
  <c r="Q84" i="27"/>
  <c r="Q101" i="27"/>
  <c r="J256" i="22"/>
  <c r="AM256" i="22" s="1"/>
  <c r="W253" i="26"/>
  <c r="K67" i="22"/>
  <c r="I67" i="22"/>
  <c r="N75" i="4"/>
  <c r="M75" i="4"/>
  <c r="O75" i="4"/>
  <c r="I62" i="22"/>
  <c r="K62" i="22"/>
  <c r="I75" i="4"/>
  <c r="F273" i="22"/>
  <c r="I273" i="22"/>
  <c r="I276" i="22" s="1"/>
  <c r="H276" i="22"/>
  <c r="E276" i="22"/>
  <c r="G75" i="4"/>
  <c r="Q100" i="27"/>
  <c r="Q60" i="27"/>
  <c r="Q74" i="27"/>
  <c r="Q58" i="27"/>
  <c r="Q36" i="27"/>
  <c r="Q111" i="27"/>
  <c r="Q24" i="27"/>
  <c r="Q62" i="27"/>
  <c r="Q91" i="27"/>
  <c r="Q120" i="27"/>
  <c r="Q83" i="27"/>
  <c r="K69" i="22"/>
  <c r="I69" i="22"/>
  <c r="V252" i="22"/>
  <c r="V250" i="22" s="1"/>
  <c r="H263" i="22"/>
  <c r="K71" i="26"/>
  <c r="K63" i="22"/>
  <c r="I63" i="22"/>
  <c r="G41" i="22"/>
  <c r="I244" i="26"/>
  <c r="K234" i="22"/>
  <c r="H42" i="26"/>
  <c r="I243" i="22"/>
  <c r="K33" i="22"/>
  <c r="W255" i="22"/>
  <c r="I262" i="22"/>
  <c r="M33" i="22"/>
  <c r="V255" i="22"/>
  <c r="J33" i="22"/>
  <c r="J38" i="22" s="1"/>
  <c r="G302" i="22" s="1"/>
  <c r="S302" i="22" s="1"/>
  <c r="J255" i="22"/>
  <c r="I349" i="22"/>
  <c r="R385" i="22" s="1"/>
  <c r="H282" i="22"/>
  <c r="I282" i="22" s="1"/>
  <c r="T33" i="22"/>
  <c r="L33" i="22"/>
  <c r="J349" i="22"/>
  <c r="R386" i="22" s="1"/>
  <c r="K235" i="26"/>
  <c r="K242" i="22"/>
  <c r="H243" i="22"/>
  <c r="G42" i="26"/>
  <c r="F264" i="22"/>
  <c r="E284" i="22"/>
  <c r="F348" i="26"/>
  <c r="I348" i="26"/>
  <c r="G265" i="26"/>
  <c r="M243" i="26"/>
  <c r="I350" i="26"/>
  <c r="R384" i="26" s="1"/>
  <c r="J256" i="26"/>
  <c r="T33" i="26"/>
  <c r="W256" i="26"/>
  <c r="K233" i="26"/>
  <c r="V256" i="26"/>
  <c r="K33" i="26"/>
  <c r="G256" i="26"/>
  <c r="J33" i="26"/>
  <c r="L33" i="26"/>
  <c r="M33" i="26"/>
  <c r="G263" i="26"/>
  <c r="G244" i="26"/>
  <c r="M244" i="26" s="1"/>
  <c r="M241" i="26"/>
  <c r="J34" i="26"/>
  <c r="K234" i="26"/>
  <c r="M34" i="26"/>
  <c r="J350" i="26"/>
  <c r="R385" i="26" s="1"/>
  <c r="L34" i="26"/>
  <c r="T34" i="26"/>
  <c r="K34" i="26"/>
  <c r="K242" i="26"/>
  <c r="H264" i="26"/>
  <c r="G264" i="26"/>
  <c r="M242" i="26"/>
  <c r="G348" i="26"/>
  <c r="M179" i="26"/>
  <c r="M181" i="26"/>
  <c r="M173" i="26"/>
  <c r="M213" i="26"/>
  <c r="M193" i="26"/>
  <c r="M185" i="26"/>
  <c r="M205" i="26"/>
  <c r="M183" i="26"/>
  <c r="M197" i="26"/>
  <c r="M201" i="26"/>
  <c r="M207" i="26"/>
  <c r="M195" i="26"/>
  <c r="M171" i="26"/>
  <c r="J348" i="26"/>
  <c r="M211" i="26"/>
  <c r="M189" i="26"/>
  <c r="M203" i="26"/>
  <c r="M217" i="26"/>
  <c r="M177" i="26"/>
  <c r="M199" i="26"/>
  <c r="M209" i="26"/>
  <c r="M187" i="26"/>
  <c r="M175" i="26"/>
  <c r="M191" i="26"/>
  <c r="K227" i="26"/>
  <c r="M215" i="26"/>
  <c r="K241" i="26"/>
  <c r="H263" i="26"/>
  <c r="H244" i="26"/>
  <c r="H265" i="26"/>
  <c r="K243" i="26"/>
  <c r="E263" i="26"/>
  <c r="E244" i="26"/>
  <c r="F241" i="26"/>
  <c r="F244" i="26" s="1"/>
  <c r="G232" i="22"/>
  <c r="E232" i="22"/>
  <c r="K232" i="22" s="1"/>
  <c r="F243" i="22"/>
  <c r="E240" i="22"/>
  <c r="E262" i="22" s="1"/>
  <c r="E226" i="22"/>
  <c r="R396" i="22" s="1"/>
  <c r="T232" i="22"/>
  <c r="F226" i="22"/>
  <c r="K223" i="22"/>
  <c r="R371" i="22"/>
  <c r="R376" i="22"/>
  <c r="R375" i="22"/>
  <c r="K224" i="22"/>
  <c r="E233" i="22"/>
  <c r="K233" i="22" s="1"/>
  <c r="T233" i="22"/>
  <c r="F233" i="22"/>
  <c r="E241" i="22"/>
  <c r="G233" i="22"/>
  <c r="M226" i="22" l="1"/>
  <c r="J262" i="22"/>
  <c r="J265" i="22" s="1"/>
  <c r="G243" i="22"/>
  <c r="M243" i="22" s="1"/>
  <c r="G262" i="22"/>
  <c r="M240" i="22"/>
  <c r="M206" i="22"/>
  <c r="M190" i="22"/>
  <c r="M180" i="22"/>
  <c r="V251" i="26"/>
  <c r="M196" i="22"/>
  <c r="M182" i="22"/>
  <c r="M192" i="22"/>
  <c r="M210" i="22"/>
  <c r="M170" i="22"/>
  <c r="H265" i="22"/>
  <c r="M202" i="22"/>
  <c r="M186" i="22"/>
  <c r="K264" i="22"/>
  <c r="M184" i="22"/>
  <c r="G347" i="22"/>
  <c r="M188" i="22"/>
  <c r="W251" i="26"/>
  <c r="W250" i="22"/>
  <c r="E294" i="26"/>
  <c r="F294" i="26" s="1"/>
  <c r="M214" i="22"/>
  <c r="M208" i="22"/>
  <c r="F284" i="26"/>
  <c r="I264" i="22"/>
  <c r="M200" i="22"/>
  <c r="M198" i="22"/>
  <c r="M216" i="22"/>
  <c r="J347" i="22"/>
  <c r="M204" i="22"/>
  <c r="M178" i="22"/>
  <c r="M194" i="22"/>
  <c r="M212" i="22"/>
  <c r="M172" i="22"/>
  <c r="M176" i="22"/>
  <c r="M174" i="22"/>
  <c r="V257" i="26"/>
  <c r="V255" i="26" s="1"/>
  <c r="W257" i="26"/>
  <c r="W255" i="26" s="1"/>
  <c r="V256" i="22"/>
  <c r="V254" i="22" s="1"/>
  <c r="W256" i="22"/>
  <c r="W254" i="22" s="1"/>
  <c r="E102" i="27"/>
  <c r="H102" i="27"/>
  <c r="K102" i="27" s="1"/>
  <c r="E113" i="27"/>
  <c r="H113" i="27"/>
  <c r="K113" i="27" s="1"/>
  <c r="K70" i="22"/>
  <c r="E122" i="27"/>
  <c r="H122" i="27"/>
  <c r="I70" i="22"/>
  <c r="I263" i="22"/>
  <c r="H283" i="22"/>
  <c r="H285" i="22" s="1"/>
  <c r="J283" i="22"/>
  <c r="M263" i="22"/>
  <c r="H76" i="27"/>
  <c r="E76" i="27"/>
  <c r="H93" i="27"/>
  <c r="E93" i="27"/>
  <c r="K276" i="22"/>
  <c r="F276" i="22"/>
  <c r="J284" i="22"/>
  <c r="M264" i="22"/>
  <c r="U33" i="22"/>
  <c r="R383" i="22" s="1"/>
  <c r="F347" i="22"/>
  <c r="E243" i="22"/>
  <c r="K243" i="22" s="1"/>
  <c r="I314" i="22"/>
  <c r="H291" i="22"/>
  <c r="I291" i="22" s="1"/>
  <c r="J39" i="22"/>
  <c r="J41" i="22"/>
  <c r="I316" i="22"/>
  <c r="J316" i="22" s="1"/>
  <c r="H293" i="22"/>
  <c r="I284" i="22"/>
  <c r="H266" i="26"/>
  <c r="I263" i="26"/>
  <c r="K263" i="26"/>
  <c r="H283" i="26"/>
  <c r="G284" i="26"/>
  <c r="M264" i="26"/>
  <c r="G266" i="26"/>
  <c r="G283" i="26"/>
  <c r="R381" i="26"/>
  <c r="G285" i="26"/>
  <c r="M265" i="26"/>
  <c r="H285" i="26"/>
  <c r="I265" i="26"/>
  <c r="K265" i="26"/>
  <c r="K244" i="26"/>
  <c r="J305" i="26"/>
  <c r="R369" i="26"/>
  <c r="F293" i="26"/>
  <c r="E325" i="26"/>
  <c r="F325" i="26" s="1"/>
  <c r="H284" i="26"/>
  <c r="I264" i="26"/>
  <c r="K264" i="26"/>
  <c r="U34" i="26"/>
  <c r="J40" i="26"/>
  <c r="G304" i="26" s="1"/>
  <c r="S304" i="26" s="1"/>
  <c r="U33" i="26"/>
  <c r="J42" i="26"/>
  <c r="J39" i="26"/>
  <c r="G303" i="26" s="1"/>
  <c r="E293" i="22"/>
  <c r="F284" i="22"/>
  <c r="K284" i="22"/>
  <c r="E283" i="26"/>
  <c r="E266" i="26"/>
  <c r="F263" i="26"/>
  <c r="F266" i="26" s="1"/>
  <c r="J263" i="26"/>
  <c r="R371" i="26"/>
  <c r="R382" i="22"/>
  <c r="K226" i="22"/>
  <c r="K240" i="22"/>
  <c r="I347" i="22"/>
  <c r="K241" i="22"/>
  <c r="E263" i="22"/>
  <c r="E265" i="22" s="1"/>
  <c r="F262" i="22"/>
  <c r="E282" i="22"/>
  <c r="K262" i="22"/>
  <c r="J282" i="22" l="1"/>
  <c r="J285" i="22" s="1"/>
  <c r="M262" i="22"/>
  <c r="G265" i="22"/>
  <c r="M265" i="22" s="1"/>
  <c r="G282" i="22"/>
  <c r="I265" i="22"/>
  <c r="K265" i="22"/>
  <c r="R370" i="22"/>
  <c r="K122" i="27"/>
  <c r="E326" i="26"/>
  <c r="F326" i="26" s="1"/>
  <c r="J42" i="22"/>
  <c r="R372" i="22"/>
  <c r="K93" i="27"/>
  <c r="K76" i="27"/>
  <c r="M30" i="27"/>
  <c r="M26" i="27"/>
  <c r="M64" i="27"/>
  <c r="M48" i="27"/>
  <c r="M20" i="27"/>
  <c r="M46" i="27"/>
  <c r="M42" i="27"/>
  <c r="M54" i="27"/>
  <c r="M62" i="27"/>
  <c r="M52" i="27"/>
  <c r="M56" i="27"/>
  <c r="M22" i="27"/>
  <c r="M34" i="27"/>
  <c r="M38" i="27"/>
  <c r="M24" i="27"/>
  <c r="M50" i="27"/>
  <c r="M32" i="27"/>
  <c r="M58" i="27"/>
  <c r="M60" i="27"/>
  <c r="M36" i="27"/>
  <c r="M66" i="27"/>
  <c r="M44" i="27"/>
  <c r="M28" i="27"/>
  <c r="M40" i="27"/>
  <c r="J292" i="22"/>
  <c r="M292" i="22" s="1"/>
  <c r="M283" i="22"/>
  <c r="J52" i="27"/>
  <c r="Z52" i="27" s="1"/>
  <c r="J30" i="27"/>
  <c r="Z30" i="27" s="1"/>
  <c r="J24" i="27"/>
  <c r="Z24" i="27" s="1"/>
  <c r="J50" i="27"/>
  <c r="Z50" i="27" s="1"/>
  <c r="J32" i="27"/>
  <c r="Z32" i="27" s="1"/>
  <c r="J44" i="27"/>
  <c r="Z44" i="27" s="1"/>
  <c r="J62" i="27"/>
  <c r="Z62" i="27" s="1"/>
  <c r="J56" i="27"/>
  <c r="Z56" i="27" s="1"/>
  <c r="J22" i="27"/>
  <c r="Z22" i="27" s="1"/>
  <c r="J48" i="27"/>
  <c r="Z48" i="27" s="1"/>
  <c r="J36" i="27"/>
  <c r="Z36" i="27" s="1"/>
  <c r="J26" i="27"/>
  <c r="Z26" i="27" s="1"/>
  <c r="J40" i="27"/>
  <c r="Z40" i="27" s="1"/>
  <c r="J60" i="27"/>
  <c r="Z60" i="27" s="1"/>
  <c r="J34" i="27"/>
  <c r="Z34" i="27" s="1"/>
  <c r="J20" i="27"/>
  <c r="Z20" i="27" s="1"/>
  <c r="J64" i="27"/>
  <c r="Z64" i="27" s="1"/>
  <c r="J46" i="27"/>
  <c r="Z46" i="27" s="1"/>
  <c r="J28" i="27"/>
  <c r="Z28" i="27" s="1"/>
  <c r="J38" i="27"/>
  <c r="Z38" i="27" s="1"/>
  <c r="J58" i="27"/>
  <c r="Z58" i="27" s="1"/>
  <c r="J42" i="27"/>
  <c r="Z42" i="27" s="1"/>
  <c r="J54" i="27"/>
  <c r="Z54" i="27" s="1"/>
  <c r="J66" i="27"/>
  <c r="Z66" i="27" s="1"/>
  <c r="J293" i="22"/>
  <c r="M284" i="22"/>
  <c r="H292" i="22"/>
  <c r="H294" i="22" s="1"/>
  <c r="I283" i="22"/>
  <c r="I285" i="22" s="1"/>
  <c r="I315" i="22"/>
  <c r="J315" i="22" s="1"/>
  <c r="J314" i="22"/>
  <c r="H302" i="22"/>
  <c r="H323" i="22" s="1"/>
  <c r="G303" i="22"/>
  <c r="G305" i="22" s="1"/>
  <c r="I293" i="22"/>
  <c r="H304" i="22"/>
  <c r="K304" i="22" s="1"/>
  <c r="I266" i="26"/>
  <c r="J326" i="26"/>
  <c r="G306" i="26"/>
  <c r="S303" i="26"/>
  <c r="R382" i="26"/>
  <c r="I317" i="26"/>
  <c r="J317" i="26" s="1"/>
  <c r="H294" i="26"/>
  <c r="K285" i="26"/>
  <c r="I285" i="26"/>
  <c r="J304" i="26"/>
  <c r="G286" i="26"/>
  <c r="G292" i="26"/>
  <c r="H292" i="26"/>
  <c r="H286" i="26"/>
  <c r="I283" i="26"/>
  <c r="K283" i="26"/>
  <c r="I315" i="26"/>
  <c r="E325" i="22"/>
  <c r="F293" i="22"/>
  <c r="K293" i="22"/>
  <c r="K284" i="26"/>
  <c r="I316" i="26"/>
  <c r="J316" i="26" s="1"/>
  <c r="I284" i="26"/>
  <c r="H293" i="26"/>
  <c r="E286" i="26"/>
  <c r="E292" i="26"/>
  <c r="F283" i="26"/>
  <c r="F286" i="26" s="1"/>
  <c r="G294" i="26"/>
  <c r="M285" i="26"/>
  <c r="J266" i="26"/>
  <c r="M266" i="26" s="1"/>
  <c r="J283" i="26"/>
  <c r="M263" i="26"/>
  <c r="G293" i="26"/>
  <c r="M284" i="26"/>
  <c r="K266" i="26"/>
  <c r="K263" i="22"/>
  <c r="E283" i="22"/>
  <c r="E285" i="22" s="1"/>
  <c r="K285" i="22" s="1"/>
  <c r="F263" i="22"/>
  <c r="F265" i="22" s="1"/>
  <c r="F282" i="22"/>
  <c r="E291" i="22"/>
  <c r="K282" i="22"/>
  <c r="J291" i="22" l="1"/>
  <c r="J302" i="22" s="1"/>
  <c r="G285" i="22"/>
  <c r="M285" i="22" s="1"/>
  <c r="G291" i="22"/>
  <c r="M282" i="22"/>
  <c r="I317" i="22"/>
  <c r="AB46" i="27"/>
  <c r="AB64" i="27"/>
  <c r="AB20" i="27"/>
  <c r="AC20" i="27" s="1"/>
  <c r="AB34" i="27"/>
  <c r="AB26" i="27"/>
  <c r="AB56" i="27"/>
  <c r="AB44" i="27"/>
  <c r="AB32" i="27"/>
  <c r="AB24" i="27"/>
  <c r="AB30" i="27"/>
  <c r="AB52" i="27"/>
  <c r="AB42" i="27"/>
  <c r="AB48" i="27"/>
  <c r="AB50" i="27"/>
  <c r="AB58" i="27"/>
  <c r="J303" i="22"/>
  <c r="AB36" i="27"/>
  <c r="AB62" i="27"/>
  <c r="M293" i="22"/>
  <c r="J304" i="22"/>
  <c r="AB54" i="27"/>
  <c r="AB38" i="27"/>
  <c r="AB60" i="27"/>
  <c r="AB40" i="27"/>
  <c r="AB22" i="27"/>
  <c r="I292" i="22"/>
  <c r="I294" i="22" s="1"/>
  <c r="H303" i="22"/>
  <c r="H305" i="22" s="1"/>
  <c r="AB66" i="27"/>
  <c r="J317" i="22"/>
  <c r="K317" i="22" s="1"/>
  <c r="AB28" i="27"/>
  <c r="I302" i="22"/>
  <c r="S303" i="22"/>
  <c r="H325" i="22"/>
  <c r="I325" i="22" s="1"/>
  <c r="I304" i="22"/>
  <c r="I286" i="26"/>
  <c r="G325" i="26"/>
  <c r="M293" i="26"/>
  <c r="F292" i="26"/>
  <c r="F295" i="26" s="1"/>
  <c r="E295" i="26"/>
  <c r="E324" i="26"/>
  <c r="J43" i="26"/>
  <c r="K286" i="26"/>
  <c r="G326" i="26"/>
  <c r="M326" i="26" s="1"/>
  <c r="M294" i="26"/>
  <c r="J315" i="26"/>
  <c r="J318" i="26" s="1"/>
  <c r="K318" i="26" s="1"/>
  <c r="I318" i="26"/>
  <c r="M283" i="26"/>
  <c r="J292" i="26"/>
  <c r="J286" i="26"/>
  <c r="M286" i="26" s="1"/>
  <c r="G295" i="26"/>
  <c r="G324" i="26"/>
  <c r="I294" i="26"/>
  <c r="H305" i="26"/>
  <c r="K294" i="26"/>
  <c r="F325" i="22"/>
  <c r="M304" i="26"/>
  <c r="J325" i="26"/>
  <c r="K293" i="26"/>
  <c r="H304" i="26"/>
  <c r="I293" i="26"/>
  <c r="K292" i="26"/>
  <c r="I292" i="26"/>
  <c r="H295" i="26"/>
  <c r="H303" i="26"/>
  <c r="M305" i="26"/>
  <c r="K283" i="22"/>
  <c r="E292" i="22"/>
  <c r="E294" i="22" s="1"/>
  <c r="F283" i="22"/>
  <c r="F285" i="22" s="1"/>
  <c r="I323" i="22"/>
  <c r="E323" i="22"/>
  <c r="F291" i="22"/>
  <c r="K291" i="22"/>
  <c r="K302" i="22"/>
  <c r="AC24" i="27" l="1"/>
  <c r="J294" i="22"/>
  <c r="M291" i="22"/>
  <c r="G294" i="22"/>
  <c r="G323" i="22"/>
  <c r="G326" i="22" s="1"/>
  <c r="AC38" i="27"/>
  <c r="AC30" i="27"/>
  <c r="J305" i="22"/>
  <c r="AC60" i="27"/>
  <c r="AC50" i="27"/>
  <c r="AC62" i="27"/>
  <c r="AC36" i="27"/>
  <c r="M303" i="22"/>
  <c r="J324" i="22"/>
  <c r="M324" i="22" s="1"/>
  <c r="AC58" i="27"/>
  <c r="AC48" i="27"/>
  <c r="J325" i="22"/>
  <c r="M325" i="22" s="1"/>
  <c r="M304" i="22"/>
  <c r="AC32" i="27"/>
  <c r="AC66" i="27"/>
  <c r="AC34" i="27"/>
  <c r="AC22" i="27"/>
  <c r="AC54" i="27"/>
  <c r="AC42" i="27"/>
  <c r="AC52" i="27"/>
  <c r="AC28" i="27"/>
  <c r="AC44" i="27"/>
  <c r="AC56" i="27"/>
  <c r="AC26" i="27"/>
  <c r="H324" i="22"/>
  <c r="I324" i="22" s="1"/>
  <c r="I326" i="22" s="1"/>
  <c r="I303" i="22"/>
  <c r="I305" i="22" s="1"/>
  <c r="AC64" i="27"/>
  <c r="AC40" i="27"/>
  <c r="AC46" i="27"/>
  <c r="G327" i="26"/>
  <c r="M325" i="26"/>
  <c r="K325" i="22"/>
  <c r="I303" i="26"/>
  <c r="K303" i="26"/>
  <c r="H306" i="26"/>
  <c r="K306" i="26" s="1"/>
  <c r="H324" i="26"/>
  <c r="K305" i="26"/>
  <c r="I305" i="26"/>
  <c r="H326" i="26"/>
  <c r="K295" i="26"/>
  <c r="I304" i="26"/>
  <c r="K304" i="26"/>
  <c r="H325" i="26"/>
  <c r="J295" i="26"/>
  <c r="M295" i="26" s="1"/>
  <c r="K297" i="26" s="1"/>
  <c r="M292" i="26"/>
  <c r="J303" i="26"/>
  <c r="I295" i="26"/>
  <c r="F324" i="26"/>
  <c r="F327" i="26" s="1"/>
  <c r="E327" i="26"/>
  <c r="J323" i="22"/>
  <c r="M302" i="22"/>
  <c r="K303" i="22"/>
  <c r="F292" i="22"/>
  <c r="F294" i="22" s="1"/>
  <c r="K292" i="22"/>
  <c r="E324" i="22"/>
  <c r="E326" i="22" s="1"/>
  <c r="K294" i="22"/>
  <c r="K305" i="22"/>
  <c r="F323" i="22"/>
  <c r="K323" i="22"/>
  <c r="M294" i="22" l="1"/>
  <c r="K296" i="22" s="1"/>
  <c r="AF6" i="18" s="1"/>
  <c r="M305" i="22"/>
  <c r="M323" i="22"/>
  <c r="H326" i="22"/>
  <c r="J176" i="22" s="1"/>
  <c r="Z176" i="22" s="1"/>
  <c r="I325" i="26"/>
  <c r="K325" i="26"/>
  <c r="M303" i="26"/>
  <c r="J306" i="26"/>
  <c r="M306" i="26" s="1"/>
  <c r="J324" i="26"/>
  <c r="I306" i="26"/>
  <c r="I324" i="26"/>
  <c r="K324" i="26"/>
  <c r="H327" i="26"/>
  <c r="K327" i="26" s="1"/>
  <c r="K326" i="26"/>
  <c r="I326" i="26"/>
  <c r="J326" i="22"/>
  <c r="K198" i="22" s="1"/>
  <c r="K324" i="22"/>
  <c r="F324" i="22"/>
  <c r="F326" i="22" s="1"/>
  <c r="J212" i="22" l="1"/>
  <c r="Z212" i="22" s="1"/>
  <c r="J200" i="22"/>
  <c r="Z200" i="22" s="1"/>
  <c r="J204" i="22"/>
  <c r="Z204" i="22" s="1"/>
  <c r="J206" i="22"/>
  <c r="Z206" i="22" s="1"/>
  <c r="J190" i="22"/>
  <c r="Z190" i="22" s="1"/>
  <c r="J196" i="22"/>
  <c r="Z196" i="22" s="1"/>
  <c r="J184" i="22"/>
  <c r="Z184" i="22" s="1"/>
  <c r="J216" i="22"/>
  <c r="Z216" i="22" s="1"/>
  <c r="J170" i="22"/>
  <c r="Z170" i="22" s="1"/>
  <c r="J174" i="22"/>
  <c r="Z174" i="22" s="1"/>
  <c r="J214" i="22"/>
  <c r="Z214" i="22" s="1"/>
  <c r="J182" i="22"/>
  <c r="Z182" i="22" s="1"/>
  <c r="J194" i="22"/>
  <c r="Z194" i="22" s="1"/>
  <c r="J198" i="22"/>
  <c r="Z198" i="22" s="1"/>
  <c r="J210" i="22"/>
  <c r="Z210" i="22" s="1"/>
  <c r="K326" i="22"/>
  <c r="J172" i="22"/>
  <c r="Z172" i="22" s="1"/>
  <c r="J188" i="22"/>
  <c r="Z188" i="22" s="1"/>
  <c r="J192" i="22"/>
  <c r="Z192" i="22" s="1"/>
  <c r="J180" i="22"/>
  <c r="Z180" i="22" s="1"/>
  <c r="J186" i="22"/>
  <c r="Z186" i="22" s="1"/>
  <c r="J208" i="22"/>
  <c r="Z208" i="22" s="1"/>
  <c r="J202" i="22"/>
  <c r="Z202" i="22" s="1"/>
  <c r="J178" i="22"/>
  <c r="Z178" i="22" s="1"/>
  <c r="J191" i="26"/>
  <c r="Z191" i="26" s="1"/>
  <c r="J213" i="26"/>
  <c r="Z213" i="26" s="1"/>
  <c r="J183" i="26"/>
  <c r="Z183" i="26" s="1"/>
  <c r="J201" i="26"/>
  <c r="Z201" i="26" s="1"/>
  <c r="J203" i="26"/>
  <c r="Z203" i="26" s="1"/>
  <c r="J205" i="26"/>
  <c r="Z205" i="26" s="1"/>
  <c r="J179" i="26"/>
  <c r="Z179" i="26" s="1"/>
  <c r="J173" i="26"/>
  <c r="Z173" i="26" s="1"/>
  <c r="J207" i="26"/>
  <c r="Z207" i="26" s="1"/>
  <c r="I327" i="26"/>
  <c r="J211" i="26"/>
  <c r="Z211" i="26" s="1"/>
  <c r="J209" i="26"/>
  <c r="Z209" i="26" s="1"/>
  <c r="J215" i="26"/>
  <c r="Z215" i="26" s="1"/>
  <c r="J181" i="26"/>
  <c r="Z181" i="26" s="1"/>
  <c r="J195" i="26"/>
  <c r="Z195" i="26" s="1"/>
  <c r="J185" i="26"/>
  <c r="Z185" i="26" s="1"/>
  <c r="J217" i="26"/>
  <c r="Z217" i="26" s="1"/>
  <c r="J175" i="26"/>
  <c r="Z175" i="26" s="1"/>
  <c r="J189" i="26"/>
  <c r="Z189" i="26" s="1"/>
  <c r="J187" i="26"/>
  <c r="Z187" i="26" s="1"/>
  <c r="J193" i="26"/>
  <c r="Z193" i="26" s="1"/>
  <c r="J197" i="26"/>
  <c r="Z197" i="26" s="1"/>
  <c r="J177" i="26"/>
  <c r="Z177" i="26" s="1"/>
  <c r="J199" i="26"/>
  <c r="Z199" i="26" s="1"/>
  <c r="J171" i="26"/>
  <c r="Z171" i="26" s="1"/>
  <c r="J327" i="26"/>
  <c r="M324" i="26"/>
  <c r="K196" i="22"/>
  <c r="K202" i="22"/>
  <c r="K194" i="22"/>
  <c r="K216" i="22"/>
  <c r="M326" i="22"/>
  <c r="M327" i="22" s="1"/>
  <c r="AF11" i="18" s="1"/>
  <c r="AF20" i="18" s="1"/>
  <c r="K184" i="22"/>
  <c r="K188" i="22"/>
  <c r="K206" i="22"/>
  <c r="K200" i="22"/>
  <c r="K176" i="22"/>
  <c r="K190" i="22"/>
  <c r="K182" i="22"/>
  <c r="K170" i="22"/>
  <c r="K186" i="22"/>
  <c r="K192" i="22"/>
  <c r="K214" i="22"/>
  <c r="K210" i="22"/>
  <c r="K180" i="22"/>
  <c r="K174" i="22"/>
  <c r="K212" i="22"/>
  <c r="K172" i="22"/>
  <c r="K204" i="22"/>
  <c r="K178" i="22"/>
  <c r="K208" i="22"/>
  <c r="AB212" i="22" l="1"/>
  <c r="AB182" i="22"/>
  <c r="AB186" i="22"/>
  <c r="AB210" i="22"/>
  <c r="AB194" i="22"/>
  <c r="AB202" i="22"/>
  <c r="AB206" i="22"/>
  <c r="AB208" i="22"/>
  <c r="AB178" i="22"/>
  <c r="AB188" i="22"/>
  <c r="AB176" i="22"/>
  <c r="AB180" i="22"/>
  <c r="AB204" i="22"/>
  <c r="AB174" i="22"/>
  <c r="AB184" i="22"/>
  <c r="AB200" i="22"/>
  <c r="AB216" i="22"/>
  <c r="AB196" i="22"/>
  <c r="AB214" i="22"/>
  <c r="AB192" i="22"/>
  <c r="AB172" i="22"/>
  <c r="AB170" i="22"/>
  <c r="AC170" i="22" s="1"/>
  <c r="AB198" i="22"/>
  <c r="AB190" i="22"/>
  <c r="AB171" i="26"/>
  <c r="AC171" i="26" s="1"/>
  <c r="AB193" i="26"/>
  <c r="AB203" i="26"/>
  <c r="AB217" i="26"/>
  <c r="AB207" i="26"/>
  <c r="AB215" i="26"/>
  <c r="AB199" i="26"/>
  <c r="AB187" i="26"/>
  <c r="AB209" i="26"/>
  <c r="AB185" i="26"/>
  <c r="AB173" i="26"/>
  <c r="AB191" i="26"/>
  <c r="AB177" i="26"/>
  <c r="AB183" i="26"/>
  <c r="AB189" i="26"/>
  <c r="AB195" i="26"/>
  <c r="AB205" i="26"/>
  <c r="AB201" i="26"/>
  <c r="M327" i="26"/>
  <c r="M328" i="26" s="1"/>
  <c r="K211" i="26"/>
  <c r="K199" i="26"/>
  <c r="K175" i="26"/>
  <c r="K187" i="26"/>
  <c r="K193" i="26"/>
  <c r="K177" i="26"/>
  <c r="K189" i="26"/>
  <c r="K215" i="26"/>
  <c r="K217" i="26"/>
  <c r="K209" i="26"/>
  <c r="K183" i="26"/>
  <c r="K197" i="26"/>
  <c r="K195" i="26"/>
  <c r="K201" i="26"/>
  <c r="K185" i="26"/>
  <c r="K213" i="26"/>
  <c r="K181" i="26"/>
  <c r="K171" i="26"/>
  <c r="K207" i="26"/>
  <c r="K205" i="26"/>
  <c r="K173" i="26"/>
  <c r="K179" i="26"/>
  <c r="K191" i="26"/>
  <c r="K203" i="26"/>
  <c r="AB197" i="26"/>
  <c r="AB179" i="26"/>
  <c r="AB175" i="26"/>
  <c r="AB181" i="26"/>
  <c r="AB213" i="26"/>
  <c r="AB211" i="26"/>
  <c r="AC172" i="22" l="1"/>
  <c r="AC198" i="22"/>
  <c r="AC192" i="22"/>
  <c r="AC214" i="22"/>
  <c r="AC216" i="22"/>
  <c r="AC174" i="22"/>
  <c r="AC180" i="22"/>
  <c r="AC204" i="22"/>
  <c r="AC173" i="26"/>
  <c r="AC200" i="22"/>
  <c r="AC188" i="22"/>
  <c r="AC182" i="22"/>
  <c r="AC196" i="22"/>
  <c r="AC212" i="22"/>
  <c r="AC184" i="22"/>
  <c r="AC202" i="22"/>
  <c r="AC190" i="22"/>
  <c r="AC186" i="22"/>
  <c r="AC194" i="22"/>
  <c r="AC208" i="22"/>
  <c r="AC210" i="22"/>
  <c r="AC206" i="22"/>
  <c r="AC178" i="22"/>
  <c r="AC176" i="22"/>
  <c r="AC181" i="26"/>
  <c r="AC189" i="26"/>
  <c r="AC203" i="26"/>
  <c r="AC175" i="26"/>
  <c r="AC183" i="26"/>
  <c r="AC185" i="26"/>
  <c r="AC215" i="26"/>
  <c r="AC193" i="26"/>
  <c r="AC211" i="26"/>
  <c r="AC179" i="26"/>
  <c r="AC213" i="26"/>
  <c r="AC197" i="26"/>
  <c r="AC195" i="26"/>
  <c r="AC191" i="26"/>
  <c r="AC187" i="26"/>
  <c r="AC217" i="26"/>
  <c r="AC199" i="26"/>
  <c r="AC201" i="26"/>
  <c r="AC205" i="26"/>
  <c r="AC177" i="26"/>
  <c r="AC209" i="26"/>
  <c r="AC207" i="26"/>
  <c r="B389" i="26" l="1"/>
  <c r="B390" i="22"/>
  <c r="K350" i="26"/>
  <c r="M350" i="26"/>
  <c r="D130" i="27"/>
  <c r="M349" i="22"/>
  <c r="K349" i="22"/>
  <c r="C130" i="27"/>
  <c r="R133" i="27" l="1"/>
  <c r="R392" i="26"/>
  <c r="R393"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K13" authorId="0" shapeId="0" xr:uid="{00000000-0006-0000-0F00-000001000000}">
      <text>
        <r>
          <rPr>
            <sz val="10"/>
            <color indexed="81"/>
            <rFont val="Arial"/>
            <family val="2"/>
          </rPr>
          <t>Enter the designation for the Baseline system (or all designations for a group of similar systems) consistent with the energy model (example: AHU-1)</t>
        </r>
      </text>
    </comment>
    <comment ref="L13" authorId="0" shapeId="0" xr:uid="{6CFB5674-1434-4EE5-A621-724919ABA3C5}">
      <text>
        <r>
          <rPr>
            <sz val="10"/>
            <color indexed="81"/>
            <rFont val="Arial"/>
            <family val="2"/>
          </rPr>
          <t>Enter the designation for the Baseline system (or all designations for a group of similar systems) consistent with the energy model (example: AHU-1)</t>
        </r>
      </text>
    </comment>
    <comment ref="M13" authorId="0" shapeId="0" xr:uid="{CAF26DF6-FE5D-4CAB-809A-99D791DA1298}">
      <text>
        <r>
          <rPr>
            <sz val="10"/>
            <color indexed="81"/>
            <rFont val="Arial"/>
            <family val="2"/>
          </rPr>
          <t>Enter the designation for the Baseline system (or all designations for a group of similar systems) consistent with the energy model (example: AHU-1)</t>
        </r>
      </text>
    </comment>
    <comment ref="N13" authorId="0" shapeId="0" xr:uid="{7299F3AC-A19D-4BF8-AE78-5D1FDD8DD076}">
      <text>
        <r>
          <rPr>
            <sz val="10"/>
            <color indexed="81"/>
            <rFont val="Arial"/>
            <family val="2"/>
          </rPr>
          <t>Enter the designation for the Baseline system (or all designations for a group of similar systems) consistent with the energy model (example: AHU-1)</t>
        </r>
      </text>
    </comment>
    <comment ref="O13" authorId="0" shapeId="0" xr:uid="{F2DBEC26-55FB-4C15-BE13-9B183A671333}">
      <text>
        <r>
          <rPr>
            <sz val="10"/>
            <color indexed="81"/>
            <rFont val="Arial"/>
            <family val="2"/>
          </rPr>
          <t>Enter the designation for the Baseline system (or all designations for a group of similar systems) consistent with the energy model (example: AHU-1)</t>
        </r>
      </text>
    </comment>
    <comment ref="P13" authorId="0" shapeId="0" xr:uid="{5940FA94-BA21-4E1D-9FFE-9C7B2FD4AD18}">
      <text>
        <r>
          <rPr>
            <sz val="10"/>
            <color indexed="81"/>
            <rFont val="Arial"/>
            <family val="2"/>
          </rPr>
          <t>Enter the designation for the Baseline system (or all designations for a group of similar systems) consistent with the energy model (example: AHU-1)</t>
        </r>
      </text>
    </comment>
    <comment ref="Q13" authorId="0" shapeId="0" xr:uid="{9303B74D-8493-4B6B-A9F1-02956B5CD83E}">
      <text>
        <r>
          <rPr>
            <sz val="10"/>
            <color indexed="81"/>
            <rFont val="Arial"/>
            <family val="2"/>
          </rPr>
          <t>Enter the designation for the Baseline system (or all designations for a group of similar systems) consistent with the energy model (example: AHU-1)</t>
        </r>
      </text>
    </comment>
    <comment ref="R13" authorId="0" shapeId="0" xr:uid="{0764D393-6713-477D-8EB8-03F3ACFF1A45}">
      <text>
        <r>
          <rPr>
            <sz val="10"/>
            <color indexed="81"/>
            <rFont val="Arial"/>
            <family val="2"/>
          </rPr>
          <t>Enter the designation for the Baseline system (or all designations for a group of similar systems) consistent with the energy model (example: AHU-1)</t>
        </r>
      </text>
    </comment>
    <comment ref="S13" authorId="0" shapeId="0" xr:uid="{E906FF15-D1BE-4EA4-9962-EEE0A57EC864}">
      <text>
        <r>
          <rPr>
            <sz val="10"/>
            <color indexed="81"/>
            <rFont val="Arial"/>
            <family val="2"/>
          </rPr>
          <t>Enter the designation for the Baseline system (or all designations for a group of similar systems) consistent with the energy model (example: AHU-1)</t>
        </r>
      </text>
    </comment>
    <comment ref="U13" authorId="0" shapeId="0" xr:uid="{00000000-0006-0000-0F00-000002000000}">
      <text>
        <r>
          <rPr>
            <sz val="10"/>
            <color indexed="81"/>
            <rFont val="Arial"/>
            <family val="2"/>
          </rPr>
          <t>Enter the designation for the Proposed system (or all designations for a group of similar systems) consistent with the energy model (example: AHU-1)</t>
        </r>
      </text>
    </comment>
    <comment ref="V13" authorId="0" shapeId="0" xr:uid="{7476792C-0FD7-4FFF-8DE1-53560D4CC4D6}">
      <text>
        <r>
          <rPr>
            <sz val="10"/>
            <color indexed="81"/>
            <rFont val="Arial"/>
            <family val="2"/>
          </rPr>
          <t>Enter the designation for the Proposed system (or all designations for a group of similar systems) consistent with the energy model (example: AHU-1)</t>
        </r>
      </text>
    </comment>
    <comment ref="W13" authorId="0" shapeId="0" xr:uid="{ED695CDD-F094-40B7-B5AC-24A2164E7588}">
      <text>
        <r>
          <rPr>
            <sz val="10"/>
            <color indexed="81"/>
            <rFont val="Arial"/>
            <family val="2"/>
          </rPr>
          <t>Enter the designation for the Proposed system (or all designations for a group of similar systems) consistent with the energy model (example: AHU-1)</t>
        </r>
      </text>
    </comment>
    <comment ref="X13" authorId="0" shapeId="0" xr:uid="{00D8422B-489D-47FB-8CD0-DCFC4803AFA1}">
      <text>
        <r>
          <rPr>
            <sz val="10"/>
            <color indexed="81"/>
            <rFont val="Arial"/>
            <family val="2"/>
          </rPr>
          <t>Enter the designation for the Proposed system (or all designations for a group of similar systems) consistent with the energy model (example: AHU-1)</t>
        </r>
      </text>
    </comment>
    <comment ref="Y13" authorId="0" shapeId="0" xr:uid="{87043BF2-91A5-49D9-A8E1-21320B812841}">
      <text>
        <r>
          <rPr>
            <sz val="10"/>
            <color indexed="81"/>
            <rFont val="Arial"/>
            <family val="2"/>
          </rPr>
          <t>Enter the designation for the Proposed system (or all designations for a group of similar systems) consistent with the energy model (example: AHU-1)</t>
        </r>
      </text>
    </comment>
    <comment ref="Z13" authorId="0" shapeId="0" xr:uid="{51EC0746-E239-467F-9F84-CFE8C4CDC63C}">
      <text>
        <r>
          <rPr>
            <sz val="10"/>
            <color indexed="81"/>
            <rFont val="Arial"/>
            <family val="2"/>
          </rPr>
          <t>Enter the designation for the Proposed system (or all designations for a group of similar systems) consistent with the energy model (example: AHU-1)</t>
        </r>
      </text>
    </comment>
    <comment ref="AA13" authorId="0" shapeId="0" xr:uid="{463658A4-828D-492A-AEDC-87C7D6E74E2F}">
      <text>
        <r>
          <rPr>
            <sz val="10"/>
            <color indexed="81"/>
            <rFont val="Arial"/>
            <family val="2"/>
          </rPr>
          <t>Enter the designation for the Proposed system (or all designations for a group of similar systems) consistent with the energy model (example: AHU-1)</t>
        </r>
      </text>
    </comment>
    <comment ref="AB13" authorId="0" shapeId="0" xr:uid="{07D91BFA-8897-44C2-9BB7-8A829CC39875}">
      <text>
        <r>
          <rPr>
            <sz val="10"/>
            <color indexed="81"/>
            <rFont val="Arial"/>
            <family val="2"/>
          </rPr>
          <t>Enter the designation for the Proposed system (or all designations for a group of similar systems) consistent with the energy model (example: AHU-1)</t>
        </r>
      </text>
    </comment>
    <comment ref="AC13" authorId="0" shapeId="0" xr:uid="{C5C55EA3-2BB4-4A1D-B2F5-4D23B0ACBA4A}">
      <text>
        <r>
          <rPr>
            <sz val="10"/>
            <color indexed="81"/>
            <rFont val="Arial"/>
            <family val="2"/>
          </rPr>
          <t>Enter the designation for the Proposed system (or all designations for a group of similar systems) consistent with the energy model (example: AHU-1)</t>
        </r>
      </text>
    </comment>
    <comment ref="AD13" authorId="0" shapeId="0" xr:uid="{38910705-C8E4-486A-BC0E-B622AFCC3E8B}">
      <text>
        <r>
          <rPr>
            <sz val="10"/>
            <color indexed="81"/>
            <rFont val="Arial"/>
            <family val="2"/>
          </rPr>
          <t>Enter the designation for the Proposed system (or all designations for a group of similar systems) consistent with the energy model (example: AHU-1)</t>
        </r>
      </text>
    </comment>
    <comment ref="AE13" authorId="0" shapeId="0" xr:uid="{711BE509-166C-431E-9FBC-35AC361D8DCD}">
      <text>
        <r>
          <rPr>
            <sz val="10"/>
            <color indexed="81"/>
            <rFont val="Arial"/>
            <family val="2"/>
          </rPr>
          <t>Enter the designation for the Proposed system (or all designations for a group of similar systems) consistent with the energy model (example: AHU-1)</t>
        </r>
      </text>
    </comment>
    <comment ref="AF13" authorId="0" shapeId="0" xr:uid="{06286E9C-B748-4245-8221-98EADB7E4E3D}">
      <text>
        <r>
          <rPr>
            <sz val="10"/>
            <color indexed="81"/>
            <rFont val="Arial"/>
            <family val="2"/>
          </rPr>
          <t>Enter the designation for the Proposed system (or all designations for a group of similar systems) consistent with the energy model (example: AHU-1)</t>
        </r>
      </text>
    </comment>
    <comment ref="AG13" authorId="0" shapeId="0" xr:uid="{DB3D4E0B-7CD4-4FDE-B9D9-4B052CCA5F14}">
      <text>
        <r>
          <rPr>
            <sz val="10"/>
            <color indexed="81"/>
            <rFont val="Arial"/>
            <family val="2"/>
          </rPr>
          <t>Enter the designation for the Proposed system (or all designations for a group of similar systems) consistent with the energy model (example: AHU-1)</t>
        </r>
      </text>
    </comment>
    <comment ref="AH13" authorId="0" shapeId="0" xr:uid="{7DC40EC0-D89E-4AF2-8709-50EC43A8DEAA}">
      <text>
        <r>
          <rPr>
            <sz val="10"/>
            <color indexed="81"/>
            <rFont val="Arial"/>
            <family val="2"/>
          </rPr>
          <t>Enter the designation for the Proposed system (or all designations for a group of similar systems) consistent with the energy model (example: AHU-1)</t>
        </r>
      </text>
    </comment>
    <comment ref="AI13" authorId="0" shapeId="0" xr:uid="{6BF6E1A3-9139-46F5-90F9-DE7449B7A5E4}">
      <text>
        <r>
          <rPr>
            <sz val="10"/>
            <color indexed="81"/>
            <rFont val="Arial"/>
            <family val="2"/>
          </rPr>
          <t>Enter the designation for the Proposed system (or all designations for a group of similar systems) consistent with the energy model (example: AHU-1)</t>
        </r>
      </text>
    </comment>
    <comment ref="AJ13" authorId="0" shapeId="0" xr:uid="{D3E33436-3D32-4A9D-A993-971A40FE6D2B}">
      <text>
        <r>
          <rPr>
            <sz val="10"/>
            <color indexed="81"/>
            <rFont val="Arial"/>
            <family val="2"/>
          </rPr>
          <t>Enter the designation for the Proposed system (or all designations for a group of similar systems) consistent with the energy model (example: AHU-1)</t>
        </r>
      </text>
    </comment>
    <comment ref="AK13" authorId="0" shapeId="0" xr:uid="{1CDFEECD-A5E7-4665-A64A-43C152F093F2}">
      <text>
        <r>
          <rPr>
            <sz val="10"/>
            <color indexed="81"/>
            <rFont val="Arial"/>
            <family val="2"/>
          </rPr>
          <t>Enter the designation for the Proposed system (or all designations for a group of similar systems) consistent with the energy model (example: AHU-1)</t>
        </r>
      </text>
    </comment>
    <comment ref="AL13" authorId="0" shapeId="0" xr:uid="{FA22B507-94A8-4531-8E5F-78EE499B8266}">
      <text>
        <r>
          <rPr>
            <sz val="10"/>
            <color indexed="81"/>
            <rFont val="Arial"/>
            <family val="2"/>
          </rPr>
          <t>Enter the designation for the Proposed system (or all designations for a group of similar systems) consistent with the energy model (example: AHU-1)</t>
        </r>
      </text>
    </comment>
    <comment ref="AM13" authorId="0" shapeId="0" xr:uid="{8B596945-F07B-4F4C-B834-780F9CE5CA1E}">
      <text>
        <r>
          <rPr>
            <sz val="10"/>
            <color indexed="81"/>
            <rFont val="Arial"/>
            <family val="2"/>
          </rPr>
          <t>Enter the designation for the Proposed system (or all designations for a group of similar systems) consistent with the energy model (example: AHU-1)</t>
        </r>
      </text>
    </comment>
    <comment ref="AN13" authorId="0" shapeId="0" xr:uid="{419298A0-BC79-438A-AD21-BABA8D11CC02}">
      <text>
        <r>
          <rPr>
            <sz val="10"/>
            <color indexed="81"/>
            <rFont val="Arial"/>
            <family val="2"/>
          </rPr>
          <t>Enter the designation for the Proposed system (or all designations for a group of similar systems) consistent with the energy model (example: AHU-1)</t>
        </r>
      </text>
    </comment>
    <comment ref="AO13" authorId="0" shapeId="0" xr:uid="{21CE523B-1CEA-4DB5-B924-E7FF432866FA}">
      <text>
        <r>
          <rPr>
            <sz val="10"/>
            <color indexed="81"/>
            <rFont val="Arial"/>
            <family val="2"/>
          </rPr>
          <t>Enter the designation for the Proposed system (or all designations for a group of similar systems) consistent with the energy model (example: AHU-1)</t>
        </r>
      </text>
    </comment>
    <comment ref="AP13" authorId="0" shapeId="0" xr:uid="{0C322F7F-305F-4612-8B93-7B25F50D41C9}">
      <text>
        <r>
          <rPr>
            <sz val="10"/>
            <color indexed="81"/>
            <rFont val="Arial"/>
            <family val="2"/>
          </rPr>
          <t>Enter the designation for the Proposed system (or all designations for a group of similar systems) consistent with the energy model (example: AHU-1)</t>
        </r>
      </text>
    </comment>
    <comment ref="AQ13" authorId="0" shapeId="0" xr:uid="{C8D53CBB-96BC-4ABB-BFF2-9FBDD8EE3946}">
      <text>
        <r>
          <rPr>
            <sz val="10"/>
            <color indexed="81"/>
            <rFont val="Arial"/>
            <family val="2"/>
          </rPr>
          <t>Enter the designation for the Proposed system (or all designations for a group of similar systems) consistent with the energy model (example: AHU-1)</t>
        </r>
      </text>
    </comment>
    <comment ref="AR13" authorId="0" shapeId="0" xr:uid="{9815601C-F031-434D-A6C5-36E3B6AD02CA}">
      <text>
        <r>
          <rPr>
            <sz val="10"/>
            <color indexed="81"/>
            <rFont val="Arial"/>
            <family val="2"/>
          </rPr>
          <t>Enter the designation for the Proposed system (or all designations for a group of similar systems) consistent with the energy model (example: AHU-1)</t>
        </r>
      </text>
    </comment>
    <comment ref="AS13" authorId="0" shapeId="0" xr:uid="{80785621-7F43-440D-9E73-FD3D62D265C7}">
      <text>
        <r>
          <rPr>
            <sz val="10"/>
            <color indexed="81"/>
            <rFont val="Arial"/>
            <family val="2"/>
          </rPr>
          <t>Enter the designation for the Proposed system (or all designations for a group of similar systems) consistent with the energy model (example: AHU-1)</t>
        </r>
      </text>
    </comment>
    <comment ref="BH13" authorId="0" shapeId="0" xr:uid="{00000000-0006-0000-0F00-000003000000}">
      <text>
        <r>
          <rPr>
            <sz val="10"/>
            <color indexed="81"/>
            <rFont val="Arial"/>
            <family val="2"/>
          </rPr>
          <t>Enter the designation for the Baseline system (or all designations for a group of similar systems) consistent with the energy model (example: AHU-1)</t>
        </r>
      </text>
    </comment>
    <comment ref="BI13" authorId="0" shapeId="0" xr:uid="{00000000-0006-0000-0F00-000004000000}">
      <text>
        <r>
          <rPr>
            <sz val="10"/>
            <color indexed="81"/>
            <rFont val="Arial"/>
            <family val="2"/>
          </rPr>
          <t>Enter the designation for the Proposed system (or all designations for a group of similar systems) consistent with the energy model (example: AHU-1)</t>
        </r>
      </text>
    </comment>
    <comment ref="K15" authorId="0" shapeId="0" xr:uid="{00000000-0006-0000-0F00-000005000000}">
      <text>
        <r>
          <rPr>
            <sz val="10"/>
            <color indexed="81"/>
            <rFont val="Arial"/>
            <family val="2"/>
          </rPr>
          <t>Enter the total number of similar HVAC systems in the Baseline model. If this is a single, unique HVAC system, enter 1.</t>
        </r>
      </text>
    </comment>
    <comment ref="L15" authorId="0" shapeId="0" xr:uid="{6EBD5D08-B5DB-4187-8586-3CFFE00E9C58}">
      <text>
        <r>
          <rPr>
            <sz val="10"/>
            <color indexed="81"/>
            <rFont val="Arial"/>
            <family val="2"/>
          </rPr>
          <t>Enter the total number of similar HVAC systems in the Baseline model. If this is a single, unique HVAC system, enter 1.</t>
        </r>
      </text>
    </comment>
    <comment ref="M15" authorId="0" shapeId="0" xr:uid="{CC8566A4-E6BF-4E5A-9F77-632988F7E157}">
      <text>
        <r>
          <rPr>
            <sz val="10"/>
            <color indexed="81"/>
            <rFont val="Arial"/>
            <family val="2"/>
          </rPr>
          <t>Enter the total number of similar HVAC systems in the Baseline model. If this is a single, unique HVAC system, enter 1.</t>
        </r>
      </text>
    </comment>
    <comment ref="N15" authorId="0" shapeId="0" xr:uid="{D513BBB9-F46A-465F-A662-3BA105B1661F}">
      <text>
        <r>
          <rPr>
            <sz val="10"/>
            <color indexed="81"/>
            <rFont val="Arial"/>
            <family val="2"/>
          </rPr>
          <t>Enter the total number of similar HVAC systems in the Baseline model. If this is a single, unique HVAC system, enter 1.</t>
        </r>
      </text>
    </comment>
    <comment ref="O15" authorId="0" shapeId="0" xr:uid="{595D53C2-4921-4503-81B9-530B8985448A}">
      <text>
        <r>
          <rPr>
            <sz val="10"/>
            <color indexed="81"/>
            <rFont val="Arial"/>
            <family val="2"/>
          </rPr>
          <t>Enter the total number of similar HVAC systems in the Baseline model. If this is a single, unique HVAC system, enter 1.</t>
        </r>
      </text>
    </comment>
    <comment ref="P15" authorId="0" shapeId="0" xr:uid="{C45AFA8B-F892-427D-81C0-A7D0EB9E6598}">
      <text>
        <r>
          <rPr>
            <sz val="10"/>
            <color indexed="81"/>
            <rFont val="Arial"/>
            <family val="2"/>
          </rPr>
          <t>Enter the total number of similar HVAC systems in the Baseline model. If this is a single, unique HVAC system, enter 1.</t>
        </r>
      </text>
    </comment>
    <comment ref="Q15" authorId="0" shapeId="0" xr:uid="{21463099-5212-4058-8262-2F8A38183564}">
      <text>
        <r>
          <rPr>
            <sz val="10"/>
            <color indexed="81"/>
            <rFont val="Arial"/>
            <family val="2"/>
          </rPr>
          <t>Enter the total number of similar HVAC systems in the Baseline model. If this is a single, unique HVAC system, enter 1.</t>
        </r>
      </text>
    </comment>
    <comment ref="R15" authorId="0" shapeId="0" xr:uid="{91868896-FCD1-4262-83F9-C263D7A45A19}">
      <text>
        <r>
          <rPr>
            <sz val="10"/>
            <color indexed="81"/>
            <rFont val="Arial"/>
            <family val="2"/>
          </rPr>
          <t>Enter the total number of similar HVAC systems in the Baseline model. If this is a single, unique HVAC system, enter 1.</t>
        </r>
      </text>
    </comment>
    <comment ref="S15" authorId="0" shapeId="0" xr:uid="{894A2FD4-7C09-4734-B718-674E759FC095}">
      <text>
        <r>
          <rPr>
            <sz val="10"/>
            <color indexed="81"/>
            <rFont val="Arial"/>
            <family val="2"/>
          </rPr>
          <t>Enter the total number of similar HVAC systems in the Baseline model. If this is a single, unique HVAC system, enter 1.</t>
        </r>
      </text>
    </comment>
    <comment ref="U15" authorId="0" shapeId="0" xr:uid="{00000000-0006-0000-0F00-000006000000}">
      <text>
        <r>
          <rPr>
            <sz val="10"/>
            <color indexed="81"/>
            <rFont val="Arial"/>
            <family val="2"/>
          </rPr>
          <t>Enter the total number of similar HVAC systems in the Proposed model. If this is a single, unique HVAC system, enter 1.</t>
        </r>
      </text>
    </comment>
    <comment ref="V15" authorId="0" shapeId="0" xr:uid="{D64E1127-5ABE-47CC-8431-1B690563E3C5}">
      <text>
        <r>
          <rPr>
            <sz val="10"/>
            <color indexed="81"/>
            <rFont val="Arial"/>
            <family val="2"/>
          </rPr>
          <t>Enter the total number of similar HVAC systems in the Proposed model. If this is a single, unique HVAC system, enter 1.</t>
        </r>
      </text>
    </comment>
    <comment ref="W15" authorId="0" shapeId="0" xr:uid="{283DD895-4DA9-49F9-8607-914B7FD9A07D}">
      <text>
        <r>
          <rPr>
            <sz val="10"/>
            <color indexed="81"/>
            <rFont val="Arial"/>
            <family val="2"/>
          </rPr>
          <t>Enter the total number of similar HVAC systems in the Proposed model. If this is a single, unique HVAC system, enter 1.</t>
        </r>
      </text>
    </comment>
    <comment ref="X15" authorId="0" shapeId="0" xr:uid="{FAE96F0E-B7E3-48F1-8D22-4F8400CE129C}">
      <text>
        <r>
          <rPr>
            <sz val="10"/>
            <color indexed="81"/>
            <rFont val="Arial"/>
            <family val="2"/>
          </rPr>
          <t>Enter the total number of similar HVAC systems in the Proposed model. If this is a single, unique HVAC system, enter 1.</t>
        </r>
      </text>
    </comment>
    <comment ref="Y15" authorId="0" shapeId="0" xr:uid="{B6B74D16-89CD-4B70-AFC0-A0DF14C7A8E1}">
      <text>
        <r>
          <rPr>
            <sz val="10"/>
            <color indexed="81"/>
            <rFont val="Arial"/>
            <family val="2"/>
          </rPr>
          <t>Enter the total number of similar HVAC systems in the Proposed model. If this is a single, unique HVAC system, enter 1.</t>
        </r>
      </text>
    </comment>
    <comment ref="Z15" authorId="0" shapeId="0" xr:uid="{67AE6314-13CA-4F79-B81B-F5CDCF2B0B61}">
      <text>
        <r>
          <rPr>
            <sz val="10"/>
            <color indexed="81"/>
            <rFont val="Arial"/>
            <family val="2"/>
          </rPr>
          <t>Enter the total number of similar HVAC systems in the Proposed model. If this is a single, unique HVAC system, enter 1.</t>
        </r>
      </text>
    </comment>
    <comment ref="AA15" authorId="0" shapeId="0" xr:uid="{58D1FEEB-A0EB-43B3-885D-C167AF806A24}">
      <text>
        <r>
          <rPr>
            <sz val="10"/>
            <color indexed="81"/>
            <rFont val="Arial"/>
            <family val="2"/>
          </rPr>
          <t>Enter the total number of similar HVAC systems in the Proposed model. If this is a single, unique HVAC system, enter 1.</t>
        </r>
      </text>
    </comment>
    <comment ref="AB15" authorId="0" shapeId="0" xr:uid="{D6C5D30D-6A74-4111-B3F9-B7F07F429933}">
      <text>
        <r>
          <rPr>
            <sz val="10"/>
            <color indexed="81"/>
            <rFont val="Arial"/>
            <family val="2"/>
          </rPr>
          <t>Enter the total number of similar HVAC systems in the Proposed model. If this is a single, unique HVAC system, enter 1.</t>
        </r>
      </text>
    </comment>
    <comment ref="AC15" authorId="0" shapeId="0" xr:uid="{69D6D512-01F2-4E24-8E69-D0B80BD2C40E}">
      <text>
        <r>
          <rPr>
            <sz val="10"/>
            <color indexed="81"/>
            <rFont val="Arial"/>
            <family val="2"/>
          </rPr>
          <t>Enter the total number of similar HVAC systems in the Proposed model. If this is a single, unique HVAC system, enter 1.</t>
        </r>
      </text>
    </comment>
    <comment ref="AD15" authorId="0" shapeId="0" xr:uid="{54FBF6B6-FEB8-4F02-BCD9-7914C0E87D70}">
      <text>
        <r>
          <rPr>
            <sz val="10"/>
            <color indexed="81"/>
            <rFont val="Arial"/>
            <family val="2"/>
          </rPr>
          <t>Enter the total number of similar HVAC systems in the Proposed model. If this is a single, unique HVAC system, enter 1.</t>
        </r>
      </text>
    </comment>
    <comment ref="AE15" authorId="0" shapeId="0" xr:uid="{FCC31FAC-0BEE-4A38-92CF-56EB316E2EF2}">
      <text>
        <r>
          <rPr>
            <sz val="10"/>
            <color indexed="81"/>
            <rFont val="Arial"/>
            <family val="2"/>
          </rPr>
          <t>Enter the total number of similar HVAC systems in the Proposed model. If this is a single, unique HVAC system, enter 1.</t>
        </r>
      </text>
    </comment>
    <comment ref="AF15" authorId="0" shapeId="0" xr:uid="{ABCF3100-03FB-4103-9B93-C995A1E27097}">
      <text>
        <r>
          <rPr>
            <sz val="10"/>
            <color indexed="81"/>
            <rFont val="Arial"/>
            <family val="2"/>
          </rPr>
          <t>Enter the total number of similar HVAC systems in the Proposed model. If this is a single, unique HVAC system, enter 1.</t>
        </r>
      </text>
    </comment>
    <comment ref="AG15" authorId="0" shapeId="0" xr:uid="{FE2B4196-4F30-4813-AB3C-44CDB0281E75}">
      <text>
        <r>
          <rPr>
            <sz val="10"/>
            <color indexed="81"/>
            <rFont val="Arial"/>
            <family val="2"/>
          </rPr>
          <t>Enter the total number of similar HVAC systems in the Proposed model. If this is a single, unique HVAC system, enter 1.</t>
        </r>
      </text>
    </comment>
    <comment ref="AH15" authorId="0" shapeId="0" xr:uid="{14BA630B-A720-4835-8A27-BDFC4A2B4F09}">
      <text>
        <r>
          <rPr>
            <sz val="10"/>
            <color indexed="81"/>
            <rFont val="Arial"/>
            <family val="2"/>
          </rPr>
          <t>Enter the total number of similar HVAC systems in the Proposed model. If this is a single, unique HVAC system, enter 1.</t>
        </r>
      </text>
    </comment>
    <comment ref="AI15" authorId="0" shapeId="0" xr:uid="{8BE19CD6-D87A-4F41-BAB4-FA8CCAF33C29}">
      <text>
        <r>
          <rPr>
            <sz val="10"/>
            <color indexed="81"/>
            <rFont val="Arial"/>
            <family val="2"/>
          </rPr>
          <t>Enter the total number of similar HVAC systems in the Proposed model. If this is a single, unique HVAC system, enter 1.</t>
        </r>
      </text>
    </comment>
    <comment ref="AJ15" authorId="0" shapeId="0" xr:uid="{8400DB31-38B1-45C0-843C-038920E9B76C}">
      <text>
        <r>
          <rPr>
            <sz val="10"/>
            <color indexed="81"/>
            <rFont val="Arial"/>
            <family val="2"/>
          </rPr>
          <t>Enter the total number of similar HVAC systems in the Proposed model. If this is a single, unique HVAC system, enter 1.</t>
        </r>
      </text>
    </comment>
    <comment ref="AK15" authorId="0" shapeId="0" xr:uid="{D0C76E5D-1C01-4417-99B4-1364DA560457}">
      <text>
        <r>
          <rPr>
            <sz val="10"/>
            <color indexed="81"/>
            <rFont val="Arial"/>
            <family val="2"/>
          </rPr>
          <t>Enter the total number of similar HVAC systems in the Proposed model. If this is a single, unique HVAC system, enter 1.</t>
        </r>
      </text>
    </comment>
    <comment ref="AL15" authorId="0" shapeId="0" xr:uid="{0BEF85EC-06BC-48DF-AC70-2CD7832787B4}">
      <text>
        <r>
          <rPr>
            <sz val="10"/>
            <color indexed="81"/>
            <rFont val="Arial"/>
            <family val="2"/>
          </rPr>
          <t>Enter the total number of similar HVAC systems in the Proposed model. If this is a single, unique HVAC system, enter 1.</t>
        </r>
      </text>
    </comment>
    <comment ref="AM15" authorId="0" shapeId="0" xr:uid="{AF188153-A7BC-417D-977A-1535F771B5BF}">
      <text>
        <r>
          <rPr>
            <sz val="10"/>
            <color indexed="81"/>
            <rFont val="Arial"/>
            <family val="2"/>
          </rPr>
          <t>Enter the total number of similar HVAC systems in the Proposed model. If this is a single, unique HVAC system, enter 1.</t>
        </r>
      </text>
    </comment>
    <comment ref="AN15" authorId="0" shapeId="0" xr:uid="{6365760A-D879-436A-BB1E-840D0499BF54}">
      <text>
        <r>
          <rPr>
            <sz val="10"/>
            <color indexed="81"/>
            <rFont val="Arial"/>
            <family val="2"/>
          </rPr>
          <t>Enter the total number of similar HVAC systems in the Proposed model. If this is a single, unique HVAC system, enter 1.</t>
        </r>
      </text>
    </comment>
    <comment ref="AO15" authorId="0" shapeId="0" xr:uid="{B96068C9-E35F-4CF9-8374-CBDEE2BD90A5}">
      <text>
        <r>
          <rPr>
            <sz val="10"/>
            <color indexed="81"/>
            <rFont val="Arial"/>
            <family val="2"/>
          </rPr>
          <t>Enter the total number of similar HVAC systems in the Proposed model. If this is a single, unique HVAC system, enter 1.</t>
        </r>
      </text>
    </comment>
    <comment ref="AP15" authorId="0" shapeId="0" xr:uid="{9FBD2B58-0AAD-48D6-AE6E-5362B6F70360}">
      <text>
        <r>
          <rPr>
            <sz val="10"/>
            <color indexed="81"/>
            <rFont val="Arial"/>
            <family val="2"/>
          </rPr>
          <t>Enter the total number of similar HVAC systems in the Proposed model. If this is a single, unique HVAC system, enter 1.</t>
        </r>
      </text>
    </comment>
    <comment ref="AQ15" authorId="0" shapeId="0" xr:uid="{375E334D-A169-4BEF-841B-AB95B949416C}">
      <text>
        <r>
          <rPr>
            <sz val="10"/>
            <color indexed="81"/>
            <rFont val="Arial"/>
            <family val="2"/>
          </rPr>
          <t>Enter the total number of similar HVAC systems in the Proposed model. If this is a single, unique HVAC system, enter 1.</t>
        </r>
      </text>
    </comment>
    <comment ref="AR15" authorId="0" shapeId="0" xr:uid="{72F9CA30-AA99-43D7-9587-BDC927C02F87}">
      <text>
        <r>
          <rPr>
            <sz val="10"/>
            <color indexed="81"/>
            <rFont val="Arial"/>
            <family val="2"/>
          </rPr>
          <t>Enter the total number of similar HVAC systems in the Proposed model. If this is a single, unique HVAC system, enter 1.</t>
        </r>
      </text>
    </comment>
    <comment ref="AS15" authorId="0" shapeId="0" xr:uid="{56E5C432-1C8A-48FF-8477-3C1D97B020F2}">
      <text>
        <r>
          <rPr>
            <sz val="10"/>
            <color indexed="81"/>
            <rFont val="Arial"/>
            <family val="2"/>
          </rPr>
          <t>Enter the total number of similar HVAC systems in the Proposed model. If this is a single, unique HVAC system, enter 1.</t>
        </r>
      </text>
    </comment>
    <comment ref="BH15" authorId="0" shapeId="0" xr:uid="{00000000-0006-0000-0F00-000007000000}">
      <text>
        <r>
          <rPr>
            <sz val="10"/>
            <color indexed="81"/>
            <rFont val="Arial"/>
            <family val="2"/>
          </rPr>
          <t>Enter the total number of similar HVAC systems in the Baseline model. If this is a single, unique HVAC system, enter 1.</t>
        </r>
      </text>
    </comment>
    <comment ref="BI15" authorId="0" shapeId="0" xr:uid="{00000000-0006-0000-0F00-000008000000}">
      <text>
        <r>
          <rPr>
            <sz val="10"/>
            <color indexed="81"/>
            <rFont val="Arial"/>
            <family val="2"/>
          </rPr>
          <t>Enter the total number of similar HVAC systems in the Proposed model. If this is a single, unique HVAC system, enter 1.</t>
        </r>
      </text>
    </comment>
    <comment ref="B38" authorId="0" shapeId="0" xr:uid="{00000000-0006-0000-0F00-000009000000}">
      <text>
        <r>
          <rPr>
            <sz val="10"/>
            <color indexed="81"/>
            <rFont val="Arial"/>
            <family val="2"/>
          </rPr>
          <t>For each pressure drop adjustment claimed, input the design airflow rate, CFMD, through each applicable device.</t>
        </r>
      </text>
    </comment>
    <comment ref="F38" authorId="0" shapeId="0" xr:uid="{00000000-0006-0000-0F00-00000A000000}">
      <text>
        <r>
          <rPr>
            <sz val="10"/>
            <color indexed="81"/>
            <rFont val="Arial"/>
            <family val="2"/>
          </rPr>
          <t>Airflow rate through device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B32" authorId="0" shapeId="0" xr:uid="{00000000-0006-0000-1300-000001000000}">
      <text>
        <r>
          <rPr>
            <sz val="10"/>
            <color indexed="81"/>
            <rFont val="Arial"/>
            <family val="2"/>
          </rPr>
          <t>Select the site-generated renewable energy source. Eligible biofuels (untreated wood waste, agricultural crops or waste, animal and organic waste, and landfill gas) must be located on or near the project site, and not transported to the site to qualify.</t>
        </r>
      </text>
    </comment>
    <comment ref="F32" authorId="0" shapeId="0" xr:uid="{00000000-0006-0000-1300-000002000000}">
      <text>
        <r>
          <rPr>
            <sz val="10"/>
            <color indexed="81"/>
            <rFont val="Arial"/>
            <family val="2"/>
          </rPr>
          <t>Enter the rated capacity of the renewable source including the units (e.g. for photovoltaics 10 kW). Include all relevant capacities (i.e for solar thermal, both the storage tank capacity and the solar thermal panel capacity)</t>
        </r>
      </text>
    </comment>
    <comment ref="J32" authorId="0" shapeId="0" xr:uid="{00000000-0006-0000-1300-000003000000}">
      <text>
        <r>
          <rPr>
            <sz val="10"/>
            <color indexed="81"/>
            <rFont val="Arial"/>
            <family val="2"/>
          </rPr>
          <t>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B32" authorId="0" shapeId="0" xr:uid="{00000000-0006-0000-1400-000001000000}">
      <text>
        <r>
          <rPr>
            <sz val="10"/>
            <color indexed="81"/>
            <rFont val="Arial"/>
            <family val="2"/>
          </rPr>
          <t>Select the site-generated renewable energy source. Eligible biofuels (untreated wood waste, agricultural crops or waste, animal and organic waste, and landfill gas) must be located on or near the project site, and not transported to the site to qualify.</t>
        </r>
      </text>
    </comment>
    <comment ref="F32" authorId="0" shapeId="0" xr:uid="{00000000-0006-0000-1400-000002000000}">
      <text>
        <r>
          <rPr>
            <sz val="10"/>
            <color indexed="81"/>
            <rFont val="Arial"/>
            <family val="2"/>
          </rPr>
          <t>Enter the rated capacity of the renewable source including the units (e.g. for photovoltaics 10 kW). Include all relevant capacities (i.e for solar thermal, both the storage tank capacity and the solar thermal panel capacity)</t>
        </r>
      </text>
    </comment>
    <comment ref="J32" authorId="0" shapeId="0" xr:uid="{00000000-0006-0000-1400-000003000000}">
      <text>
        <r>
          <rPr>
            <sz val="10"/>
            <color indexed="81"/>
            <rFont val="Arial"/>
            <family val="2"/>
          </rPr>
          <t>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AL4" authorId="0" shapeId="0" xr:uid="{00000000-0006-0000-1700-000001000000}">
      <text>
        <r>
          <rPr>
            <sz val="10"/>
            <color indexed="81"/>
            <rFont val="Tahoma"/>
            <family val="2"/>
          </rPr>
          <t>This formula is different than the remaining formulas below for Core &amp; Shell projects.</t>
        </r>
      </text>
    </comment>
  </commentList>
</comments>
</file>

<file path=xl/sharedStrings.xml><?xml version="1.0" encoding="utf-8"?>
<sst xmlns="http://schemas.openxmlformats.org/spreadsheetml/2006/main" count="10577" uniqueCount="2350">
  <si>
    <t>Model Input Parameter</t>
  </si>
  <si>
    <t>Slab-On-Grade Floors</t>
  </si>
  <si>
    <t>Opaque Doors</t>
  </si>
  <si>
    <t>Description</t>
  </si>
  <si>
    <t>Roof Constructions</t>
  </si>
  <si>
    <t>Baseline Case</t>
  </si>
  <si>
    <t>Proposed Case</t>
  </si>
  <si>
    <t>Above-Grade Exterior Wall Constructions</t>
  </si>
  <si>
    <t>Below-Grade Exterior Wall Constructions</t>
  </si>
  <si>
    <t>Vertical Glazing</t>
  </si>
  <si>
    <t>Skylights</t>
  </si>
  <si>
    <t>SHGC</t>
  </si>
  <si>
    <t>VLT</t>
  </si>
  <si>
    <t>Vertical Glazing Area</t>
  </si>
  <si>
    <t>North</t>
  </si>
  <si>
    <t>East</t>
  </si>
  <si>
    <t>South</t>
  </si>
  <si>
    <t>West</t>
  </si>
  <si>
    <t>Total</t>
  </si>
  <si>
    <t>Orientation</t>
  </si>
  <si>
    <t>(%)</t>
  </si>
  <si>
    <t>Exposed Floor Constructions</t>
  </si>
  <si>
    <t>Space-Conditioning Category</t>
  </si>
  <si>
    <t>Additional notes:</t>
  </si>
  <si>
    <t>Nonresidential</t>
  </si>
  <si>
    <t>Yes</t>
  </si>
  <si>
    <t>Residential</t>
  </si>
  <si>
    <t>Skylight Area</t>
  </si>
  <si>
    <t>NFRC testing for site-assembled fenestration</t>
  </si>
  <si>
    <t>Table A8.2 (windows) and Table A8.1 (skylights)</t>
  </si>
  <si>
    <t>LBNL Window 5 or Window 6 calculations</t>
  </si>
  <si>
    <t>NFRC testing for manufactured fenestration assemblies</t>
  </si>
  <si>
    <t>Energy simulation includes separate frame and glazing</t>
  </si>
  <si>
    <t>Nonmetal framing (all)</t>
  </si>
  <si>
    <t>Metal framing (curtainwall/storefront)</t>
  </si>
  <si>
    <t>Metal framing (entrance door)</t>
  </si>
  <si>
    <t>Metal framing (all other)</t>
  </si>
  <si>
    <t>Skylight with Curb, Glass, 0%-2.0%</t>
  </si>
  <si>
    <t>Skylight with Curb, Glass, 2.1%-5.0%</t>
  </si>
  <si>
    <t>Skylight with Curb, Plastic, 0%-2.0%</t>
  </si>
  <si>
    <t>Skylight with Curb, Plastic, 2.1%-5.0%</t>
  </si>
  <si>
    <t>Skylight without Curb, All, 0%-2.0%</t>
  </si>
  <si>
    <t>Skylight without Curb, All, 2.1%-5.0%</t>
  </si>
  <si>
    <t>Climate Zone</t>
  </si>
  <si>
    <t>1A</t>
  </si>
  <si>
    <t>1B</t>
  </si>
  <si>
    <t>2A</t>
  </si>
  <si>
    <t>2B</t>
  </si>
  <si>
    <t>3A</t>
  </si>
  <si>
    <t>3B</t>
  </si>
  <si>
    <t>3C</t>
  </si>
  <si>
    <t>4A</t>
  </si>
  <si>
    <t>4B</t>
  </si>
  <si>
    <t>4C</t>
  </si>
  <si>
    <t>5A</t>
  </si>
  <si>
    <t>5B</t>
  </si>
  <si>
    <t>5C</t>
  </si>
  <si>
    <t>6A</t>
  </si>
  <si>
    <t>6B</t>
  </si>
  <si>
    <t>Semiheated</t>
  </si>
  <si>
    <t>Automotive facility</t>
  </si>
  <si>
    <t>Convention center</t>
  </si>
  <si>
    <t>Courthouse</t>
  </si>
  <si>
    <t>Dining: bar lounge/leisure</t>
  </si>
  <si>
    <t>Dining: cafeteria/fast food</t>
  </si>
  <si>
    <t>Dining: family</t>
  </si>
  <si>
    <t>Dormitory</t>
  </si>
  <si>
    <t>Exercise center</t>
  </si>
  <si>
    <t>Gymnasium</t>
  </si>
  <si>
    <t>Health-care clinic</t>
  </si>
  <si>
    <t>Hospital</t>
  </si>
  <si>
    <t>Hotel</t>
  </si>
  <si>
    <t>Library</t>
  </si>
  <si>
    <t>Manufacturing facility</t>
  </si>
  <si>
    <t>Motel</t>
  </si>
  <si>
    <t>Motion picture theater</t>
  </si>
  <si>
    <t>Multifamily</t>
  </si>
  <si>
    <t>Museum</t>
  </si>
  <si>
    <t>Office</t>
  </si>
  <si>
    <t>Parking garage</t>
  </si>
  <si>
    <t>Penitentiary</t>
  </si>
  <si>
    <t>Performing arts theater</t>
  </si>
  <si>
    <t>Post office</t>
  </si>
  <si>
    <t>Religious building</t>
  </si>
  <si>
    <t>Retail</t>
  </si>
  <si>
    <t>School/university</t>
  </si>
  <si>
    <t>Sports arena</t>
  </si>
  <si>
    <t>Town hall</t>
  </si>
  <si>
    <t>Transportation</t>
  </si>
  <si>
    <t>Warehouse</t>
  </si>
  <si>
    <t>Workshop</t>
  </si>
  <si>
    <t>Restrooms</t>
  </si>
  <si>
    <t>Building Area Method Categories</t>
  </si>
  <si>
    <t>Space by Space Categories</t>
  </si>
  <si>
    <t>Daylighting Controls</t>
  </si>
  <si>
    <t>Table 9.6.1 Space Type</t>
  </si>
  <si>
    <t>Categorization Procedure</t>
  </si>
  <si>
    <t>Walkways less than 10 ft wide</t>
  </si>
  <si>
    <t>Walkways 10 ft wide or greater</t>
  </si>
  <si>
    <t>Plaza areas</t>
  </si>
  <si>
    <t>Special feature areas</t>
  </si>
  <si>
    <t>Stairways</t>
  </si>
  <si>
    <t>Main entries</t>
  </si>
  <si>
    <t>Other doors</t>
  </si>
  <si>
    <t>Street frontage for vehicle sales lots</t>
  </si>
  <si>
    <t>Building facades</t>
  </si>
  <si>
    <t>Entrances and gatehouse inspection stations at guarded facilities</t>
  </si>
  <si>
    <t>Loading areas for law enforcement, fire, ambulance, and other emergency service vehicles</t>
  </si>
  <si>
    <t>Drive-through windows at fast food restaurants</t>
  </si>
  <si>
    <t>Parking near 24-hour retail entrances</t>
  </si>
  <si>
    <t>Area</t>
  </si>
  <si>
    <t>Length</t>
  </si>
  <si>
    <t>Required Input (Area or Length)</t>
  </si>
  <si>
    <t>Tradable Surfaces</t>
  </si>
  <si>
    <t>Nontradable Surfaces</t>
  </si>
  <si>
    <t>Required Input</t>
  </si>
  <si>
    <t>Uncovered Area</t>
  </si>
  <si>
    <t>Number of ATMs</t>
  </si>
  <si>
    <t>Quantity of Required Input for Project</t>
  </si>
  <si>
    <t>Drive-throughs</t>
  </si>
  <si>
    <t>Main Entries</t>
  </si>
  <si>
    <t>Input Parameter</t>
  </si>
  <si>
    <t>Table 9.4.5 Tradable Exterior Lighting Application</t>
  </si>
  <si>
    <t>Table 9.4.5 Nontradable Exterior Lighting Application</t>
  </si>
  <si>
    <t>Equipment Included in Power Density</t>
  </si>
  <si>
    <t>Modeled Identically In Baseline?</t>
  </si>
  <si>
    <t>ATMs and night depositories</t>
  </si>
  <si>
    <t>Receptacle Equipment Modeling Method</t>
  </si>
  <si>
    <t>Building Type</t>
  </si>
  <si>
    <t>Building Average Equipment Power Density</t>
  </si>
  <si>
    <t>Space by Space Equipment Power Densities</t>
  </si>
  <si>
    <t>Modeling Parameters</t>
  </si>
  <si>
    <t>Service Water Heaters</t>
  </si>
  <si>
    <t>Fixture Type</t>
  </si>
  <si>
    <t>Section 9.2.2.3 Exemption</t>
  </si>
  <si>
    <t>Allowed LPD</t>
  </si>
  <si>
    <t>System 1 - PTAC</t>
  </si>
  <si>
    <t>System 2 - PTHP</t>
  </si>
  <si>
    <t>System 3 - PSZ-AC</t>
  </si>
  <si>
    <t>System 4 - PSZ-HP</t>
  </si>
  <si>
    <t>System 5 - Packaged VAV with Reheat</t>
  </si>
  <si>
    <t>System 6 - Packaged VAV with PFP Boxes</t>
  </si>
  <si>
    <t>System 7 - VAV with Reheat</t>
  </si>
  <si>
    <t>System 8 - VAV with PFP Boxes</t>
  </si>
  <si>
    <t>System 9 - Heating and Ventilation</t>
  </si>
  <si>
    <t>System 10 - Heating and Ventilation</t>
  </si>
  <si>
    <t>Spaces Modeled</t>
  </si>
  <si>
    <t>Totals</t>
  </si>
  <si>
    <t>G3.1.1 Exception 
(or Semiconditioned Capacity and Area)</t>
  </si>
  <si>
    <t>Table G3.1.1A System Type 
(or Semiconditioned System Description)</t>
  </si>
  <si>
    <t>System Description</t>
  </si>
  <si>
    <t>Other (Describe)</t>
  </si>
  <si>
    <t>Proposed HVAC System Type(s)</t>
  </si>
  <si>
    <t>Baseline HVAC System Type(s)</t>
  </si>
  <si>
    <t>Efficiency (EF, SL, %, etc.)</t>
  </si>
  <si>
    <t>Condenser heat recovery</t>
  </si>
  <si>
    <t>HVAC Modeling Requirements</t>
  </si>
  <si>
    <t>Describe the California Title-24 Baseline System Type</t>
  </si>
  <si>
    <t>District Cooling</t>
  </si>
  <si>
    <t>District Heating</t>
  </si>
  <si>
    <t>System 3 (District Cooling) - 2-pipe CV AHU with Fossil Fuel Furnace</t>
  </si>
  <si>
    <t>System 4 (District Cooling) - 2-pipe CV AHU with Fossil Fuel Furnace</t>
  </si>
  <si>
    <t>System 5 (District Cooling) - Change to System 7 - VAV with Reheat</t>
  </si>
  <si>
    <t>System 6 (District Cooling) - Change to System 8 - VAV with PFP Boxes</t>
  </si>
  <si>
    <t>System 7 (District Cooling) - VAV with Reheat</t>
  </si>
  <si>
    <t>System 1 (District Heating) - PTAC</t>
  </si>
  <si>
    <t>System 3 (District Heating) - PSZ-AC with District Heating</t>
  </si>
  <si>
    <t>System 5 (District Heating) - Packaged VAV with Reheat</t>
  </si>
  <si>
    <t>System 7 (District Heating) - VAV with Reheat</t>
  </si>
  <si>
    <t>System 9 (District Heating) - Heating and Ventilation</t>
  </si>
  <si>
    <t>System 3 (District Heating &amp; Cooling) - 4-pipe CV AHU</t>
  </si>
  <si>
    <t>System 5 (District Heating &amp; Cooling) - Change to System 7 - VAV with Reheat</t>
  </si>
  <si>
    <t>Chilled Water</t>
  </si>
  <si>
    <t>Units</t>
  </si>
  <si>
    <t>#</t>
  </si>
  <si>
    <t>CW ΔT</t>
  </si>
  <si>
    <t>HHW ΔT</t>
  </si>
  <si>
    <t>Opaque Building Envelope Requirements</t>
  </si>
  <si>
    <t>For existing spaces, have there been any changes to the space conditioning category (for example, previously unconditioned spaces becoming fully conditioned)?</t>
  </si>
  <si>
    <t>Opaque Building Envelope Constructions</t>
  </si>
  <si>
    <t>Interior Lighting Requirements</t>
  </si>
  <si>
    <t>Exterior Lighting Requirements</t>
  </si>
  <si>
    <t>U-0.063</t>
  </si>
  <si>
    <t>U-0.048</t>
  </si>
  <si>
    <t>U-0.218</t>
  </si>
  <si>
    <t>U-0.124</t>
  </si>
  <si>
    <t>U-0.352</t>
  </si>
  <si>
    <t>U-0.350</t>
  </si>
  <si>
    <t>F-0.730</t>
  </si>
  <si>
    <t>U-0.700</t>
  </si>
  <si>
    <t>U-1.450</t>
  </si>
  <si>
    <t>U-0.064</t>
  </si>
  <si>
    <t>U-0.052</t>
  </si>
  <si>
    <t>U-0.069</t>
  </si>
  <si>
    <t>U-0.500</t>
  </si>
  <si>
    <t>U-0.173</t>
  </si>
  <si>
    <t>U-0.084</t>
  </si>
  <si>
    <t>C-1.140</t>
  </si>
  <si>
    <t>C-0.119</t>
  </si>
  <si>
    <t>U-0.038</t>
  </si>
  <si>
    <t>F-0.540</t>
  </si>
  <si>
    <t>U-1.500</t>
  </si>
  <si>
    <t>U-0.119</t>
  </si>
  <si>
    <t>U- 0.052</t>
  </si>
  <si>
    <t>U-0.093</t>
  </si>
  <si>
    <t>U-0.032</t>
  </si>
  <si>
    <t>F-0.520</t>
  </si>
  <si>
    <t>U-0.042</t>
  </si>
  <si>
    <t>C-0.092</t>
  </si>
  <si>
    <t>U-0.037</t>
  </si>
  <si>
    <t>C-0.075</t>
  </si>
  <si>
    <t>F-0.510</t>
  </si>
  <si>
    <t>steel-joist with no insulation with a U-factor of 0.350</t>
  </si>
  <si>
    <t>steel-joist with R-19 insulation with a U-factor of 0.052</t>
  </si>
  <si>
    <t>steel-joist with R-13 insulation with a U-factor of 0.069</t>
  </si>
  <si>
    <t>steel-joist with R-30 insulation with a U-factor of 0.038</t>
  </si>
  <si>
    <t>steel-joist with R-38 insulation with a U-factor of 0.032</t>
  </si>
  <si>
    <t>6" concrete slabs with no insulation with an F-factor of 0.730</t>
  </si>
  <si>
    <t>6" concrete slabs with R-10 insulation for 24 in. with an F-factor of 0.540</t>
  </si>
  <si>
    <t>6" concrete slabs with R-15 insulation for 24 in. with an F-factor of 0.520</t>
  </si>
  <si>
    <t>6" concrete slabs with R-20 insulation for 24 in. with an F-factor of 0.510</t>
  </si>
  <si>
    <t>U-factor of 0.700</t>
  </si>
  <si>
    <t>U-factor of 1.450</t>
  </si>
  <si>
    <t>U-factor of 0.500</t>
  </si>
  <si>
    <t>R-15 insulation entirely above deck with a U-factor of 0.063</t>
  </si>
  <si>
    <t>R-20 insulation entirely above deck with a U-factor of 0.048</t>
  </si>
  <si>
    <t>R-3.8 insulation entirely above deck with a U-factor of 0.218</t>
  </si>
  <si>
    <t>R-5.0 insulation entirely above deck with a U-factor of 0.173</t>
  </si>
  <si>
    <t>R-7.6 insulation entirely above deck with a U-factor of 0.119</t>
  </si>
  <si>
    <t>R-10.0 insulation entirely above deck with a U-factor of 0.093</t>
  </si>
  <si>
    <t>R-15.0 insulation entirely above deck with a U-factor of 0.063</t>
  </si>
  <si>
    <t>steel-framed with R-13 cavity insulation with a U-factor of 0.124</t>
  </si>
  <si>
    <t>steel-framed with no insulation with a U-factor of 0.352</t>
  </si>
  <si>
    <t>steel-framed with R-13 cavity and R-7.5 continuous insulation with a U-factor of 0.064</t>
  </si>
  <si>
    <t>steel-framed with R-13 cavity and R-3.8 continuous insulation with a U-factor of 0.084</t>
  </si>
  <si>
    <t>steel-framed with R-13 cavity and R-15.6 continuous insulation with a U-factor of 0.042</t>
  </si>
  <si>
    <t>steel-framed with R-13 cavity and R-18.8 continuous insulation with a U-factor of 0.037</t>
  </si>
  <si>
    <t>8" medium weight concrete block with solid grouted cores and no insulation with a C-factor of 1.140</t>
  </si>
  <si>
    <t>8" medium weight concrete block with solid grouted cores and R-7.5 insulation with a C-factor of 0.119</t>
  </si>
  <si>
    <t>8" medium weight concrete block with solid grouted cores and R-10.0 insulation with a C-factor of 0.092</t>
  </si>
  <si>
    <t>8" medium weight concrete block with solid grouted cores and R-12.5 insulation with a C-factor of 0.075</t>
  </si>
  <si>
    <t>Interior Process Lighting (if applicable)</t>
  </si>
  <si>
    <t>All receptacle equipment and other process equipment designed or anticipated for the building have been accounted for in the energy models.</t>
  </si>
  <si>
    <t>kW</t>
  </si>
  <si>
    <t>Kilowatt</t>
  </si>
  <si>
    <t>Btuh</t>
  </si>
  <si>
    <t>British thermal unit per hour</t>
  </si>
  <si>
    <t>(British thermal unit per hour) x 1,000</t>
  </si>
  <si>
    <t>tons</t>
  </si>
  <si>
    <t>Fully ducted return and/or exhaust air systems</t>
  </si>
  <si>
    <t>Return and/or exhaust airflow control devices</t>
  </si>
  <si>
    <t>Carbon and other gas-phase air cleaners</t>
  </si>
  <si>
    <t>Evaporative humidifier/cooler in series with another cooling coil</t>
  </si>
  <si>
    <t>Min. Nominal Full-load Efficiency*</t>
  </si>
  <si>
    <t>Next Motor Size Up HP</t>
  </si>
  <si>
    <t>Quantity of CHP generators</t>
  </si>
  <si>
    <t>Total capacity of CHP generators (kW) at design conditions</t>
  </si>
  <si>
    <t>W/gpm</t>
  </si>
  <si>
    <t>7A</t>
  </si>
  <si>
    <t>7B</t>
  </si>
  <si>
    <t>Geoexchange loop design fluid supply temperature - cooling</t>
  </si>
  <si>
    <t>Geoexchange loop design fluid supply temperature -heating</t>
  </si>
  <si>
    <t>Geothermal source design temperature - summer</t>
  </si>
  <si>
    <t>Geothermal source design temperature - winter</t>
  </si>
  <si>
    <t>Geothermal energy transfer effect</t>
  </si>
  <si>
    <t>Geoexchange loop - operating temperature</t>
  </si>
  <si>
    <t>Geothermal Loop</t>
  </si>
  <si>
    <t>Proposed HVAC Requirements</t>
  </si>
  <si>
    <t>Baseline Air-Side HVAC Requirements</t>
  </si>
  <si>
    <t>Baseline Water-Side HVAC Requirements</t>
  </si>
  <si>
    <t>Fire Station</t>
  </si>
  <si>
    <t>Police station</t>
  </si>
  <si>
    <t>Laboratory - classroom</t>
  </si>
  <si>
    <t>Laboratory - medical/industrial/research</t>
  </si>
  <si>
    <t>Office - enclosed</t>
  </si>
  <si>
    <t>Office - open plan</t>
  </si>
  <si>
    <t>Stairway</t>
  </si>
  <si>
    <t>Storage</t>
  </si>
  <si>
    <t>Automotive - service/repair</t>
  </si>
  <si>
    <t>If not all the process equipment has been accounted for in the energy model, indicated as "No" above, the project does not likely comply with LEED modeling requirements. It is recommended that the project team pursue a "Credit Interpretation Ruling" to justify the modeling approach. Please also provide any further information below to justify the modeling approach used.</t>
  </si>
  <si>
    <t>Fenestration</t>
  </si>
  <si>
    <t>Interior Lighting</t>
  </si>
  <si>
    <t>Exterior Lighting</t>
  </si>
  <si>
    <t>Service Water Heating</t>
  </si>
  <si>
    <t>General HVAC</t>
  </si>
  <si>
    <t>Water-Side HVAC System Schedule</t>
  </si>
  <si>
    <t>Table 9.4.3A Exterior Lighting Zone</t>
  </si>
  <si>
    <t>Zone Description</t>
  </si>
  <si>
    <t>Zone 1</t>
  </si>
  <si>
    <t>Zone 2</t>
  </si>
  <si>
    <t>Zone 3</t>
  </si>
  <si>
    <t>Zone 4</t>
  </si>
  <si>
    <t>Developed areas of national parks, state parks, forest land, and rural areas</t>
  </si>
  <si>
    <t>All other areas</t>
  </si>
  <si>
    <t>High activity commercial districts in major metropolitan areas as designated by the local jurisdiction</t>
  </si>
  <si>
    <t>Areas predominantly consisting of residential zoning, neighborhood business districts, light industrial with limited nighttime use and residential mixed use areas</t>
  </si>
  <si>
    <t>Lighting Zone</t>
  </si>
  <si>
    <t>Zone 0</t>
  </si>
  <si>
    <t>Undeveloped areas within national parks, state parks, forest land, rural areas, and other undeveloped areas as defined by the authority having jurisdiction</t>
  </si>
  <si>
    <t>Step 1.</t>
  </si>
  <si>
    <t>Step 2.</t>
  </si>
  <si>
    <t>Lighting</t>
  </si>
  <si>
    <t>Step 3.</t>
  </si>
  <si>
    <t>New or 
Existing
Construction</t>
  </si>
  <si>
    <t>For each item entered as “No” above, describe the applicable ASHRAE 90.1 Appendix G exception(s) that apply, or the circumstances preventing the opaque envelope parameters from being modeled as required. If the energy simulation software is not capable of modeling the required parameters, describe the adjustments that were made to provide a thermodynamically similar representation or provide a narrative justifying why the predicted energy performance results will not be influenced.</t>
  </si>
  <si>
    <t>General Information</t>
  </si>
  <si>
    <t>New or 
Existing Construction</t>
  </si>
  <si>
    <t>Assembly 
U-factor</t>
  </si>
  <si>
    <t>UfactorMethod</t>
  </si>
  <si>
    <t>For each item entered as “No” above, describe the applicable ASHRAE 90.1 Appendix G exception(s) that apply, or the circumstances preventing the lighting parameters from being modeled as required. If the energy simulation software is not capable of modeling the required parameters, describe the adjustments that were made to provide a similar representation or provide a narrative justifying why the predicted energy performance results will not be influenced.</t>
  </si>
  <si>
    <t>Automatic Lighting 
Controls and Space Types</t>
  </si>
  <si>
    <t>Table G3.2 Power 
Adjustment</t>
  </si>
  <si>
    <r>
      <rPr>
        <b/>
        <sz val="10"/>
        <color theme="1"/>
        <rFont val="Arial"/>
        <family val="2"/>
      </rPr>
      <t>Instructions:</t>
    </r>
    <r>
      <rPr>
        <sz val="10"/>
        <color theme="1"/>
        <rFont val="Arial"/>
        <family val="2"/>
      </rPr>
      <t xml:space="preserve"> Select the applicable exterior lighting categories and then complete the corresponding lighting table(s). An example of the expected level of detail has been provided for each input. Please refer to the column header notes for information about Appendix G modeling protocol. For any information not applicable to the project, simply enter "N/A".</t>
    </r>
  </si>
  <si>
    <t>Base Allowance 
(W)</t>
  </si>
  <si>
    <t>Total Process Lighting Power (W)</t>
  </si>
  <si>
    <t>Total tradable surface lighting allowance</t>
  </si>
  <si>
    <t>Lighting Power Allowance 
(W)</t>
  </si>
  <si>
    <t>Design Lighting Power 
(W)</t>
  </si>
  <si>
    <t>Parking areas and drives</t>
  </si>
  <si>
    <t>270 W + 90 W per additional</t>
  </si>
  <si>
    <t>Total nontradable surface lighting allowance</t>
  </si>
  <si>
    <t>Summary</t>
  </si>
  <si>
    <t>Baseline Modeled Identically</t>
  </si>
  <si>
    <t>Total power modeled using building average method (kW)</t>
  </si>
  <si>
    <t>Note: Any credit for improved receptacle equipment must be submitted using the Exceptional Calculation Method.</t>
  </si>
  <si>
    <t>Total power modeled using space by space method (kW)</t>
  </si>
  <si>
    <t xml:space="preserve">Equipment Type </t>
  </si>
  <si>
    <t>Energy 
Source</t>
  </si>
  <si>
    <t>Indicate whether the receptacle equipment was modeled using an average equipment power density for the building, equipment power densities by space type, or by entering the power associated with specific devices in each space.  (select all that apply)</t>
  </si>
  <si>
    <t>Percent
Hot Water
(%)</t>
  </si>
  <si>
    <t>Note: Any credit for improved service hot water pumps must be submitted using the Exceptional Calculation Method.</t>
  </si>
  <si>
    <t>The district energy system includes (select all that apply)</t>
  </si>
  <si>
    <t>General HVAC drop-down</t>
  </si>
  <si>
    <t>All equipment in the unfinished spaces not included in the project scope of work has been modeled identically in the Baseline and Proposed case using the Baseline modeling requirements</t>
  </si>
  <si>
    <t>Credit has been modeled in the Proposed case for energy efficiency measures that are specifically identified in signed tenant sales and lease agreements (LEED Core &amp; Shell only.  New Construction must be modeled identically in the Baseline and Proposed Case).</t>
  </si>
  <si>
    <t>If using the DES Path 2 or 3 and the Modeling Method, describe how the average efficiency was determined. Include information about how the thermal distribution losses and distribution pump energy was accounted for. If using the modeling method, upload summary simulation files or spreadsheet calculations as supporting documentation.</t>
  </si>
  <si>
    <t>For DES Paths 2 or 3, identify the method for evaluating the district plant average efficiency.</t>
  </si>
  <si>
    <t>n/a</t>
  </si>
  <si>
    <t>Exhaust filters, scrubbers, or other exhaust treatment</t>
  </si>
  <si>
    <t>Biosafety cabinet</t>
  </si>
  <si>
    <t>Energy recovery device, other than coil runaround loop</t>
  </si>
  <si>
    <t>Coil runaround loop</t>
  </si>
  <si>
    <t xml:space="preserve">Exhaust system serving fume hoods </t>
  </si>
  <si>
    <t>Laboratory and vivarium exhaust systems in high-rise buildings</t>
  </si>
  <si>
    <t>Fan Power</t>
  </si>
  <si>
    <t>* Table 6.8.1 Unitary Cooling (Systems 1 through 6)</t>
  </si>
  <si>
    <t>* Table 6.8.1 Unitary Heating (Systems 2, 3, 4, and 9)</t>
  </si>
  <si>
    <t>Baseline</t>
  </si>
  <si>
    <t>Proposed</t>
  </si>
  <si>
    <t>Air-Side HVAC System Schedule</t>
  </si>
  <si>
    <r>
      <t xml:space="preserve">CHW </t>
    </r>
    <r>
      <rPr>
        <sz val="10"/>
        <color indexed="8"/>
        <rFont val="Arial"/>
        <family val="2"/>
      </rPr>
      <t>ΔT</t>
    </r>
  </si>
  <si>
    <t>Cooling Tower and Condenser Water</t>
  </si>
  <si>
    <t>Hot Water or Steam</t>
  </si>
  <si>
    <t>Combined Heat and Power (CHP)</t>
  </si>
  <si>
    <t>Other</t>
  </si>
  <si>
    <t>Full DES (Path 2)</t>
  </si>
  <si>
    <t>Streamlined DES (Path 3)</t>
  </si>
  <si>
    <t>ASHRAE 90.1-2010 (Path 1)</t>
  </si>
  <si>
    <t>California Title-24 (Path 4)</t>
  </si>
  <si>
    <t>California Title-24 Baseline default efficiencies (Path 4)</t>
  </si>
  <si>
    <t>Type of geothermal system</t>
  </si>
  <si>
    <t>Soil conductivity (if applicable)</t>
  </si>
  <si>
    <t>Geothermal loop pumping configuration</t>
  </si>
  <si>
    <t>Number of geothermal loop pumps</t>
  </si>
  <si>
    <t>Geothermal loop pump control</t>
  </si>
  <si>
    <t xml:space="preserve">Geothermal pump power </t>
  </si>
  <si>
    <t>Geothermal loop flow</t>
  </si>
  <si>
    <t>Geothermal air-side efficiency curves</t>
  </si>
  <si>
    <t>Number and type of boilers</t>
  </si>
  <si>
    <t>Purchased heating rate (cost per unit energy)</t>
  </si>
  <si>
    <t>Total boiler capacity</t>
  </si>
  <si>
    <t>Boiler efficiency</t>
  </si>
  <si>
    <t>Hot water or steam (HHW) supply temp</t>
  </si>
  <si>
    <t>HHW temp reset parameters</t>
  </si>
  <si>
    <t>HHW loop configuration</t>
  </si>
  <si>
    <t>Thermal efficiency (%) at design conditions</t>
  </si>
  <si>
    <t>Electrical efficiency (%) at design conditions</t>
  </si>
  <si>
    <t>Controls or schedule</t>
  </si>
  <si>
    <t>Fuel Source</t>
  </si>
  <si>
    <t>Where is the recovered heat used? (e.g. gas absorption chillers, hot water distribution loop, etc.)</t>
  </si>
  <si>
    <t>Backup heat source when waste heat from CHP is unavailable? (e.g. fossil fuel boilers)</t>
  </si>
  <si>
    <t>Parasitic losses (e.g. air handling unit to cool the intake air)</t>
  </si>
  <si>
    <t>Type of generator</t>
  </si>
  <si>
    <t>CW pump control</t>
  </si>
  <si>
    <t>CW pump flow</t>
  </si>
  <si>
    <t>CW pump power</t>
  </si>
  <si>
    <t>Number of CW pumps</t>
  </si>
  <si>
    <t>CW loop temp reset parameters</t>
  </si>
  <si>
    <t>Condenser water (CW) leaving temp</t>
  </si>
  <si>
    <t>Cooling tower fan control</t>
  </si>
  <si>
    <t>Cooling tower fan power</t>
  </si>
  <si>
    <t>Number of cooling towers or fluid coolers</t>
  </si>
  <si>
    <t>Water-side energy recovery</t>
  </si>
  <si>
    <t xml:space="preserve">Water-side economizer </t>
  </si>
  <si>
    <t>CHW loop configuration</t>
  </si>
  <si>
    <t>CHW supply temp reset parameters</t>
  </si>
  <si>
    <t>Chilled water (CHW) supply temp</t>
  </si>
  <si>
    <t>Chiller efficiency - part load</t>
  </si>
  <si>
    <t>Chiller efficiency - full load</t>
  </si>
  <si>
    <t>Total chiller capacity</t>
  </si>
  <si>
    <t>Purchased chilled water rate (cost per unit energy)</t>
  </si>
  <si>
    <r>
      <t xml:space="preserve">Number and type of chillers </t>
    </r>
    <r>
      <rPr>
        <sz val="10"/>
        <color indexed="8"/>
        <rFont val="Arial"/>
        <family val="2"/>
      </rPr>
      <t>(and capacity per chiller if more than one type or size of chiller)</t>
    </r>
  </si>
  <si>
    <t xml:space="preserve">Total cooling capacity </t>
  </si>
  <si>
    <t>Table 6.8.1 unitary cooling capacity range</t>
  </si>
  <si>
    <t xml:space="preserve">Unitary cooling efficiency </t>
  </si>
  <si>
    <t xml:space="preserve">Unitary cooling part-load efficiency (if applicable) </t>
  </si>
  <si>
    <t xml:space="preserve">Total heating capacity </t>
  </si>
  <si>
    <t>Table 6.8.1 unitary heating capacity range</t>
  </si>
  <si>
    <t xml:space="preserve">Unitary heating efficiency </t>
  </si>
  <si>
    <t>* Fan control</t>
  </si>
  <si>
    <t xml:space="preserve">Supply airflow </t>
  </si>
  <si>
    <t>Outdoor airflow</t>
  </si>
  <si>
    <t>Demand control ventilation</t>
  </si>
  <si>
    <t>* Supply air temperature reset</t>
  </si>
  <si>
    <t>Exhaust air energy recovery effectiveness or 6.5.6.1 exception claimed</t>
  </si>
  <si>
    <t>Supply fan power</t>
  </si>
  <si>
    <t xml:space="preserve">Return or relief fan power </t>
  </si>
  <si>
    <t>Exhaust fan power</t>
  </si>
  <si>
    <t>System fan power</t>
  </si>
  <si>
    <t>Allowed fan power</t>
  </si>
  <si>
    <t>Particulate filtration credit: MERV 9 through 12</t>
  </si>
  <si>
    <t>Particulate filtration credit: MERV 13 through 15</t>
  </si>
  <si>
    <t>Particulate filtration credit: MERV 16 and greater and electronically enhanced filters</t>
  </si>
  <si>
    <t>Sound attenuation section</t>
  </si>
  <si>
    <t>System type and fuel</t>
  </si>
  <si>
    <t>Number of pumps</t>
  </si>
  <si>
    <t>Type of pump</t>
  </si>
  <si>
    <t>Refrigeration equipment</t>
  </si>
  <si>
    <t>Roof and skylight area</t>
  </si>
  <si>
    <t>Number of similar systems</t>
  </si>
  <si>
    <t>System designation(s)</t>
  </si>
  <si>
    <t>* System type</t>
  </si>
  <si>
    <t>Other (describe)</t>
  </si>
  <si>
    <t>All spaces qualifying as semiheated are not defined as heated per Table 3.1 or indirectly conditioned (see Section 3.2 definition of space).</t>
  </si>
  <si>
    <t>New</t>
  </si>
  <si>
    <t>This table is only required to be completed if Tradable Exterior Lighting is selected above.</t>
  </si>
  <si>
    <t>This table is only required to be completed if Nontradable Exterior Lighting is selected above.</t>
  </si>
  <si>
    <t>Existing</t>
  </si>
  <si>
    <t>Unconditioned</t>
  </si>
  <si>
    <t>Issue</t>
  </si>
  <si>
    <t>Project Team Response</t>
  </si>
  <si>
    <t>Compliance</t>
  </si>
  <si>
    <t>Number of hours cooling loads not met</t>
  </si>
  <si>
    <t>Number of hours heating loads not met</t>
  </si>
  <si>
    <t>Energy Type</t>
  </si>
  <si>
    <t>Total:</t>
  </si>
  <si>
    <t>Cost</t>
  </si>
  <si>
    <t>Site Energy Use</t>
  </si>
  <si>
    <t>Percent Savings</t>
  </si>
  <si>
    <t>Cost Savings</t>
  </si>
  <si>
    <t xml:space="preserve">Site Energy Use Savings </t>
  </si>
  <si>
    <t>Percent Cost Savings</t>
  </si>
  <si>
    <t>On-Site Renewable Savings</t>
  </si>
  <si>
    <t xml:space="preserve">District Cooling </t>
  </si>
  <si>
    <t>Proposed Building Energy Consumption 
with Exceptional Calculation Methods</t>
  </si>
  <si>
    <t>Percent Variance</t>
  </si>
  <si>
    <t>Unregulated?</t>
  </si>
  <si>
    <t>End Use</t>
  </si>
  <si>
    <t>Complete the table below, providing information on energy consumption and demand by end-use. If an end-use has two energy types (e.g. proposed case space heating includes both fossil fuel and electric), enter the end-use twice in the table, and list the two different energy types.</t>
  </si>
  <si>
    <t>Baseline Design Total</t>
  </si>
  <si>
    <t>Baseline 270° rotation</t>
  </si>
  <si>
    <t>Baseline 180° rotation</t>
  </si>
  <si>
    <t>Baseline 90° rotation</t>
  </si>
  <si>
    <t>Baseline 0° rotation</t>
  </si>
  <si>
    <t>Electricity</t>
  </si>
  <si>
    <t>x</t>
  </si>
  <si>
    <t>Elevators and escalators</t>
  </si>
  <si>
    <t>Industrial Process</t>
  </si>
  <si>
    <t>Cooking</t>
  </si>
  <si>
    <t>Fans - Kitchen Ventilation</t>
  </si>
  <si>
    <t>Interior lighting - process</t>
  </si>
  <si>
    <t>IT equipment</t>
  </si>
  <si>
    <t>Receptacle equipment</t>
  </si>
  <si>
    <t>Service water heating</t>
  </si>
  <si>
    <t>Fans - parking garage</t>
  </si>
  <si>
    <t>Fans - interior ventilation</t>
  </si>
  <si>
    <t>Heat rejection</t>
  </si>
  <si>
    <t>Pumps</t>
  </si>
  <si>
    <t>Natural Gas</t>
  </si>
  <si>
    <t>Space cooling</t>
  </si>
  <si>
    <t>Space heating</t>
  </si>
  <si>
    <t>Exterior lighting</t>
  </si>
  <si>
    <t>Interior lighting</t>
  </si>
  <si>
    <t>Baseline Design Total
 (Average of 4 rotations)</t>
  </si>
  <si>
    <t>Add to Baseline?
Subtract from Proposed?</t>
  </si>
  <si>
    <t>Energy Type(s)</t>
  </si>
  <si>
    <t>Annual Site Energy Generated</t>
  </si>
  <si>
    <t>Renewable Source</t>
  </si>
  <si>
    <t>kWh</t>
  </si>
  <si>
    <t>Btu x 10^6</t>
  </si>
  <si>
    <t>therm</t>
  </si>
  <si>
    <t>Utility Rate Structure</t>
  </si>
  <si>
    <t>Utility Rate Name</t>
  </si>
  <si>
    <t>Demand Units</t>
  </si>
  <si>
    <t>Energy Consumption Units</t>
  </si>
  <si>
    <r>
      <rPr>
        <b/>
        <sz val="10"/>
        <rFont val="Arial"/>
        <family val="2"/>
      </rPr>
      <t xml:space="preserve">Compliant energy simulation software. </t>
    </r>
    <r>
      <rPr>
        <sz val="10"/>
        <rFont val="Arial"/>
        <family val="2"/>
      </rPr>
      <t>The energy simulation software used for this project has all capabilities described in EITHER section "G2 Simulation General Requirements" in Appendix G of ASHRAE 90.1-2010 OR the analogous section of the alternative qualifying energy code used.</t>
    </r>
  </si>
  <si>
    <t>Simulation program</t>
  </si>
  <si>
    <t>Energy code used</t>
  </si>
  <si>
    <t xml:space="preserve">Simulation weather file </t>
  </si>
  <si>
    <t>Trace</t>
  </si>
  <si>
    <t>IES</t>
  </si>
  <si>
    <t>HAP</t>
  </si>
  <si>
    <t>eQuest</t>
  </si>
  <si>
    <t>EnergyPro</t>
  </si>
  <si>
    <t>EnergyPlus</t>
  </si>
  <si>
    <t>Other approved code</t>
  </si>
  <si>
    <t>California Title-24 2013, Part 6</t>
  </si>
  <si>
    <t>ASHRAE 90.1 2010 Appendix G</t>
  </si>
  <si>
    <r>
      <t>(ft</t>
    </r>
    <r>
      <rPr>
        <b/>
        <vertAlign val="superscript"/>
        <sz val="10"/>
        <color indexed="9"/>
        <rFont val="Calibri"/>
        <family val="2"/>
      </rPr>
      <t>2</t>
    </r>
    <r>
      <rPr>
        <b/>
        <sz val="10"/>
        <color indexed="9"/>
        <rFont val="Calibri"/>
        <family val="2"/>
      </rPr>
      <t>)</t>
    </r>
  </si>
  <si>
    <r>
      <t>Roof Area (ft</t>
    </r>
    <r>
      <rPr>
        <b/>
        <vertAlign val="superscript"/>
        <sz val="10"/>
        <color indexed="9"/>
        <rFont val="Calibri"/>
        <family val="2"/>
      </rPr>
      <t>2</t>
    </r>
    <r>
      <rPr>
        <b/>
        <sz val="10"/>
        <color indexed="9"/>
        <rFont val="Calibri"/>
        <family val="2"/>
      </rPr>
      <t>)</t>
    </r>
  </si>
  <si>
    <t>Roof &amp; Skylight Area</t>
  </si>
  <si>
    <r>
      <t>Above-Grade Wall Area (ft</t>
    </r>
    <r>
      <rPr>
        <b/>
        <vertAlign val="superscript"/>
        <sz val="10"/>
        <color indexed="9"/>
        <rFont val="Calibri"/>
        <family val="2"/>
      </rPr>
      <t>2</t>
    </r>
    <r>
      <rPr>
        <b/>
        <sz val="10"/>
        <color indexed="9"/>
        <rFont val="Calibri"/>
        <family val="2"/>
      </rPr>
      <t>)</t>
    </r>
  </si>
  <si>
    <t>Above-Grade Wall &amp; Vertical Glazing Area by Orientation</t>
  </si>
  <si>
    <t>The Baseline building is modeled with the same shape and orientation as the Proposed building, and for new construction rotated 90°, 180°, and 270°</t>
  </si>
  <si>
    <t>Building Shape &amp; Orientation</t>
  </si>
  <si>
    <t>Any shading by adjacent structures and terrain has been modeled identically to the Proposed case (if applicable)</t>
  </si>
  <si>
    <t xml:space="preserve">
</t>
  </si>
  <si>
    <t>No shading projections, manual shading devices, or self-shading have been modeled for the Baseline building</t>
  </si>
  <si>
    <t>Shading Devices</t>
  </si>
  <si>
    <t>Building:</t>
  </si>
  <si>
    <t>District energy sources</t>
  </si>
  <si>
    <t>Standard energy sources</t>
  </si>
  <si>
    <t>ENERGY SOURCES 1</t>
  </si>
  <si>
    <t>DistrictCooling</t>
  </si>
  <si>
    <t>DistrictHeating</t>
  </si>
  <si>
    <t>3 = Streamlined DES Accounting Method (Path3)</t>
  </si>
  <si>
    <t>2 = Full DES Performance Accounting Method (Path 2)</t>
  </si>
  <si>
    <t>1 = ASHRAE 90.1 without Addenda (Path 1)</t>
  </si>
  <si>
    <t>0 = No DES</t>
  </si>
  <si>
    <t>DESPath</t>
  </si>
  <si>
    <t>Campus Cogen - Parasitic energy</t>
  </si>
  <si>
    <t>Campus Cogen - Fuel Input</t>
  </si>
  <si>
    <t>Tons (wood)</t>
  </si>
  <si>
    <t>Campus Cogen - Electricity generated</t>
  </si>
  <si>
    <t>Pounds (wood)</t>
  </si>
  <si>
    <t>Lbs (wood)</t>
  </si>
  <si>
    <t>Campus pumps: Heating</t>
  </si>
  <si>
    <t>Tons (coke)</t>
  </si>
  <si>
    <t>Campus space heating</t>
  </si>
  <si>
    <t>(Pounds coke) x 1,000,000</t>
  </si>
  <si>
    <t>MLbs (coke)</t>
  </si>
  <si>
    <t>Campus pumps: Cooling &amp; Heat Rejection</t>
  </si>
  <si>
    <t>(Pounds coke) x 1,000</t>
  </si>
  <si>
    <t>kLbs (coke)</t>
  </si>
  <si>
    <t>Campus heat rejection</t>
  </si>
  <si>
    <t>Pounds (coke)</t>
  </si>
  <si>
    <t>Lbs (coke)</t>
  </si>
  <si>
    <t>Campus space cooling</t>
  </si>
  <si>
    <t>Tons (Bituminous Coal)</t>
  </si>
  <si>
    <t>Tons (bit. coal)</t>
  </si>
  <si>
    <t>Campus Plant End Uses</t>
  </si>
  <si>
    <t>(Pounds Bituminous Coal) x 1,000,000</t>
  </si>
  <si>
    <t>MLbs (bit. coal)</t>
  </si>
  <si>
    <t>(Pounds Bituminous Coal) x 1,000</t>
  </si>
  <si>
    <t>kLbs (bit. coal)</t>
  </si>
  <si>
    <t>Pounds (Bituminous Coal)</t>
  </si>
  <si>
    <t>Lbs (bit. coal)</t>
  </si>
  <si>
    <t>Tons (Anthracite Coal)</t>
  </si>
  <si>
    <t>Tons (anth. coal)</t>
  </si>
  <si>
    <t>(Pounds Anthracite Coal) x 1,000,000</t>
  </si>
  <si>
    <t>MLbs (anth. coal)</t>
  </si>
  <si>
    <t>(Pounds Anthracite Coal) x 1,000</t>
  </si>
  <si>
    <t>kLbs (anth. coal)</t>
  </si>
  <si>
    <t>Pounds (Anthracite Coal)</t>
  </si>
  <si>
    <t>Lbs (anth. coal)</t>
  </si>
  <si>
    <t>liters (propane)</t>
  </si>
  <si>
    <t>gallons (propane)</t>
  </si>
  <si>
    <t>Cogen - Parasitic energy</t>
  </si>
  <si>
    <t>gallons (fuel oil no. 5 or no. 6)</t>
  </si>
  <si>
    <t>Cogen - Fuel Input</t>
  </si>
  <si>
    <t>liters (fuel oil no. 5 or no. 6)</t>
  </si>
  <si>
    <t>Cogen - Electricity generated</t>
  </si>
  <si>
    <t>gallons (fuel oil/diesel)</t>
  </si>
  <si>
    <t>liters (fuel oil/diesel)</t>
  </si>
  <si>
    <t>CZ16</t>
  </si>
  <si>
    <t>(Pounds) x 1,000,000</t>
  </si>
  <si>
    <t>MLbs (District Steam)</t>
  </si>
  <si>
    <t>CZ15</t>
  </si>
  <si>
    <t>(Pounds) x 1,000</t>
  </si>
  <si>
    <t>kLbs (District Steam)</t>
  </si>
  <si>
    <t>CZ14</t>
  </si>
  <si>
    <t>Pounds (District Steam)</t>
  </si>
  <si>
    <t>Lbs (District Steam)</t>
  </si>
  <si>
    <t>CZ13</t>
  </si>
  <si>
    <t>On-site landfill gas - electric</t>
  </si>
  <si>
    <t>Block charges per unit of consumption and demand varying seasonally</t>
  </si>
  <si>
    <t>(cubic feet) x 1,000,000</t>
  </si>
  <si>
    <t>Mcf (Natural Gas)</t>
  </si>
  <si>
    <t>CZ12</t>
  </si>
  <si>
    <t>On-site landfill gas - thermal</t>
  </si>
  <si>
    <t>Block charges per unit of consumption varying seasonally</t>
  </si>
  <si>
    <t>(cubic feet) x 1,000</t>
  </si>
  <si>
    <t>kcf (Natural Gas)</t>
  </si>
  <si>
    <t>District Hot Water</t>
  </si>
  <si>
    <t>CZ11</t>
  </si>
  <si>
    <t>On-site animal or organic waste - electric</t>
  </si>
  <si>
    <t>Block charges per unit of consumption and demand</t>
  </si>
  <si>
    <t>(cubic feet) x 100</t>
  </si>
  <si>
    <t>ccf (Natural Gas)</t>
  </si>
  <si>
    <t>District Steam</t>
  </si>
  <si>
    <t>CZ10</t>
  </si>
  <si>
    <t>On-site animal or organic waste - thermal</t>
  </si>
  <si>
    <t>Block Charges per unit of consumptoin</t>
  </si>
  <si>
    <t>cubic feet</t>
  </si>
  <si>
    <t>cf (Natural Gas)</t>
  </si>
  <si>
    <t>Wood</t>
  </si>
  <si>
    <t>Outputs(1) Building Performance</t>
  </si>
  <si>
    <t>CZ9</t>
  </si>
  <si>
    <t>On-site agricultural crops or waste - electric</t>
  </si>
  <si>
    <t>Time of Use Rates per unit of consumption and demand varying seasonally</t>
  </si>
  <si>
    <t>Coke</t>
  </si>
  <si>
    <t>CZ8</t>
  </si>
  <si>
    <t>On-site agricultural crops or waste - thermal</t>
  </si>
  <si>
    <t>Time of Use Rates per unit of consumption varying seasonally</t>
  </si>
  <si>
    <t>ton</t>
  </si>
  <si>
    <t>Coal (bituminous)</t>
  </si>
  <si>
    <t>CZ7</t>
  </si>
  <si>
    <t>On-site untreated wood waste - electric generator</t>
  </si>
  <si>
    <t>Time of Use Rates per unit of consumption and demand</t>
  </si>
  <si>
    <t>(British thermal unit per hour) x 1,000,000</t>
  </si>
  <si>
    <t>MMBTUH</t>
  </si>
  <si>
    <t>Ton Hours</t>
  </si>
  <si>
    <t>Coal (anthracite)</t>
  </si>
  <si>
    <t>CZ6</t>
  </si>
  <si>
    <t>On-site untreated wood waste - thermal</t>
  </si>
  <si>
    <t>Time of Use Rates per unit of consumption</t>
  </si>
  <si>
    <t>Btuh x 10^6</t>
  </si>
  <si>
    <t>(Joules) x 1,000,000</t>
  </si>
  <si>
    <t>MJ</t>
  </si>
  <si>
    <t>Kerosene</t>
  </si>
  <si>
    <t>Project EAp2 Summary</t>
  </si>
  <si>
    <t>rbDESAvg</t>
  </si>
  <si>
    <t>CZ5</t>
  </si>
  <si>
    <t>Geothermal electric system</t>
  </si>
  <si>
    <t>Fixed Rates per unit of consumption and demand varying seasonally</t>
  </si>
  <si>
    <t>Btuh x 10^3</t>
  </si>
  <si>
    <t>(British thermal unit) x 1,000,000</t>
  </si>
  <si>
    <t>Fuel Oil (No. 5 &amp; No.6)</t>
  </si>
  <si>
    <t>rbDESguide</t>
  </si>
  <si>
    <t>CZ4</t>
  </si>
  <si>
    <t>Geothermal heating system (not geoexchange)</t>
  </si>
  <si>
    <t>Fixed Rates per unit of consumption and demand</t>
  </si>
  <si>
    <t>MBH</t>
  </si>
  <si>
    <t>Propane</t>
  </si>
  <si>
    <t>PRM_Outputs(2)</t>
  </si>
  <si>
    <t>TargetRow</t>
  </si>
  <si>
    <t>End Row</t>
  </si>
  <si>
    <t>Range Start Row</t>
  </si>
  <si>
    <t>Start Row</t>
  </si>
  <si>
    <t>Sheet</t>
  </si>
  <si>
    <t>rbDES</t>
  </si>
  <si>
    <t>A district cooling plant serves the buildings in this project, or an on-campus cooling plant provides heating to buildings outside of this project</t>
  </si>
  <si>
    <t>A district heating plant serves the buildings in this project, or an on-campus heating plant provides heating to buildings outside of this project</t>
  </si>
  <si>
    <t>CZ3</t>
  </si>
  <si>
    <t>Solar thermal system</t>
  </si>
  <si>
    <t>Fixed Rates per unit of consumption varying seasonally</t>
  </si>
  <si>
    <t>(British thermal unit) x 1,000</t>
  </si>
  <si>
    <t>kBtu</t>
  </si>
  <si>
    <t>Fuel Oil / Diesel</t>
  </si>
  <si>
    <t>PRM_Outputs(1)</t>
  </si>
  <si>
    <t>NumBuildings</t>
  </si>
  <si>
    <t>rbSiteRenewable</t>
  </si>
  <si>
    <t>A central cooling plant serves only the buildings in this project</t>
  </si>
  <si>
    <t>A central heating plant serves only buildings in this project</t>
  </si>
  <si>
    <t>One energy model. Submeter buildings</t>
  </si>
  <si>
    <t>CZ2</t>
  </si>
  <si>
    <t>Wind energy system</t>
  </si>
  <si>
    <t>Fixed Rates per unit of consumption</t>
  </si>
  <si>
    <t>square meters</t>
  </si>
  <si>
    <t>Megawatt</t>
  </si>
  <si>
    <t>MW</t>
  </si>
  <si>
    <t>Megawatt hour</t>
  </si>
  <si>
    <t>MWh</t>
  </si>
  <si>
    <t>All</t>
  </si>
  <si>
    <t>Number of Energy Sources</t>
  </si>
  <si>
    <t>rbOutputReporting</t>
  </si>
  <si>
    <t>Each building generates its own cooling</t>
  </si>
  <si>
    <t>Each building generates its own heating</t>
  </si>
  <si>
    <t>One model per building</t>
  </si>
  <si>
    <t>CZ1</t>
  </si>
  <si>
    <t>Photovoltaic system</t>
  </si>
  <si>
    <t>Default EIA Rates</t>
  </si>
  <si>
    <t>square feet</t>
  </si>
  <si>
    <t>Kilowatt hour</t>
  </si>
  <si>
    <t>BuildingNames</t>
  </si>
  <si>
    <t>Output Sheet Names</t>
  </si>
  <si>
    <t>Start Cells for Utility Data:</t>
  </si>
  <si>
    <t>Option Buttons:</t>
  </si>
  <si>
    <t>Energy Modeling Method:</t>
  </si>
  <si>
    <t>Energy End-Uses</t>
  </si>
  <si>
    <t>ClimateZones</t>
  </si>
  <si>
    <t>California Climate Zones</t>
  </si>
  <si>
    <t>ASHRAE Climate Zones</t>
  </si>
  <si>
    <t>Energy Code</t>
  </si>
  <si>
    <t>Simulation Program</t>
  </si>
  <si>
    <t>LEED Rating System</t>
  </si>
  <si>
    <t>Area Units</t>
  </si>
  <si>
    <t>Multiplier to convert to MBH</t>
  </si>
  <si>
    <t>Energy Demand Units</t>
  </si>
  <si>
    <t>Multiplier to convert to kBtu</t>
  </si>
  <si>
    <r>
      <t xml:space="preserve">Considered "Gas" for District Plant Path 3 Calcs? </t>
    </r>
    <r>
      <rPr>
        <sz val="10"/>
        <color theme="9" tint="-0.249977111117893"/>
        <rFont val="Arial"/>
        <family val="2"/>
      </rPr>
      <t>(Note: Coal,coke, and wood are selected as gas to allow the lower efficiencies).</t>
    </r>
  </si>
  <si>
    <t>Site-to-source ratio</t>
  </si>
  <si>
    <t>Fuel Types</t>
  </si>
  <si>
    <t>Average Electrical COP</t>
  </si>
  <si>
    <t>Average Fuel COP</t>
  </si>
  <si>
    <t>Average District Heating Plant Efficiency for Project based on Building District Heating Peak Load (includes boilers, pumps). Use Max efficiency if central plant fuel source isn't defined, or maximum capacity is not listed.</t>
  </si>
  <si>
    <t>Building CHW Peak Baseline Load from PRM Outputs (use 1,200 tons if not yet entered, or if units are not entered for District Chilled Water Demand)</t>
  </si>
  <si>
    <t>BUILDING SPECIFIC DES CHW Average Efficiency:</t>
  </si>
  <si>
    <t>Oil-Fired</t>
  </si>
  <si>
    <t>Gas-Fired</t>
  </si>
  <si>
    <t>Fuel-type</t>
  </si>
  <si>
    <t>PHHWP</t>
  </si>
  <si>
    <t>Average Pump Efficiency 
(electricity kWh/chilled water kWh)</t>
  </si>
  <si>
    <t>Average Fuel Efficiency</t>
  </si>
  <si>
    <t>Min HHW Peak Load in this Range</t>
  </si>
  <si>
    <t>Oversize factor</t>
  </si>
  <si>
    <t>*Peak HHW Load assumes baseline HHW water system is 25% oversized, so it is 25% less than the chiller equipment thresholds in ASHRAE 90.1 Table 6.8</t>
  </si>
  <si>
    <t>Boiler and HHW Loop Pump Average Efficiency</t>
  </si>
  <si>
    <t>kW/kW</t>
  </si>
  <si>
    <t>1000 W/kW</t>
  </si>
  <si>
    <t>/</t>
  </si>
  <si>
    <t>gpm/kW</t>
  </si>
  <si>
    <t>=</t>
  </si>
  <si>
    <t>Calculated</t>
  </si>
  <si>
    <t>.</t>
  </si>
  <si>
    <t>HHW Pump Power</t>
  </si>
  <si>
    <t>84% Ec</t>
  </si>
  <si>
    <t>&gt;=2500000</t>
  </si>
  <si>
    <t>82% Et</t>
  </si>
  <si>
    <t>300,000 to 2,500,000</t>
  </si>
  <si>
    <t>80% AFUE</t>
  </si>
  <si>
    <t>&lt;300,000 Btuh</t>
  </si>
  <si>
    <t>Oil-Fired:</t>
  </si>
  <si>
    <t>82% Ec</t>
  </si>
  <si>
    <t>80% Et</t>
  </si>
  <si>
    <t>Gas-Fired:</t>
  </si>
  <si>
    <t>Boiler Efficiencies:</t>
  </si>
  <si>
    <t>Riding the pump curve for buildings less than 120,000 square feet</t>
  </si>
  <si>
    <t>Variable speed pumps for buildings with 120,000 square feet or more</t>
  </si>
  <si>
    <t>Variable primary pumping</t>
  </si>
  <si>
    <t>19 W/gpm pump power</t>
  </si>
  <si>
    <t>Relevant ASHRAE 90.1-2010 Requirements:</t>
  </si>
  <si>
    <t>Assume a capacity of 300,000 Btuh is roughly equivalent to a building size of 120,000 square feet (to allow average efficiency based on capacity range only rather than building size)</t>
  </si>
  <si>
    <t>Assume average part-load performance of 42% for secondary CHW pumps with VSD (above 300 tons capacity)</t>
  </si>
  <si>
    <t>Assume average part-load performance of 72% for secondary CHW pumps riding the curve (up to 300 tons capacity)</t>
  </si>
  <si>
    <t>Assume Average thermal efficiency (including part-load operation) = AFUE = Et = Ec)</t>
  </si>
  <si>
    <t>40 gpm / (Btuh*10^6) hot water flow (or 0.1366 gpm/kW) (based on 50 deg. loop delta T required by ASHRAE 90.1-2010)</t>
  </si>
  <si>
    <t>1500 Equivalent full load hours of HHW operation per year</t>
  </si>
  <si>
    <t>3,000 Hours of HHW Plant Operation per year</t>
  </si>
  <si>
    <t>Hot Water Assumptions Used to Derive Average Efficiencies:</t>
  </si>
  <si>
    <t>COP</t>
  </si>
  <si>
    <t>Average CHW Plant Efficiency for Project based on Building CHW Peak Load (includes chillers, cooling towers, condenser water pumps and chilled water pumps)</t>
  </si>
  <si>
    <t>Centrifugal</t>
  </si>
  <si>
    <t>Screw</t>
  </si>
  <si>
    <t>Tower Fans</t>
  </si>
  <si>
    <t>CWP3</t>
  </si>
  <si>
    <t>CWP2</t>
  </si>
  <si>
    <t>CWP1</t>
  </si>
  <si>
    <t>SCHWP</t>
  </si>
  <si>
    <t>PCHWP3</t>
  </si>
  <si>
    <t>PCHWP2</t>
  </si>
  <si>
    <t>PCHWP1</t>
  </si>
  <si>
    <t>Chillers</t>
  </si>
  <si>
    <t>IPLV (kW/kW)</t>
  </si>
  <si>
    <t>Type Chillers</t>
  </si>
  <si>
    <t>Qty Chillers</t>
  </si>
  <si>
    <t>Average COP</t>
  </si>
  <si>
    <t>Average chilled water system efficiency Cooling Energy Input Ratio (kWh/kWh)</t>
  </si>
  <si>
    <t>Min CHW Peak Load in this Range</t>
  </si>
  <si>
    <t>*columns below include conversion factor of 0.2844 to convert from kWh/ton-hr to kWh/kWh</t>
  </si>
  <si>
    <t>*Peak CHW Load assumes baseline chilled water system is 15% oversized, so it is 15% less than the chiller equipment thresholds in ASHRAE 90.1 Table 6.8</t>
  </si>
  <si>
    <t>Chiller Type, Quantity, and Efficiency, and Pump Consumption</t>
  </si>
  <si>
    <t>kW/ton</t>
  </si>
  <si>
    <t>gpm/ton</t>
  </si>
  <si>
    <t>-</t>
  </si>
  <si>
    <t>Secondary CHW Pump Power</t>
  </si>
  <si>
    <t>Primary CHW Pump Power</t>
  </si>
  <si>
    <t>CW Pump Power</t>
  </si>
  <si>
    <t>kWh/ton-hr</t>
  </si>
  <si>
    <t>Equivalent Full Load Hours of Operation</t>
  </si>
  <si>
    <t>Hours of Operation</t>
  </si>
  <si>
    <t>Average efficiency</t>
  </si>
  <si>
    <t>kW/hp</t>
  </si>
  <si>
    <t>fan motor efficiency</t>
  </si>
  <si>
    <t>gpm/hp</t>
  </si>
  <si>
    <t>Cooling Tower Fans</t>
  </si>
  <si>
    <t>ASHRAE 90.1 Appendix G requirement (assume Chiller Path A, Use IPLV)</t>
  </si>
  <si>
    <t>3 Chillers</t>
  </si>
  <si>
    <t>2 Chillers</t>
  </si>
  <si>
    <t>1 Chiller</t>
  </si>
  <si>
    <t>CWP3+</t>
  </si>
  <si>
    <t>PCHWP3+</t>
  </si>
  <si>
    <t>Chiller 3</t>
  </si>
  <si>
    <t>Chiller 2</t>
  </si>
  <si>
    <t>Chiller 1</t>
  </si>
  <si>
    <t>EFLH:</t>
  </si>
  <si>
    <t>Total Annual Hours:</t>
  </si>
  <si>
    <t>Hours of Operation Assumed:</t>
  </si>
  <si>
    <t>Assume 50% of CHW pump power is used in primary loop, 50% in secondary loop</t>
  </si>
  <si>
    <t xml:space="preserve">   (source: VSDs and their Effect on System Components (http://www.trane.com/Commercial/Uploads/PDF/ContinuingEducation/ENL_VSDsystemeffects_handouts.pdf)</t>
  </si>
  <si>
    <t>Assume 2-speed cooling towers use 38% of the energy that a 1-speed cooling tower would use</t>
  </si>
  <si>
    <t>Assume IPLV = Average chiller efficiency (kWh/ton-hr)</t>
  </si>
  <si>
    <t>3 gpm/ton Chilled Water (ARI conditions)</t>
  </si>
  <si>
    <t>90% fan motor efficiency for cooling tower</t>
  </si>
  <si>
    <t>2 gpm/ton Chilled Water (ARI conditions)</t>
  </si>
  <si>
    <t>1500 Equivalent full load hours of CHW operation per year</t>
  </si>
  <si>
    <t>3,000 Hours of CHW Plant Operation per year</t>
  </si>
  <si>
    <t>Chilled Water Assumptions Used to Derive Average Efficiencies:</t>
  </si>
  <si>
    <t>Quality Assurance Checks</t>
  </si>
  <si>
    <t>9.6.2 (a) or 9.6.2 (b)</t>
  </si>
  <si>
    <t xml:space="preserve">Lighting equipment is installed in sales area for highlighting merchandise </t>
  </si>
  <si>
    <t xml:space="preserve">* Economizer high-limit shutoff </t>
  </si>
  <si>
    <t>Opaque Envelope - Construction</t>
  </si>
  <si>
    <t>Opaque Envelope - Space Conditioning</t>
  </si>
  <si>
    <t>Assembly
C-factor</t>
  </si>
  <si>
    <t>Assembly 
F-factor</t>
  </si>
  <si>
    <t>IP</t>
  </si>
  <si>
    <t>SI</t>
  </si>
  <si>
    <t>R-2.6 c.i. insulation entirely above deck with a U-factor of 0.360</t>
  </si>
  <si>
    <t>R-3.5 c.i. insulation entirely above deck with a U-factor of 0.273</t>
  </si>
  <si>
    <t>R-0.7 c.i. insulation entirely above deck with a U-factor of 1.240</t>
  </si>
  <si>
    <t>1A (IP)</t>
  </si>
  <si>
    <t>1A (SI)</t>
  </si>
  <si>
    <t>steel-framed with R-2.3 cavity insulation with a U-factor of 0.705</t>
  </si>
  <si>
    <t>steel-framed with no insulation with a U-factor of 1.998</t>
  </si>
  <si>
    <t>205 mm medium weight concrete block with solid grouted cores and no insulation with a C-factor of 6.473</t>
  </si>
  <si>
    <t>steel-joist with no insulation with a U-factor of 1.986</t>
  </si>
  <si>
    <t>150 mm concrete slabs with no insulation with an F-factor of 1.264</t>
  </si>
  <si>
    <t>U-factor of 3.975</t>
  </si>
  <si>
    <t>U-factor of 8.233</t>
  </si>
  <si>
    <t>U-0.360</t>
  </si>
  <si>
    <t>U-0.273</t>
  </si>
  <si>
    <t>U-1.240</t>
  </si>
  <si>
    <t>U-0.705</t>
  </si>
  <si>
    <t>U-1.998</t>
  </si>
  <si>
    <t>C-6.473</t>
  </si>
  <si>
    <t>U-1.986</t>
  </si>
  <si>
    <t>F-1.264</t>
  </si>
  <si>
    <t>U-3.975</t>
  </si>
  <si>
    <t>U-8.233</t>
  </si>
  <si>
    <t>steel-framed with R-2.3 cavity and R-1.3 continuous insulation with a U-factor of 0.365</t>
  </si>
  <si>
    <t>steel-joist with R-3.3 insulation with a U-factor of 0.296</t>
  </si>
  <si>
    <t>steel-joist with R-2.3 insulation with a U-factor of 0.390</t>
  </si>
  <si>
    <t>U-factor of 2.839</t>
  </si>
  <si>
    <t>U-0.365</t>
  </si>
  <si>
    <t>U-0.296</t>
  </si>
  <si>
    <t>U-0.390</t>
  </si>
  <si>
    <t>U-2.839</t>
  </si>
  <si>
    <t>R-0.9 c.i. insulation entirely above deck with a U-factor of 0.982</t>
  </si>
  <si>
    <t>steel-framed with R-2.3 cavity and R-0.7 continuous insulation with a U-factor of 0.479</t>
  </si>
  <si>
    <t>U-0.982</t>
  </si>
  <si>
    <t>U-0.479</t>
  </si>
  <si>
    <t>205 mm medium weight concrete block with solid grouted cores and R-1.3 continuous insulation with a C-factor of 0.678</t>
  </si>
  <si>
    <t>steel-joist with R-5.3 insulation with a U-factor of 0.214</t>
  </si>
  <si>
    <t>150 mm concrete slabs with R-1.8 insulation for 600 mm with an F-factor of 0.935</t>
  </si>
  <si>
    <t>C-0.678</t>
  </si>
  <si>
    <t>U-0.214</t>
  </si>
  <si>
    <t>F-0.935</t>
  </si>
  <si>
    <t>R-1.3 c.i. insulation entirely above deck with a U-factor of 0.667</t>
  </si>
  <si>
    <t>U-0.677</t>
  </si>
  <si>
    <t>U- 0.296</t>
  </si>
  <si>
    <t>R-1.8 insulation entirely above deck with a U-factor of 0.527</t>
  </si>
  <si>
    <t>steel-joist with R-6.7 insulation with a U-factor of 0.183</t>
  </si>
  <si>
    <t>150 mm concrete slabs with R-2.6 insulation for 600 mm with an F-factor of 0.900</t>
  </si>
  <si>
    <t>U-0.527</t>
  </si>
  <si>
    <t>U-0.183</t>
  </si>
  <si>
    <t>F-0.900</t>
  </si>
  <si>
    <t>steel-framed with R-2.3 cavity and R-2.7 continuous insulation with a U-factor of 0.240</t>
  </si>
  <si>
    <t>205 mm medium weight concrete block with solid grouted cores and R-1.8 continuous insulation with a C-factor of 0.522</t>
  </si>
  <si>
    <t>U-0.240</t>
  </si>
  <si>
    <t>C-0.522</t>
  </si>
  <si>
    <t>steel-framed with R-2.3 cavity and R-3.3 continuous insulation with a U-factor of 0.212</t>
  </si>
  <si>
    <t>205 mm medium weight concrete block with solid grouted cores and R-2.2 continuous insulation with a C-factor of 0.425</t>
  </si>
  <si>
    <t>150 mm concrete slabs with R-3.5 insulation for 600 mm with an F-factor of 0.883</t>
  </si>
  <si>
    <t>U-0.212</t>
  </si>
  <si>
    <t>C-0.425</t>
  </si>
  <si>
    <t>F-0.883</t>
  </si>
  <si>
    <t>NR</t>
  </si>
  <si>
    <t>1B (IP)</t>
  </si>
  <si>
    <t>2A (IP)</t>
  </si>
  <si>
    <t>2B (IP)</t>
  </si>
  <si>
    <t>3A (IP)</t>
  </si>
  <si>
    <t>3B (IP)</t>
  </si>
  <si>
    <t>3C (IP)</t>
  </si>
  <si>
    <t>4A (IP)</t>
  </si>
  <si>
    <t>4B (IP)</t>
  </si>
  <si>
    <t>4C (IP)</t>
  </si>
  <si>
    <t>5A (IP)</t>
  </si>
  <si>
    <t>5B (IP)</t>
  </si>
  <si>
    <t>5C (IP)</t>
  </si>
  <si>
    <t>6A (IP)</t>
  </si>
  <si>
    <t>6B (IP)</t>
  </si>
  <si>
    <t>7A (IP)</t>
  </si>
  <si>
    <t>7B (IP)</t>
  </si>
  <si>
    <t>8 (IP)</t>
  </si>
  <si>
    <t>8 (SI)</t>
  </si>
  <si>
    <t>7B (SI)</t>
  </si>
  <si>
    <t>7A (SI)</t>
  </si>
  <si>
    <t>6B (SI)</t>
  </si>
  <si>
    <t>6A (SI)</t>
  </si>
  <si>
    <t>5C (SI)</t>
  </si>
  <si>
    <t>5B (SI)</t>
  </si>
  <si>
    <t>5A (SI)</t>
  </si>
  <si>
    <t>4C (SI)</t>
  </si>
  <si>
    <t>4B (SI)</t>
  </si>
  <si>
    <t>4A (SI)</t>
  </si>
  <si>
    <t>3C (SI)</t>
  </si>
  <si>
    <t>3B (SI)</t>
  </si>
  <si>
    <t>3A (SI)</t>
  </si>
  <si>
    <t>2B (SI)</t>
  </si>
  <si>
    <t>2A (SI)</t>
  </si>
  <si>
    <t>1B (SI)</t>
  </si>
  <si>
    <t>Opaque Doors - Swinging</t>
  </si>
  <si>
    <t>Opaque Doors - Nonswinging</t>
  </si>
  <si>
    <t>Opaque Doors - Nonwwinging</t>
  </si>
  <si>
    <t>A</t>
  </si>
  <si>
    <t>Above-grade wall and vertical glazing area by orientation</t>
  </si>
  <si>
    <t>B</t>
  </si>
  <si>
    <t>C</t>
  </si>
  <si>
    <t>D</t>
  </si>
  <si>
    <t>E</t>
  </si>
  <si>
    <t>F</t>
  </si>
  <si>
    <t>(W/sq ft)</t>
  </si>
  <si>
    <t>Table 9.5.1 LPD</t>
  </si>
  <si>
    <t>(W/sq m)</t>
  </si>
  <si>
    <t>Base Allowance
(W)</t>
  </si>
  <si>
    <t>Atrium - first 40 ft (13 m) in height</t>
  </si>
  <si>
    <t>Atirum - height above 40 ft (13 m)</t>
  </si>
  <si>
    <t>Dining area - bar lounge/leisure dining</t>
  </si>
  <si>
    <t>Dining area - family dining</t>
  </si>
  <si>
    <t>Classroom/lecture/training</t>
  </si>
  <si>
    <t>Conference/meeting/multipurpose</t>
  </si>
  <si>
    <t>Corridor/transition</t>
  </si>
  <si>
    <t>Electrical/mechanical</t>
  </si>
  <si>
    <t>Food preparation</t>
  </si>
  <si>
    <t>Lobby- elevator</t>
  </si>
  <si>
    <t>Lobby - performing arts theater</t>
  </si>
  <si>
    <t>Lobby - motion picture theater</t>
  </si>
  <si>
    <t>Locker room</t>
  </si>
  <si>
    <t>Lounge/recreation</t>
  </si>
  <si>
    <t>Sales area</t>
  </si>
  <si>
    <t>Bank/office - banking activity area</t>
  </si>
  <si>
    <t>Convention center - audience seating</t>
  </si>
  <si>
    <t>Convention center - exhibit space</t>
  </si>
  <si>
    <t>Dormitory - living quarters</t>
  </si>
  <si>
    <t>Fire station - engine room</t>
  </si>
  <si>
    <t>Fire station - sleeping quarters</t>
  </si>
  <si>
    <t>Gymnasium/fitness center - playing area</t>
  </si>
  <si>
    <t>Hospital - corridor/transition</t>
  </si>
  <si>
    <t>Hospital - emergency</t>
  </si>
  <si>
    <t>Hospital - exam/treatment</t>
  </si>
  <si>
    <t>Hospital - laundry/washing</t>
  </si>
  <si>
    <t>Hospital - lounge/recreation</t>
  </si>
  <si>
    <t>Hospital - medical supply</t>
  </si>
  <si>
    <t>Hospital - nursery</t>
  </si>
  <si>
    <t>Hospital - nurses' station</t>
  </si>
  <si>
    <t>Hospital - operating room</t>
  </si>
  <si>
    <t>Hospital - patient room</t>
  </si>
  <si>
    <t>Hospital - pharmacy</t>
  </si>
  <si>
    <t>Hospital - physical therapy</t>
  </si>
  <si>
    <t>Hospital - radiology/imaging</t>
  </si>
  <si>
    <t>Hospital - recovery</t>
  </si>
  <si>
    <t>Library - card file and cataloging</t>
  </si>
  <si>
    <t>Library - reading area</t>
  </si>
  <si>
    <t>Library - stacks</t>
  </si>
  <si>
    <t xml:space="preserve">Manufacturing - corridor/transition </t>
  </si>
  <si>
    <t xml:space="preserve">Manufacturing - detailed manufacturing </t>
  </si>
  <si>
    <t xml:space="preserve">Manufacturing - equipment room </t>
  </si>
  <si>
    <t xml:space="preserve">Museum - general exhibition </t>
  </si>
  <si>
    <t>Museum - restoration</t>
  </si>
  <si>
    <t>Parking garage - garage area</t>
  </si>
  <si>
    <t>Post office - sorting area</t>
  </si>
  <si>
    <t xml:space="preserve">Religious buildings - audience seating </t>
  </si>
  <si>
    <t xml:space="preserve">Religious buildings - fellowship hall </t>
  </si>
  <si>
    <t>Religious buildings - worship pulpit, choir</t>
  </si>
  <si>
    <t xml:space="preserve">Retail - dressing/fitting room </t>
  </si>
  <si>
    <t xml:space="preserve">Retail - mall concourse </t>
  </si>
  <si>
    <t xml:space="preserve">Sports arena - audience seating </t>
  </si>
  <si>
    <t xml:space="preserve">Sports arena - court sports arena—class 4 </t>
  </si>
  <si>
    <t xml:space="preserve">Sports arena - court sports arena—class 3 </t>
  </si>
  <si>
    <t xml:space="preserve">Sports arena - court sports arena—class 2 </t>
  </si>
  <si>
    <t xml:space="preserve">Sports arena - court sports arena—class 1 </t>
  </si>
  <si>
    <t>Sports arena - ring sports arena</t>
  </si>
  <si>
    <t xml:space="preserve">Transportation - air/train/bus—baggage area </t>
  </si>
  <si>
    <t xml:space="preserve">Transportation - airport—concourse </t>
  </si>
  <si>
    <t xml:space="preserve">Transportation - audience seating </t>
  </si>
  <si>
    <t>Transportation - terminal—ticket counter</t>
  </si>
  <si>
    <t>Warehouse - fine material storage</t>
  </si>
  <si>
    <t>Warehouse - medium/bulky material storage</t>
  </si>
  <si>
    <t>Baseline and proposed lighting is modeled using the automatic and manual controls in Section 9.4 including automated shutoff controls, daylighting controls, occupant sensor controls, etc.  The energy modeling schedules account for these mandatory control requirements.</t>
  </si>
  <si>
    <t>Mandatory step controls are included in the proposed, and modeled in the baseline for all spaces enclosed by ceiling height partitions per Sections 9.4.1.2a.</t>
  </si>
  <si>
    <t>Required for all systems</t>
  </si>
  <si>
    <t>Required for Systems 1-4</t>
  </si>
  <si>
    <t>Required for Systems 5-8</t>
  </si>
  <si>
    <t>Required for Systems 9 and 10</t>
  </si>
  <si>
    <t>Required for Systems 1-8</t>
  </si>
  <si>
    <t>Required for Systems 5 and 7</t>
  </si>
  <si>
    <t>Required for Systems 6 and 8</t>
  </si>
  <si>
    <t>Note: Any credit for improved process equipment must be submitted using the Exceptional Calculation Method.</t>
  </si>
  <si>
    <t>Non-Receptacle Process Equipment</t>
  </si>
  <si>
    <t>Total pump power (kW)</t>
  </si>
  <si>
    <t>Air-Side HVAC adjustment drop-down (IP)</t>
  </si>
  <si>
    <t>Primary or DES plant CHW pump power</t>
  </si>
  <si>
    <t>Primary or DES plant CHW pump flow</t>
  </si>
  <si>
    <t>Primary or DES plant CHW pump control</t>
  </si>
  <si>
    <t>Number of secondary or building booster CHW pumps</t>
  </si>
  <si>
    <t>Secondary or building booster CHW pump power</t>
  </si>
  <si>
    <t>Secondary or building booster CHW pump flow</t>
  </si>
  <si>
    <t>Secondary or building booster CHW pump control</t>
  </si>
  <si>
    <t>Number of primary or DES plant HHW pumps</t>
  </si>
  <si>
    <t>Primary or DES plant HHW pump power</t>
  </si>
  <si>
    <t>Primary or DES plant HHW pump flow</t>
  </si>
  <si>
    <t>Primary or DES plant HHW pump control</t>
  </si>
  <si>
    <t>Number of secondary or building booster HHW pumps</t>
  </si>
  <si>
    <t>Secondary or building booster HHW pump power</t>
  </si>
  <si>
    <t>Secondary or building booster HHW pump flow</t>
  </si>
  <si>
    <t>Secondary or building booster HHW pump control</t>
  </si>
  <si>
    <t>$</t>
  </si>
  <si>
    <t>Number of primary or DES plant CHW pumps</t>
  </si>
  <si>
    <t>Applicability to Project</t>
  </si>
  <si>
    <t>Project-Specific 
Secondary System</t>
  </si>
  <si>
    <t>Project-Specific 
Primary Systems</t>
  </si>
  <si>
    <t>• No DES
• ASHRAE 90.1 (Path 1)
• Full DES (Path 2)</t>
  </si>
  <si>
    <t>• ASHRAE 90.1 (Path 1)
• Streamlined DES (Path 3)
• District Cooling Only</t>
  </si>
  <si>
    <t>• ASHRAE 90.1 (Path 1)
• Streamlined DES (Path 3)
• District Heating Only</t>
  </si>
  <si>
    <t>• ASHRAE 90.1 (Path 1)
• Streamlined DES (Path 3)
• District Cooling and Heating</t>
  </si>
  <si>
    <t>Systems</t>
  </si>
  <si>
    <t>Multiplier 
x Motor Efficiency</t>
  </si>
  <si>
    <t>Motor Horsepower Nominal Efficiency</t>
  </si>
  <si>
    <t>*Note: Values provided for enclosed motors @ 1800 rpm as specified in ASHRAE 90.1-2010 Appendix G, Section G3.1.2.10</t>
  </si>
  <si>
    <t>Energy Model Information</t>
  </si>
  <si>
    <t>Unit of measurement</t>
  </si>
  <si>
    <t>Opaque Assemblies</t>
  </si>
  <si>
    <t>Shading and Fenestration</t>
  </si>
  <si>
    <t>Process Loads</t>
  </si>
  <si>
    <t>Required for Systems 1, 5, 7, and 8
Required for all Systems if District Heating and/or Cooling has been selected on the General Information tab</t>
  </si>
  <si>
    <t>Refer to the Teant Lease and Sales Agreement section of the LEED Reference Guide. Upload all required documentation to substantiate the savings claimed for the unfinished spaces.</t>
  </si>
  <si>
    <t>Unfinished Spaces</t>
  </si>
  <si>
    <t>System 7 (District Heating &amp; Cooling) - VAV with Reheat</t>
  </si>
  <si>
    <t>System 1 (District Cooling) - 4-pipe CV Fan Coil with HW Boiler</t>
  </si>
  <si>
    <t>System 2 (District Cooling) - 4-pipe CV Fan Coil with HW Boiler</t>
  </si>
  <si>
    <t>System 1 (District Heating &amp; Cooling) - 4-pipe CV Fan Coil</t>
  </si>
  <si>
    <t>Required for Systems 3-8</t>
  </si>
  <si>
    <t>Water-Side HVAC</t>
  </si>
  <si>
    <t>Air-Side HVAC</t>
  </si>
  <si>
    <t>* Pressure Drop Adjustments (Systems 3 through 8)</t>
  </si>
  <si>
    <t>Trigger</t>
  </si>
  <si>
    <t/>
  </si>
  <si>
    <t>Enclosed parking garage ventilation systems automatically detect contaminant levels and modulate fan airflows rates to 50% or less of design capacity per Section 6.4.3.4.5</t>
  </si>
  <si>
    <t>Rating System Variation</t>
  </si>
  <si>
    <t>Ocupant sensors or timer switches are included in the proposed, and modeled in the baseline for classrooms, lecture halls, confrence rooms, meeting rooms, training rooms, employee lunch and break rooms, storage and supply rooms between 50 to 1,000 sq ft (15.24 to 304.8 sq m), copying and printing rooms, office spaces up to 250 sq ft (76.2 sq m), restrooms, dresssing rooms, locker rooms, fitting rooms, and parking garages per Section 9.4.1.2b and 9.4.1.3b.</t>
  </si>
  <si>
    <t>Mandatory automatic daylighting controls are included in the proposed, and modeled in the baseline for primary sidelighted areas in enclosed spaces greater than 250 sq ft (23 sq m), and  top lighted areas greater than 900 sq ft (84 sq m), and parking garages as applicable per Sections 9.4.1.4, 9.4.1.5, and 9.4.1.3 respectively.</t>
  </si>
  <si>
    <t>District Energy Systems</t>
  </si>
  <si>
    <t>At least 50% of all 125 volt 15 and 20 Amper receptacles installed in private offices, open offices, and computer classrooms shall be controlled by an automatic device which functions on a scheduled basis, an occupant sensor, or a signal from another control system that indicates the area is unoccupied, in accordance with Section 8.4.2.</t>
  </si>
  <si>
    <r>
      <t>Instructions:</t>
    </r>
    <r>
      <rPr>
        <sz val="10"/>
        <color indexed="8"/>
        <rFont val="Arial"/>
        <family val="2"/>
      </rPr>
      <t xml:space="preserve"> Provide the following shading and orientation information. An example of the expected level of detail has been provided for each input. For any information not applicable to the project, simply enter "N/A".</t>
    </r>
  </si>
  <si>
    <r>
      <t xml:space="preserve">Instructions: </t>
    </r>
    <r>
      <rPr>
        <sz val="10"/>
        <color indexed="8"/>
        <rFont val="Arial"/>
        <family val="2"/>
      </rPr>
      <t xml:space="preserve">Confirm that the energy model complies with the Interior lighting requirements listed, and provide a narrative explaining any discrepancies. Select the interior lighting categorization procedure, and then complete the corresponding lighting table(s). Please refer to the column header notes for information about Appendix G modeling protocol. For any information not applicable to the project, simply enter "N/A". </t>
    </r>
  </si>
  <si>
    <r>
      <t xml:space="preserve">Instructions: </t>
    </r>
    <r>
      <rPr>
        <sz val="10"/>
        <color indexed="8"/>
        <rFont val="Arial"/>
        <family val="2"/>
      </rPr>
      <t>Select the method(s) used to model receptacle equipment, and then complete the corresponding receptacle equipment table(s). Non-receptacle process equipment should be reported in the last table. Please refer to the column header notes for information about Appendix G modeling protocol. For any information not applicable to the project, simply enter "N/A".</t>
    </r>
  </si>
  <si>
    <r>
      <t>Instructions:</t>
    </r>
    <r>
      <rPr>
        <sz val="10"/>
        <color indexed="8"/>
        <rFont val="Arial"/>
        <family val="2"/>
      </rPr>
      <t xml:space="preserve"> Confirm that the energy model complies with the General HVAC requirements listed, and provide a narrative explaining any discrepancies. Select the types of water-side systems that are installed on the project site (proposed). Describe each type of HVAC system in the proposed. Select the applicable baseline HVAC system type(s). Confirm that each of the HVAC modeling requirements have been incorporated into the energy models. Please refer to the column header notes for information about Appendix G modeling protocol. For any information not applicable to the project, simply enter "N/A". </t>
    </r>
  </si>
  <si>
    <t>Process Load Requirements</t>
  </si>
  <si>
    <t>Building Area Method</t>
  </si>
  <si>
    <t>Table 9.5.1 
Building Area Type</t>
  </si>
  <si>
    <t>Complete the table below in accordance with the Building Area Procedure.</t>
  </si>
  <si>
    <t>Section 9.6.2 Additional Lighting Power (if applicable)</t>
  </si>
  <si>
    <r>
      <t xml:space="preserve">Section 9.6.3 Room Geometry Adjustment 
</t>
    </r>
    <r>
      <rPr>
        <i/>
        <sz val="10"/>
        <rFont val="Arial"/>
        <family val="2"/>
      </rPr>
      <t>(Only complete for spaces where credit is taken for room geometry)</t>
    </r>
  </si>
  <si>
    <t>Room Cavity Ratio</t>
  </si>
  <si>
    <t>Describe Automatic Lighting Controls</t>
  </si>
  <si>
    <t>Section 9.6.2(c) Control Factor Adjustment</t>
  </si>
  <si>
    <t>Lighting Power Under Control (W)</t>
  </si>
  <si>
    <t xml:space="preserve">Table 9.6.1 RCR Threshold </t>
  </si>
  <si>
    <t>N/A</t>
  </si>
  <si>
    <t>Lobby</t>
  </si>
  <si>
    <t>A/A</t>
  </si>
  <si>
    <t>conditional final t/f</t>
  </si>
  <si>
    <t>number search 1</t>
  </si>
  <si>
    <t>number search 2</t>
  </si>
  <si>
    <t>New Construction</t>
  </si>
  <si>
    <t>Site-generated renewable energy?</t>
  </si>
  <si>
    <t>Exceptional Calculations?</t>
  </si>
  <si>
    <t>(</t>
  </si>
  <si>
    <t>Units Spelled Out</t>
  </si>
  <si>
    <t>Thresholds per Rating System:</t>
  </si>
  <si>
    <t>NC</t>
  </si>
  <si>
    <t>CS</t>
  </si>
  <si>
    <t>Core and Shell</t>
  </si>
  <si>
    <t>Schools - New Construction</t>
  </si>
  <si>
    <t>Retail - New Construction</t>
  </si>
  <si>
    <t>Data Centers - New Construction</t>
  </si>
  <si>
    <t>Warehouses and Distribution Centers - New Construction</t>
  </si>
  <si>
    <t>Hospitality - New Construction</t>
  </si>
  <si>
    <t>Healthcare</t>
  </si>
  <si>
    <t>Heat Pump Supplementary</t>
  </si>
  <si>
    <t>contribution rank</t>
  </si>
  <si>
    <t>Rank with ties</t>
  </si>
  <si>
    <t>rank no ties</t>
  </si>
  <si>
    <t>multiplier to convert to therm</t>
  </si>
  <si>
    <t>Fan power adjustments (Systems 9 through 10)</t>
  </si>
  <si>
    <t>Non-mechanical cooling fan - additional fan power allowance</t>
  </si>
  <si>
    <t>System Number</t>
  </si>
  <si>
    <t>cfm (IP)</t>
  </si>
  <si>
    <t>L/s (SI)</t>
  </si>
  <si>
    <t>Motor Horsepower (IP)</t>
  </si>
  <si>
    <t>Motor 
Kilowatts (SI)</t>
  </si>
  <si>
    <t>Fan Power Multiplier (p)</t>
  </si>
  <si>
    <t>Q = fan flow</t>
  </si>
  <si>
    <t>Allowed Fan Power: Power = p x Q + A</t>
  </si>
  <si>
    <t>Total Table 6.5.3.1.1B pressure drop adjustment (A)</t>
  </si>
  <si>
    <t>Multiply
x A</t>
  </si>
  <si>
    <t>Additional fan power for non-mechanical coolling</t>
  </si>
  <si>
    <t>Multiplier to convert from input power to allowable fan power</t>
  </si>
  <si>
    <t>All residential spaces (guest rooms, living quarters, private living space, in-patient rooms, and sleeping quarters) have been modeled with the required residential construction types from Table 5.5</t>
  </si>
  <si>
    <t>Total modeled exterior lighting power, including base allowance, based on inputs above (kW)</t>
  </si>
  <si>
    <t>Additional Power Allowance (W)</t>
  </si>
  <si>
    <t>Additional Lighting Power Description or Additional Control Method</t>
  </si>
  <si>
    <t xml:space="preserve">Rated Capacity </t>
  </si>
  <si>
    <t>Total building consumption by end-use</t>
  </si>
  <si>
    <t>Site energy consumption units used to report energy consumption totals (sum of energy types)</t>
  </si>
  <si>
    <t>Source energy consumption units used to report energy consumption totals (sum of energy types)</t>
  </si>
  <si>
    <t>Site Energy Use (Units shown per energy type)</t>
  </si>
  <si>
    <r>
      <t>PUE</t>
    </r>
    <r>
      <rPr>
        <vertAlign val="subscript"/>
        <sz val="10"/>
        <rFont val="Arial"/>
        <family val="2"/>
      </rPr>
      <t>3</t>
    </r>
  </si>
  <si>
    <t>Energy Modeling Output Reporting Method</t>
  </si>
  <si>
    <t>Performance Rating Method Compliance Report</t>
  </si>
  <si>
    <t>Unmet Loads</t>
  </si>
  <si>
    <t>Table: Streamlined DES Accounting Method (DES Path 3) - District Energy Allocation to Project Based on Average Efficiencies</t>
  </si>
  <si>
    <t>Data Center - Performance Rating Method Results</t>
  </si>
  <si>
    <t>Data Center Avg.</t>
  </si>
  <si>
    <t>Data Center</t>
  </si>
  <si>
    <t>Energy Sources</t>
  </si>
  <si>
    <t>Exceptional Calculation Methods</t>
  </si>
  <si>
    <r>
      <rPr>
        <b/>
        <i/>
        <sz val="10"/>
        <rFont val="Arial"/>
        <family val="2"/>
      </rPr>
      <t>DES Path 1:</t>
    </r>
    <r>
      <rPr>
        <b/>
        <sz val="10"/>
        <rFont val="Arial"/>
        <family val="2"/>
      </rPr>
      <t xml:space="preserve"> </t>
    </r>
    <r>
      <rPr>
        <sz val="10"/>
        <rFont val="Arial"/>
        <family val="2"/>
      </rPr>
      <t xml:space="preserve">If the project is using campus or district thermal energy using </t>
    </r>
    <r>
      <rPr>
        <i/>
        <sz val="10"/>
        <rFont val="Arial"/>
        <family val="2"/>
      </rPr>
      <t>ASHRAE 90.1-2010 without Addenda (District Energy Modeling Path 1)</t>
    </r>
    <r>
      <rPr>
        <sz val="10"/>
        <rFont val="Arial"/>
        <family val="2"/>
      </rPr>
      <t xml:space="preserve">, select District Cooling, District Hot Water, or District Steam as applicable and all other energy sources serving the building </t>
    </r>
    <r>
      <rPr>
        <b/>
        <i/>
        <sz val="12"/>
        <color rgb="FFFF0000"/>
        <rFont val="Calibri"/>
        <family val="2"/>
      </rPr>
      <t/>
    </r>
  </si>
  <si>
    <r>
      <rPr>
        <b/>
        <i/>
        <sz val="10"/>
        <rFont val="Arial"/>
        <family val="2"/>
      </rPr>
      <t>DES Path 3:</t>
    </r>
    <r>
      <rPr>
        <b/>
        <sz val="10"/>
        <rFont val="Arial"/>
        <family val="2"/>
      </rPr>
      <t xml:space="preserve"> </t>
    </r>
    <r>
      <rPr>
        <sz val="10"/>
        <rFont val="Arial"/>
        <family val="2"/>
      </rPr>
      <t xml:space="preserve">If the project is modeling campus or district thermal energy using the </t>
    </r>
    <r>
      <rPr>
        <i/>
        <sz val="10"/>
        <rFont val="Arial"/>
        <family val="2"/>
      </rPr>
      <t>Streamlined DES Accounting Method (District Energy Modeling Path 3)</t>
    </r>
    <r>
      <rPr>
        <sz val="10"/>
        <rFont val="Arial"/>
        <family val="2"/>
      </rPr>
      <t xml:space="preserve">, select District Cooling, District Hot Water, or District Steam as applicable, AND each energy source serving the building, AND each energy source in the district or campus plant if different from the energy sources serving the building (e.g. electricity, natural gas, etc.).
</t>
    </r>
    <r>
      <rPr>
        <b/>
        <i/>
        <sz val="12"/>
        <color rgb="FFFF0000"/>
        <rFont val="Calibri"/>
        <family val="2"/>
      </rPr>
      <t/>
    </r>
  </si>
  <si>
    <t>Select how any unfinished spaces have been modeled</t>
  </si>
  <si>
    <t>Skylights - Ufactor</t>
  </si>
  <si>
    <t>Skylights - SHGC</t>
  </si>
  <si>
    <t>Air handling and fan coil units with chilled water cooling coils and with supply fans motors greater than or equal to 5 hp (4 kW) have their supply fans controlled by two-speed motors or variable speed drives per Section 6.4.3.10.</t>
  </si>
  <si>
    <r>
      <t xml:space="preserve">All </t>
    </r>
    <r>
      <rPr>
        <b/>
        <i/>
        <sz val="10"/>
        <color indexed="8"/>
        <rFont val="Arial"/>
        <family val="2"/>
      </rPr>
      <t>proposed</t>
    </r>
    <r>
      <rPr>
        <sz val="10"/>
        <color indexed="8"/>
        <rFont val="Arial"/>
        <family val="2"/>
      </rPr>
      <t xml:space="preserve"> roofs, above-grade exterior walls, below-grade exterior walls, exposed floors, slab-on-grade floors, and opaque doors were modeled as-designed and with assembly U-factors, C-factors, and F-factors consistent with Appendix A values.</t>
    </r>
  </si>
  <si>
    <t>Infiltration rates and schedules have been modeled identically in the baseline and proposed.</t>
  </si>
  <si>
    <t>How were the proposed framed assembly fenestration U-factors determined?</t>
  </si>
  <si>
    <r>
      <t xml:space="preserve">Instructions: </t>
    </r>
    <r>
      <rPr>
        <sz val="10"/>
        <color indexed="8"/>
        <rFont val="Arial"/>
        <family val="2"/>
      </rPr>
      <t>Complete the Opaque Building Envelope Requirements section, then describe each unique opaque building envelope construction on a separate row in the Opaque Building Envelope Constructions table. Please refer to the column header notes for information about Appendix G modeling protocol. For any information not applicable to the project, simply enter "N/A". Baseline information will autogenerate for new construction when the space conditioning category is selected.</t>
    </r>
  </si>
  <si>
    <t>Identical to baseline</t>
  </si>
  <si>
    <r>
      <t xml:space="preserve">Instructions: </t>
    </r>
    <r>
      <rPr>
        <sz val="10"/>
        <color indexed="8"/>
        <rFont val="Arial"/>
        <family val="2"/>
      </rPr>
      <t>Describe each unique fenestration assembly on a separate row in the following table. Please refer to the column header notes for information about Appendix G modeling protocol. For any information not applicable to the project, simply enter "N/A". Baseline information will autogenerate for new construction.</t>
    </r>
  </si>
  <si>
    <t>All lighting schedules have been modeled identically in the baseline and proposed and reflect the anticipated operating schedules of each space.</t>
  </si>
  <si>
    <t>The proposed lighting power includes all lighting system components shown or provided for on the plans (including lamps and ballasts and task and furniture-mounted fixtures except where specifically exempted).</t>
  </si>
  <si>
    <t>Select the categorization procedure used to determine the lighting power density (LPD) in the proposed and baseline</t>
  </si>
  <si>
    <t>Additional lighting power has been modeled identically in the baseline and proposed up to the value allowed in Section 9.6.2</t>
  </si>
  <si>
    <r>
      <t xml:space="preserve">All </t>
    </r>
    <r>
      <rPr>
        <b/>
        <i/>
        <sz val="10"/>
        <rFont val="Arial"/>
        <family val="2"/>
      </rPr>
      <t>baseline</t>
    </r>
    <r>
      <rPr>
        <sz val="10"/>
        <rFont val="Arial"/>
        <family val="2"/>
      </rPr>
      <t xml:space="preserve"> single zone systems have been modeled with a separate HVAC system for each thermal block per G3.1.1.</t>
    </r>
  </si>
  <si>
    <r>
      <t xml:space="preserve">All </t>
    </r>
    <r>
      <rPr>
        <b/>
        <i/>
        <sz val="10"/>
        <rFont val="Arial"/>
        <family val="2"/>
      </rPr>
      <t>baseline</t>
    </r>
    <r>
      <rPr>
        <sz val="10"/>
        <rFont val="Arial"/>
        <family val="2"/>
      </rPr>
      <t xml:space="preserve"> VAV systems have been modeled with an HVAC system per floor, or one system per group of thermodynamically similar floors per G3.1.1.</t>
    </r>
  </si>
  <si>
    <r>
      <t xml:space="preserve">All </t>
    </r>
    <r>
      <rPr>
        <b/>
        <i/>
        <sz val="10"/>
        <rFont val="Arial"/>
        <family val="2"/>
      </rPr>
      <t>baseline</t>
    </r>
    <r>
      <rPr>
        <sz val="10"/>
        <rFont val="Arial"/>
        <family val="2"/>
      </rPr>
      <t xml:space="preserve"> heating and ventilation systems have been modeled with an HVAC system per floor or one system per group of thermodynamically similar floors per G3.1.1.</t>
    </r>
  </si>
  <si>
    <r>
      <t xml:space="preserve">All applicable </t>
    </r>
    <r>
      <rPr>
        <b/>
        <i/>
        <sz val="10"/>
        <rFont val="Arial"/>
        <family val="2"/>
      </rPr>
      <t>baseline</t>
    </r>
    <r>
      <rPr>
        <sz val="10"/>
        <rFont val="Arial"/>
        <family val="2"/>
      </rPr>
      <t xml:space="preserve"> exceptions to G3.1.1 have been implemented. Note that these exceptions are required, not optional.</t>
    </r>
  </si>
  <si>
    <r>
      <t xml:space="preserve">Where </t>
    </r>
    <r>
      <rPr>
        <b/>
        <i/>
        <sz val="10"/>
        <rFont val="Arial"/>
        <family val="2"/>
      </rPr>
      <t xml:space="preserve">baseline or proposed </t>
    </r>
    <r>
      <rPr>
        <sz val="10"/>
        <rFont val="Arial"/>
        <family val="2"/>
      </rPr>
      <t>efficiency ratings for DX cooling equipment, such as EER and COP, include fan energy, the descriptor is broken down into its components so that supply fan energy can be modeled separately per G3.1.2.1.</t>
    </r>
  </si>
  <si>
    <r>
      <t xml:space="preserve">All </t>
    </r>
    <r>
      <rPr>
        <b/>
        <i/>
        <sz val="10"/>
        <rFont val="Arial"/>
        <family val="2"/>
      </rPr>
      <t>baseline</t>
    </r>
    <r>
      <rPr>
        <sz val="10"/>
        <rFont val="Arial"/>
        <family val="2"/>
      </rPr>
      <t xml:space="preserve"> system cooling capacities auto-sized with 15% oversizing per G3.1.2.2 (at the system or plant level, but not both).</t>
    </r>
  </si>
  <si>
    <r>
      <t xml:space="preserve">All </t>
    </r>
    <r>
      <rPr>
        <b/>
        <i/>
        <sz val="10"/>
        <rFont val="Arial"/>
        <family val="2"/>
      </rPr>
      <t>baseline</t>
    </r>
    <r>
      <rPr>
        <sz val="10"/>
        <rFont val="Arial"/>
        <family val="2"/>
      </rPr>
      <t xml:space="preserve"> system heating capacities auto-sized with 25% oversizing per G3.1.2.2 (at the system or plant level, but not both).</t>
    </r>
  </si>
  <si>
    <r>
      <t xml:space="preserve">If the </t>
    </r>
    <r>
      <rPr>
        <b/>
        <i/>
        <sz val="10"/>
        <rFont val="Arial"/>
        <family val="2"/>
      </rPr>
      <t>proposed</t>
    </r>
    <r>
      <rPr>
        <sz val="10"/>
        <rFont val="Arial"/>
        <family val="2"/>
      </rPr>
      <t xml:space="preserve"> system has a preheat coil, it has been modeled and controlled in the same manner in the </t>
    </r>
    <r>
      <rPr>
        <b/>
        <i/>
        <sz val="10"/>
        <rFont val="Arial"/>
        <family val="2"/>
      </rPr>
      <t>baseline</t>
    </r>
    <r>
      <rPr>
        <sz val="10"/>
        <rFont val="Arial"/>
        <family val="2"/>
      </rPr>
      <t xml:space="preserve"> system per G3.1.2.4.</t>
    </r>
  </si>
  <si>
    <r>
      <t xml:space="preserve">All </t>
    </r>
    <r>
      <rPr>
        <b/>
        <i/>
        <sz val="10"/>
        <rFont val="Arial"/>
        <family val="2"/>
      </rPr>
      <t>baseline</t>
    </r>
    <r>
      <rPr>
        <sz val="10"/>
        <rFont val="Arial"/>
        <family val="2"/>
      </rPr>
      <t xml:space="preserve"> supply and return fans operate continuously when spaces are occupied and cycle when unoccupied per G3.1.2.5.</t>
    </r>
  </si>
  <si>
    <r>
      <t xml:space="preserve">Demand control ventilation is modeled in the </t>
    </r>
    <r>
      <rPr>
        <b/>
        <i/>
        <sz val="10"/>
        <rFont val="Arial"/>
        <family val="2"/>
      </rPr>
      <t>baseline</t>
    </r>
    <r>
      <rPr>
        <sz val="10"/>
        <rFont val="Arial"/>
        <family val="2"/>
      </rPr>
      <t xml:space="preserve"> case for all spaces larger than 500 sq ft (50 sq m) that have a design occupancy for ventilation of greater than 40 people per 1,000 sq ft (100 sq m) of floor area (except for spaces served by </t>
    </r>
    <r>
      <rPr>
        <b/>
        <i/>
        <sz val="10"/>
        <rFont val="Arial"/>
        <family val="2"/>
      </rPr>
      <t>baseline</t>
    </r>
    <r>
      <rPr>
        <sz val="10"/>
        <rFont val="Arial"/>
        <family val="2"/>
      </rPr>
      <t xml:space="preserve"> systems that do not have one of the following: an air-side economizer, automatic modulating control of the outdoor air damper, or a design outdoor airflow of greater than 3,000 cfm (1,400 L/s)) per G3.1.2.6 / 6.4.3.9.</t>
    </r>
  </si>
  <si>
    <r>
      <t xml:space="preserve">All </t>
    </r>
    <r>
      <rPr>
        <b/>
        <i/>
        <sz val="10"/>
        <rFont val="Arial"/>
        <family val="2"/>
      </rPr>
      <t>baseline</t>
    </r>
    <r>
      <rPr>
        <sz val="10"/>
        <rFont val="Arial"/>
        <family val="2"/>
      </rPr>
      <t xml:space="preserve"> systems are modeled with zero outside airflow when fans are cycled to meet unoccupied setback temperatures.</t>
    </r>
  </si>
  <si>
    <r>
      <t xml:space="preserve">All </t>
    </r>
    <r>
      <rPr>
        <b/>
        <i/>
        <sz val="10"/>
        <rFont val="Arial"/>
        <family val="2"/>
      </rPr>
      <t>baseline</t>
    </r>
    <r>
      <rPr>
        <sz val="10"/>
        <rFont val="Arial"/>
        <family val="2"/>
      </rPr>
      <t xml:space="preserve"> supply airflows for Systems 1-8 have been auto-sized based on a 20°F (11.1°C) supply-air-to-room-air cooling temperature difference (or the airflow rate required to comply with applicable codes/standards, whichever is greater) per G3.1.2.9.1. Exception: Laboratory spaces have been modeled with a 17°F (9.4°C) supply-air-to-room air temperature difference or the required ventilation air or makeup air, whichever is greater.</t>
    </r>
  </si>
  <si>
    <r>
      <t>All</t>
    </r>
    <r>
      <rPr>
        <b/>
        <i/>
        <sz val="10"/>
        <rFont val="Arial"/>
        <family val="2"/>
      </rPr>
      <t xml:space="preserve"> baseline</t>
    </r>
    <r>
      <rPr>
        <sz val="10"/>
        <rFont val="Arial"/>
        <family val="2"/>
      </rPr>
      <t xml:space="preserve"> supply airflows for systems 9-10 have been autosized based on the difference between a supply air temperature set point of 105°F (40.6°C) and the design space heating temperature set point (or the airflow rate required to comply with applicable codes/standards, whichever is greater) per G3.1.2.9.2.</t>
    </r>
  </si>
  <si>
    <r>
      <t xml:space="preserve">All </t>
    </r>
    <r>
      <rPr>
        <b/>
        <i/>
        <sz val="10"/>
        <rFont val="Arial"/>
        <family val="2"/>
      </rPr>
      <t>baseline</t>
    </r>
    <r>
      <rPr>
        <sz val="10"/>
        <rFont val="Arial"/>
        <family val="2"/>
      </rPr>
      <t xml:space="preserve"> heat pumps modeled with electric auxiliary heat only energized below 40°F (4°C) and as the last thermostat stage per G3.1.3.1 (compressor still enabled below 40°F (4°C)). The compressor continues to operate in conjunction with the electric auxiliary heat as low as 17°F(-8.3°C), in accordance with the Baseline equipment efficiency ratings from ASHRAE 90.1 Section 6.8.  See ASHRAE Interpretation 90.1-2007-09 for more information.</t>
    </r>
  </si>
  <si>
    <r>
      <t xml:space="preserve">All </t>
    </r>
    <r>
      <rPr>
        <b/>
        <i/>
        <sz val="10"/>
        <rFont val="Arial"/>
        <family val="2"/>
      </rPr>
      <t>baseline</t>
    </r>
    <r>
      <rPr>
        <sz val="10"/>
        <rFont val="Arial"/>
        <family val="2"/>
      </rPr>
      <t xml:space="preserve"> VAV systems modeled with supply air temperature reset of 5°F (2.3°C) under minimum cooling load conditions per G3.1.3.12.</t>
    </r>
  </si>
  <si>
    <r>
      <t xml:space="preserve">All </t>
    </r>
    <r>
      <rPr>
        <b/>
        <i/>
        <sz val="10"/>
        <rFont val="Arial"/>
        <family val="2"/>
      </rPr>
      <t>baseline</t>
    </r>
    <r>
      <rPr>
        <sz val="10"/>
        <rFont val="Arial"/>
        <family val="2"/>
      </rPr>
      <t xml:space="preserve"> VAV reheat boxes modeled with a minimum flow setpoint of 30% of peak zone flow (or minimum outdoor airflow rate or code required rate) per G3.1.3.13.</t>
    </r>
  </si>
  <si>
    <r>
      <t xml:space="preserve">All </t>
    </r>
    <r>
      <rPr>
        <b/>
        <i/>
        <sz val="10"/>
        <rFont val="Arial"/>
        <family val="2"/>
      </rPr>
      <t>baseline</t>
    </r>
    <r>
      <rPr>
        <sz val="10"/>
        <rFont val="Arial"/>
        <family val="2"/>
      </rPr>
      <t xml:space="preserve"> fans in parallel VAV fan-powered boxes sized for 50% of peak primary airflow and modeled with 0.35 W/cfm (0.74 W/L/s) fan power and a minimum flow setpoint of 30% of peak (or minimum ventilation rate) per G3.1.3.14.</t>
    </r>
  </si>
  <si>
    <r>
      <t xml:space="preserve">All </t>
    </r>
    <r>
      <rPr>
        <b/>
        <i/>
        <sz val="10"/>
        <rFont val="Arial"/>
        <family val="2"/>
      </rPr>
      <t>baseline</t>
    </r>
    <r>
      <rPr>
        <sz val="10"/>
        <rFont val="Arial"/>
        <family val="2"/>
      </rPr>
      <t xml:space="preserve"> VAV fans (Systems 5-8) are modeled with VAV part-load performance curves consistent with Table G3.1.3.15 Method 1 or Method 2.</t>
    </r>
  </si>
  <si>
    <t>For each item entered as “No” above, describe the applicable ASHRAE 90.1 Appendix G exception(s) that apply, or the circumstances preventing the HVAC parameters from being modeled as required, or for proposed parameters, details confirming that the proposed model appropriately represents the actual building design. If the energy simulation software is not capable of modeling the required parameters, describe the adjustments that were made to provide a thermodynamically similar representation of the system or provide a narrative justifying why the predicted energy performance results will not be influenced.</t>
  </si>
  <si>
    <r>
      <rPr>
        <b/>
        <sz val="10"/>
        <color theme="1"/>
        <rFont val="Arial"/>
        <family val="2"/>
      </rPr>
      <t>Instructions:</t>
    </r>
    <r>
      <rPr>
        <sz val="10"/>
        <color theme="1"/>
        <rFont val="Arial"/>
        <family val="2"/>
      </rPr>
      <t xml:space="preserve"> Enter all applicable input parameters for the baseline and proposed air-side HVAC systems below. All systems included in the model should be entered. Each individual system may be entered separately, or multiple systems may be grouped together if all input parameters identified with an (*) are similar. The table is set up for two unique HVAC systems (or two groups of similar systems), and additional systems (or groups of similar systems) should be added as necessary using the Add Baseline or Add Proposed button. For any information not applicable to the project, simply enter "N/A".  Note: All baseline systems must be identified in the General HVAC Tab in order to display the relevant baseline inputs below. If General HVAC system types are changed, system types must be reselected in this tab.
</t>
    </r>
  </si>
  <si>
    <r>
      <t xml:space="preserve">Instructions: </t>
    </r>
    <r>
      <rPr>
        <sz val="10"/>
        <color indexed="8"/>
        <rFont val="Arial"/>
        <family val="2"/>
      </rPr>
      <t>Enter all applicable input parameters for the baseline and proposed water-side HVAC systems below. All systems included in the model should be entered. Please refer to the row header notes for information about Appendix G modeling protocol. For any information not applicable to the project, simply enter "N/A". If taking credit for a campus or district plant efficiency using the DES Path 2 or 3 Guidance, please include all relevant information regarding the District Plant equipment in the proposed Case.</t>
    </r>
  </si>
  <si>
    <t>Complete the baseline results for each of the four building orientations, in addition to the proposed results.</t>
  </si>
  <si>
    <t>Report the averaged baseline results, in addition to the proposed results. In the EAp2 form uploads, provide simulation output summaries from the simulation output software that include the energy consumption by end-use, total energy consumption by energy type, and total energy cost by energy type, reported separately  for each of the four baseline rotations, and the average baseline energy consumption by end-use, energy consumption by energy type, and energy cost by energy type. (The simulation software must report this average as a standard report in order to use this option).</t>
  </si>
  <si>
    <t xml:space="preserve">The project is not required to simulate four baseline orientations because (a) the vertical fenestration area on each orientation varies by less than 5%, (b) the energy code used does not require simulation of four baseline orientations, or (c) the building is more than 50% existing based on conditioned floor area. Report the non-rotated baseline results, in addition to the proposed results.
</t>
  </si>
  <si>
    <t>The project is not required to simulate four baseline orientations because the building orientation is dictated by site consideration, as allowed by Table G3.1.5 (a) (baseline) Exception 1. Report the non-rotated baseline results, in addition to the proposed results.</t>
  </si>
  <si>
    <t>Complete the table below for the proposed, providing information on baseline energy consumption and peak demand by end-use. This data will be used to autopopulate the Performance tables below. If an end-use has two energy types (e.g. proposed space heating includes both fossil fuel and electric), enter the end-use twice in the table, and list the two different energy types.</t>
  </si>
  <si>
    <r>
      <rPr>
        <b/>
        <sz val="10"/>
        <rFont val="Arial"/>
        <family val="2"/>
      </rPr>
      <t xml:space="preserve">Full DES Performance Accounting method (District Energy Modeling Path 2): </t>
    </r>
    <r>
      <rPr>
        <sz val="10"/>
        <rFont val="Arial"/>
        <family val="2"/>
      </rPr>
      <t xml:space="preserve">Report the baseline energy as if the thermal energy is produced in the building.  Report the proposed energy used to generate and distribute the district thermal energy serving the building based on calculated average district thermal efficiencies (e.g. report the electricity used to generate and distribute chilled water to the building).
</t>
    </r>
    <r>
      <rPr>
        <b/>
        <sz val="10"/>
        <rFont val="Arial"/>
        <family val="2"/>
      </rPr>
      <t/>
    </r>
  </si>
  <si>
    <r>
      <rPr>
        <b/>
        <sz val="10"/>
        <rFont val="Arial"/>
        <family val="2"/>
      </rPr>
      <t>Data Centers:</t>
    </r>
    <r>
      <rPr>
        <sz val="10"/>
        <rFont val="Arial"/>
        <family val="2"/>
      </rPr>
      <t xml:space="preserve"> The energy consumption for IT equipment must be metered and reported separately from other end-uses in the energy model, and in the tables below to allow the proper determination of the PUE. Complete the table below for the baseline using the full build-out IT loads for the proposed design.
</t>
    </r>
    <r>
      <rPr>
        <b/>
        <sz val="10"/>
        <rFont val="Arial"/>
        <family val="2"/>
      </rPr>
      <t/>
    </r>
  </si>
  <si>
    <t>Proposed Energy Consumption 
with Exceptional Calculation Methods</t>
  </si>
  <si>
    <t>Proposed with On-Site Renewable Energy</t>
  </si>
  <si>
    <r>
      <t xml:space="preserve">Opaque envelope assemblies separating conditioned space from unconditioned or semiheated space in the baseline are modeled using semiheated envelope assemblies per the </t>
    </r>
    <r>
      <rPr>
        <i/>
        <sz val="10"/>
        <rFont val="Arial"/>
        <family val="2"/>
      </rPr>
      <t>ASHRAE 90.1-2010 User's Manual</t>
    </r>
    <r>
      <rPr>
        <sz val="10"/>
        <rFont val="Arial"/>
        <family val="2"/>
      </rPr>
      <t xml:space="preserve">, Section 5.1.2, </t>
    </r>
    <r>
      <rPr>
        <i/>
        <sz val="10"/>
        <rFont val="Arial"/>
        <family val="2"/>
      </rPr>
      <t xml:space="preserve">Space Conditioning Categories </t>
    </r>
    <r>
      <rPr>
        <sz val="10"/>
        <rFont val="Arial"/>
        <family val="2"/>
      </rPr>
      <t>(Page 5-2). Refer to Figure 5-B.</t>
    </r>
  </si>
  <si>
    <r>
      <t xml:space="preserve">All </t>
    </r>
    <r>
      <rPr>
        <b/>
        <i/>
        <sz val="10"/>
        <color indexed="8"/>
        <rFont val="Arial"/>
        <family val="2"/>
      </rPr>
      <t xml:space="preserve">baseline new construction </t>
    </r>
    <r>
      <rPr>
        <sz val="10"/>
        <color indexed="8"/>
        <rFont val="Arial"/>
        <family val="2"/>
      </rPr>
      <t>opaque envelope assemblies were modeled as required by Table 5.5 for the project's climate zone and Table G3.1#5(b) as lightweight assembly types.</t>
    </r>
  </si>
  <si>
    <t>Roof Solar Reflectance and Thermal Emittance</t>
  </si>
  <si>
    <t>No additional lighting power allowance has been claimed in the baseline for surfaces that are not provided with lighting in the actual design and lighting fixtures have not been double-counted for different exterior surfaces</t>
  </si>
  <si>
    <t>Spaces larger than 500 square feet (50 square meters), with occupancy of greater than 40 people per 1,000 square feet (100 square meters), and are served by systems that have one of the following: an air-side economizer, automatic modulating control of the outdoor air damper, or a design outdoor airflow of greater than 3,000 cfm (1,400 L/s), have been designed with demand control ventilation per Section 6.4.3.9.</t>
  </si>
  <si>
    <t>* Energy Recovery per 6.5.6.1</t>
  </si>
  <si>
    <t>Outdoor Open sales areas (including vehicle sales lots)</t>
  </si>
  <si>
    <t>Entry Canopies</t>
  </si>
  <si>
    <t>Pedestrian tunnels</t>
  </si>
  <si>
    <t>Landscaping</t>
  </si>
  <si>
    <t>Sales Canopies (free standing, attached and overhangs)</t>
  </si>
  <si>
    <t>Other (Please Specify)</t>
  </si>
  <si>
    <t>Conversions for QC</t>
  </si>
  <si>
    <t>convert to kWh</t>
  </si>
  <si>
    <t>IDC</t>
  </si>
  <si>
    <t>For Baseline, any individual systems where supply airflow rate exceeds value in Table 6.5.6.1 based on climate zone and percent outdoor air? For proposed, indicate if energy recovery is modeled.</t>
  </si>
  <si>
    <t>% energy recovery effectiveness</t>
  </si>
  <si>
    <r>
      <rPr>
        <b/>
        <sz val="10"/>
        <rFont val="Arial"/>
        <family val="2"/>
      </rPr>
      <t>ASHRAE 90.1-2010 without Addenda (District Energy Modeling Path 1):</t>
    </r>
    <r>
      <rPr>
        <sz val="10"/>
        <rFont val="Arial"/>
        <family val="2"/>
      </rPr>
      <t xml:space="preserve"> Report the district energy type (District Cooling, District Hot Water, or District Steam) for the cooling and heating end-uses as applicable for both the baseline and proposed.  </t>
    </r>
    <r>
      <rPr>
        <b/>
        <sz val="10"/>
        <rFont val="Arial"/>
        <family val="2"/>
      </rPr>
      <t/>
    </r>
  </si>
  <si>
    <r>
      <rPr>
        <b/>
        <sz val="10"/>
        <rFont val="Arial"/>
        <family val="2"/>
      </rPr>
      <t>ASHRAE 90.1-2010 without Addenda (District Energy Modeling Path 1):</t>
    </r>
    <r>
      <rPr>
        <sz val="10"/>
        <rFont val="Arial"/>
        <family val="2"/>
      </rPr>
      <t xml:space="preserve"> Report the district energy type (District Cooling, District Hot Water, or District Steam) for the cooling and heating end-uses as applicable for both the baseline and proposed.</t>
    </r>
    <r>
      <rPr>
        <b/>
        <sz val="10"/>
        <rFont val="Arial"/>
        <family val="2"/>
      </rPr>
      <t/>
    </r>
  </si>
  <si>
    <r>
      <rPr>
        <b/>
        <i/>
        <sz val="10"/>
        <rFont val="Arial"/>
        <family val="2"/>
      </rPr>
      <t>DES Path 2:</t>
    </r>
    <r>
      <rPr>
        <b/>
        <sz val="10"/>
        <rFont val="Arial"/>
        <family val="2"/>
      </rPr>
      <t xml:space="preserve"> </t>
    </r>
    <r>
      <rPr>
        <sz val="10"/>
        <rFont val="Arial"/>
        <family val="2"/>
      </rPr>
      <t xml:space="preserve">If the project is modeling campus or district thermal energy using the </t>
    </r>
    <r>
      <rPr>
        <i/>
        <sz val="10"/>
        <rFont val="Arial"/>
        <family val="2"/>
      </rPr>
      <t>Full DES Performance Accounting method (District Energy Modeling Path 2)</t>
    </r>
    <r>
      <rPr>
        <sz val="10"/>
        <rFont val="Arial"/>
        <family val="2"/>
      </rPr>
      <t xml:space="preserve"> include each energy source serving the building except District Energy, AND include each energy source in the district or campus plant (e.g. electricity, natural gas, etc.) if different from the energy sources serving the building. Do not select District Cooling, District Hot Water, or District Steam. </t>
    </r>
    <r>
      <rPr>
        <b/>
        <i/>
        <sz val="12"/>
        <color rgb="FFFF0000"/>
        <rFont val="Calibri"/>
        <family val="2"/>
      </rPr>
      <t/>
    </r>
  </si>
  <si>
    <r>
      <rPr>
        <b/>
        <sz val="10"/>
        <rFont val="Arial"/>
        <family val="2"/>
      </rPr>
      <t>Streamlined DES Accounting Method (District Energy Modeling Path 3):</t>
    </r>
    <r>
      <rPr>
        <sz val="10"/>
        <rFont val="Arial"/>
        <family val="2"/>
      </rPr>
      <t xml:space="preserve"> Report the energy type (District Cooling, District Hot Water, or District Steam for the cooling and heating end-uses as applicable for both the baseline and proposed. </t>
    </r>
    <r>
      <rPr>
        <b/>
        <sz val="10"/>
        <rFont val="Arial"/>
        <family val="2"/>
      </rPr>
      <t/>
    </r>
  </si>
  <si>
    <t>Select the fossil fuel energy type used to generate any district heating or cooling.  Enter the proposed average District Cooling and District Heating efficiencies as applicable. For District Cooling, include chillers, cooling towers, chilled water and condenser water pumps, thermal distribution losses, and any other end-uses contributing towards the energy used to generate and distribute chilled water to the building. For District Heating, include boilers, pumps, thermal distribution losses, and any other end-uses contributing towards the energy used to generate and distribute heating to the building. In the Uploads section of the form, provide details regarding the calculations and or monitoring used to determine the proposed District Energy average efficiency, including any energy simulation outputs for the district plant if using the modeling method.
* Average DES efficiency (COP) per energy source is equal to one unit of thermal energy divided by the input energy for the energy source associated with generating one unit of thermal energy and delivering it to the building. Baseline average efficiency is determined based on chilled water or hot water capacity and ASHRAE 90.1 Appendix G Baseline requirements for on-site CHW and HHW generation equipment (see District Energy Path 3 tab for details).</t>
  </si>
  <si>
    <t>BUILDING SPECIFIC DES Heating Average Efficiency:</t>
  </si>
  <si>
    <t>Building Heating Peak Baseline Load from PRM Outputs (use 2,000,000 Btuh if not yet entered, or if units are not entered for District Heating Demand)</t>
  </si>
  <si>
    <t>Elec</t>
  </si>
  <si>
    <t>Fuel</t>
  </si>
  <si>
    <t>Total Baseline</t>
  </si>
  <si>
    <t>Total Proposed</t>
  </si>
  <si>
    <t>Cost/Unit District Cooling</t>
  </si>
  <si>
    <t>Cost/Unit District Heating</t>
  </si>
  <si>
    <t>Adjusted Baseline (equal to lesser of proposed or baseline allowance)</t>
  </si>
  <si>
    <t>value is True if the base allowance plus adjusted baseline is less than proposed</t>
  </si>
  <si>
    <t>The issues listed below were automatically generated based upon information provided in the input and output sections. The intent is to address common review issues before submitting for certification via changing the model and/or actual design. This section is not meant to catch all potential issues present within the submittal. Although responses are not required, the project team is strongly encouraged to address each issue noted, as this will reduce the number of review comments and increase the likelihood of awarding this prerequisite at the preliminary review stage.</t>
  </si>
  <si>
    <r>
      <rPr>
        <sz val="16"/>
        <rFont val="Arial Black"/>
        <family val="2"/>
      </rPr>
      <t xml:space="preserve">Minimum Energy Performance Calculator
</t>
    </r>
    <r>
      <rPr>
        <sz val="9"/>
        <rFont val="Arial"/>
        <family val="2"/>
      </rPr>
      <t>LEED v4 EA Prerequisite Minimum Energy Performance and EA Credit Optimize Energy Performance</t>
    </r>
  </si>
  <si>
    <t>Note: This calculator is for use with Excel for Mac 2011 and Excel 2007 or later.</t>
  </si>
  <si>
    <t>Enable macros.</t>
  </si>
  <si>
    <t>LEED v4 BD+C: New Construction</t>
  </si>
  <si>
    <t>LEED v4 BD+C: Core and Shell</t>
  </si>
  <si>
    <t>LEED v4 BD+C: Schools</t>
  </si>
  <si>
    <t>LEED v4 BD+C: Retail</t>
  </si>
  <si>
    <t>LEED v4 BD+C: Data Centers</t>
  </si>
  <si>
    <t>LEED v4 BD+C: Warehouses and Distribution Centers</t>
  </si>
  <si>
    <t>LEED v4 BD+C: Hospitality</t>
  </si>
  <si>
    <t>LEED v4 BD+C: Healthcare</t>
  </si>
  <si>
    <t>LEED v4 ID+C: Commercial Interiors</t>
  </si>
  <si>
    <t>LEED v4 ID+C: Retail</t>
  </si>
  <si>
    <t>LEED v4 ID+C: Hospitality</t>
  </si>
  <si>
    <t>Rating system</t>
  </si>
  <si>
    <r>
      <t xml:space="preserve">The project is connected to a district or campus thermal energy system. </t>
    </r>
    <r>
      <rPr>
        <sz val="10"/>
        <color theme="1"/>
        <rFont val="Arial"/>
        <family val="2"/>
      </rPr>
      <t xml:space="preserve">For projects connected to a district or campus thermal energy system where thermal energy is produced for or distributed to multiple buildings, complete the applicable fields below. </t>
    </r>
  </si>
  <si>
    <t>Note: The selections above must match the rating system and unit of measurement chosen during project registration.</t>
  </si>
  <si>
    <t>Climate zone</t>
  </si>
  <si>
    <t>An ID+C rating system has been selected. Provide a detailed narrative reagarding the method for assigning relative contribution of base building HVAC and service water heating systems. Refer to the LEED v4 ID+C Reference Guide for additional information.</t>
  </si>
  <si>
    <t>The BD+C: Data Center rating system has been selected. By default, the full buildout IT loads are used to determine prerequisite and credit compliance. Select "Avg of Full IT Load + Startup IT Load" to the right in order to use the average of the energy modeling results for the full buildout IT loads and the energy modeling results for the startup IT loads to determine prerequisite and credit compliance.</t>
  </si>
  <si>
    <t xml:space="preserve">Table 9.6.1 
LPD </t>
  </si>
  <si>
    <r>
      <t xml:space="preserve">The </t>
    </r>
    <r>
      <rPr>
        <b/>
        <i/>
        <sz val="10"/>
        <rFont val="Arial"/>
        <family val="2"/>
      </rPr>
      <t>baseline</t>
    </r>
    <r>
      <rPr>
        <sz val="10"/>
        <rFont val="Arial"/>
        <family val="2"/>
      </rPr>
      <t xml:space="preserve"> boiler(s) have been modeled as natural draft per G3.1.3.2.</t>
    </r>
  </si>
  <si>
    <r>
      <t xml:space="preserve">The </t>
    </r>
    <r>
      <rPr>
        <b/>
        <i/>
        <sz val="10"/>
        <rFont val="Arial"/>
        <family val="2"/>
      </rPr>
      <t>baseline</t>
    </r>
    <r>
      <rPr>
        <sz val="10"/>
        <rFont val="Arial"/>
        <family val="2"/>
      </rPr>
      <t xml:space="preserve"> hot water design supply temperature has been modeled as 180°F (82°C)with a return temperature of 130°F (54°C) per G3.1.3.3.</t>
    </r>
  </si>
  <si>
    <r>
      <t xml:space="preserve">The </t>
    </r>
    <r>
      <rPr>
        <b/>
        <i/>
        <sz val="10"/>
        <rFont val="Arial"/>
        <family val="2"/>
      </rPr>
      <t>baseline</t>
    </r>
    <r>
      <rPr>
        <sz val="10"/>
        <rFont val="Arial"/>
        <family val="2"/>
      </rPr>
      <t xml:space="preserve"> hot water supply temperature reset schedule has been modeled as 180°F (82°C) at outdoor temperatures 20°F (-7°C) and below, 150°F (66°C) at outdoor temperatures 50°F (10°C) and above, and ramped linearly between 180°F (82°C) and 150°F (66°C) at outdoor temperatures between 20°F (-7°C) and 50°F (10°C) per G3.1.3.4.</t>
    </r>
  </si>
  <si>
    <r>
      <t xml:space="preserve">The </t>
    </r>
    <r>
      <rPr>
        <b/>
        <i/>
        <sz val="10"/>
        <rFont val="Arial"/>
        <family val="2"/>
      </rPr>
      <t>baseline</t>
    </r>
    <r>
      <rPr>
        <sz val="10"/>
        <rFont val="Arial"/>
        <family val="2"/>
      </rPr>
      <t xml:space="preserve"> hot water pump power has been modeled as 19 W/gpm (301 kW/1,000 L/s) per G3.1.3.5.</t>
    </r>
  </si>
  <si>
    <r>
      <t xml:space="preserve">Piping losses have not been modeled in the </t>
    </r>
    <r>
      <rPr>
        <b/>
        <i/>
        <sz val="10"/>
        <rFont val="Arial"/>
        <family val="2"/>
      </rPr>
      <t>baseline</t>
    </r>
    <r>
      <rPr>
        <sz val="10"/>
        <rFont val="Arial"/>
        <family val="2"/>
      </rPr>
      <t xml:space="preserve"> for hot or chilled water per G3.1.3.6.</t>
    </r>
  </si>
  <si>
    <r>
      <t xml:space="preserve">The </t>
    </r>
    <r>
      <rPr>
        <b/>
        <i/>
        <sz val="10"/>
        <rFont val="Arial"/>
        <family val="2"/>
      </rPr>
      <t xml:space="preserve">baseline </t>
    </r>
    <r>
      <rPr>
        <sz val="10"/>
        <rFont val="Arial"/>
        <family val="2"/>
      </rPr>
      <t>chiller(s) quantity and type have been modeled as indicated in Table G3.1.3.7 per G3.1.3.7</t>
    </r>
  </si>
  <si>
    <r>
      <t xml:space="preserve">The </t>
    </r>
    <r>
      <rPr>
        <b/>
        <i/>
        <sz val="10"/>
        <rFont val="Arial"/>
        <family val="2"/>
      </rPr>
      <t>baseline</t>
    </r>
    <r>
      <rPr>
        <sz val="10"/>
        <rFont val="Arial"/>
        <family val="2"/>
      </rPr>
      <t xml:space="preserve"> chilled water design supply temperature has been modeled as 44°F (6.7°C) with a return temperature of 56°F (13°C) per G3.1.3.8.</t>
    </r>
  </si>
  <si>
    <r>
      <t xml:space="preserve">The </t>
    </r>
    <r>
      <rPr>
        <b/>
        <i/>
        <sz val="10"/>
        <rFont val="Arial"/>
        <family val="2"/>
      </rPr>
      <t>baseline</t>
    </r>
    <r>
      <rPr>
        <sz val="10"/>
        <rFont val="Arial"/>
        <family val="2"/>
      </rPr>
      <t xml:space="preserve"> chilled water supply temperature reset schedule has been modeled as 44°F (7°C) at outdoor temperatures 80°F (27°C) and above, 54°F (12°C) at outdoor temperatures 60°F (16°C) and below, and ramped linearly between 44°F (7°C) and 54°F (12°C) at outdoor temperatures between 80°F (27°C) and 60°F (16°C) per G3.1.3.9.</t>
    </r>
  </si>
  <si>
    <r>
      <t xml:space="preserve">The </t>
    </r>
    <r>
      <rPr>
        <b/>
        <i/>
        <sz val="10"/>
        <rFont val="Arial"/>
        <family val="2"/>
      </rPr>
      <t>baseline</t>
    </r>
    <r>
      <rPr>
        <sz val="10"/>
        <rFont val="Arial"/>
        <family val="2"/>
      </rPr>
      <t xml:space="preserve"> chilled water pump power has been modeled as 22 W/gpm (349 kW/1,000 L/s) per G3.1.3.10. Recommended that the pump power be split as one-third (primary) and two-thirds (secondary).</t>
    </r>
  </si>
  <si>
    <r>
      <t xml:space="preserve">The </t>
    </r>
    <r>
      <rPr>
        <b/>
        <i/>
        <sz val="10"/>
        <rFont val="Arial"/>
        <family val="2"/>
      </rPr>
      <t>baseline</t>
    </r>
    <r>
      <rPr>
        <sz val="10"/>
        <rFont val="Arial"/>
        <family val="2"/>
      </rPr>
      <t xml:space="preserve"> cooling tower has been modeled with a two-speed axial fan per G3.1.3.11 with fan power per Table 6.8.1G.</t>
    </r>
  </si>
  <si>
    <r>
      <t xml:space="preserve">The </t>
    </r>
    <r>
      <rPr>
        <b/>
        <i/>
        <sz val="10"/>
        <rFont val="Arial"/>
        <family val="2"/>
      </rPr>
      <t>baseline</t>
    </r>
    <r>
      <rPr>
        <sz val="10"/>
        <rFont val="Arial"/>
        <family val="2"/>
      </rPr>
      <t xml:space="preserve"> condenser water design supply temperature has been modeled as 85°F (29°C) or 10°F (5.6°C) approaching design wet-bulb temperature, whichever is lower, with a design temperature rise of 10°F (5.6°C) per G3.1.3.11.</t>
    </r>
  </si>
  <si>
    <r>
      <t xml:space="preserve">The </t>
    </r>
    <r>
      <rPr>
        <b/>
        <i/>
        <sz val="10"/>
        <rFont val="Arial"/>
        <family val="2"/>
      </rPr>
      <t>baseline</t>
    </r>
    <r>
      <rPr>
        <sz val="10"/>
        <rFont val="Arial"/>
        <family val="2"/>
      </rPr>
      <t xml:space="preserve"> condenser water temperature reset schedule has been modeled to maintain a 70°F (21°C) leaving water temperature where weather permits, floating up to a leaving water temperature at design conditions per G3.1.3.11.</t>
    </r>
  </si>
  <si>
    <r>
      <t xml:space="preserve">The </t>
    </r>
    <r>
      <rPr>
        <b/>
        <i/>
        <sz val="10"/>
        <rFont val="Arial"/>
        <family val="2"/>
      </rPr>
      <t>baseline</t>
    </r>
    <r>
      <rPr>
        <sz val="10"/>
        <rFont val="Arial"/>
        <family val="2"/>
      </rPr>
      <t xml:space="preserve"> condenser water pump power has been modeled as 19 W/gpm (301 kW/1,000 L/s) per G3.1.3.11.</t>
    </r>
  </si>
  <si>
    <r>
      <t xml:space="preserve">All </t>
    </r>
    <r>
      <rPr>
        <b/>
        <i/>
        <sz val="10"/>
        <rFont val="Arial"/>
        <family val="2"/>
      </rPr>
      <t>proposed</t>
    </r>
    <r>
      <rPr>
        <sz val="10"/>
        <rFont val="Arial"/>
        <family val="2"/>
      </rPr>
      <t xml:space="preserve"> HVAC systems and related parameters, such as equipment capacities, efficiencies, airflows, fans, etc. have been modeled as designed and are consistent with supporting documentation.</t>
    </r>
  </si>
  <si>
    <r>
      <t xml:space="preserve">Each </t>
    </r>
    <r>
      <rPr>
        <b/>
        <i/>
        <sz val="10"/>
        <rFont val="Arial"/>
        <family val="2"/>
      </rPr>
      <t>proposed</t>
    </r>
    <r>
      <rPr>
        <sz val="10"/>
        <rFont val="Arial"/>
        <family val="2"/>
      </rPr>
      <t xml:space="preserve"> HVAC thermal zone has been modeled as a separate thermal block except as allowed by Table G3.1#7.</t>
    </r>
  </si>
  <si>
    <r>
      <t xml:space="preserve">All </t>
    </r>
    <r>
      <rPr>
        <b/>
        <i/>
        <sz val="10"/>
        <rFont val="Arial"/>
        <family val="2"/>
      </rPr>
      <t>proposed</t>
    </r>
    <r>
      <rPr>
        <sz val="10"/>
        <rFont val="Arial"/>
        <family val="2"/>
      </rPr>
      <t xml:space="preserve"> HVAC systems serving conditioned spaces have been modeled with heating and cooling as required by Table G3.1#1(b), with heating and/or cooling added as necessary identically to the </t>
    </r>
    <r>
      <rPr>
        <b/>
        <i/>
        <sz val="10"/>
        <rFont val="Arial"/>
        <family val="2"/>
      </rPr>
      <t>baseline</t>
    </r>
    <r>
      <rPr>
        <sz val="10"/>
        <rFont val="Arial"/>
        <family val="2"/>
      </rPr>
      <t xml:space="preserve"> per Table G3.1#10(c&amp;d) except where System types (9) or (10) have been modeled.</t>
    </r>
  </si>
  <si>
    <r>
      <t xml:space="preserve">All </t>
    </r>
    <r>
      <rPr>
        <b/>
        <i/>
        <sz val="10"/>
        <rFont val="Arial"/>
        <family val="2"/>
      </rPr>
      <t>proposed</t>
    </r>
    <r>
      <rPr>
        <sz val="10"/>
        <rFont val="Arial"/>
        <family val="2"/>
      </rPr>
      <t xml:space="preserve"> HVAC systems and related parameters can be modeled directly in the energy simulation program used.</t>
    </r>
  </si>
  <si>
    <r>
      <t xml:space="preserve">All </t>
    </r>
    <r>
      <rPr>
        <b/>
        <i/>
        <sz val="10"/>
        <rFont val="Arial"/>
        <family val="2"/>
      </rPr>
      <t>proposed</t>
    </r>
    <r>
      <rPr>
        <sz val="10"/>
        <rFont val="Arial"/>
        <family val="2"/>
      </rPr>
      <t xml:space="preserve"> fan part-load efficiency curves for variable volume fans have been modeled identically to the </t>
    </r>
    <r>
      <rPr>
        <b/>
        <i/>
        <sz val="10"/>
        <rFont val="Arial"/>
        <family val="2"/>
      </rPr>
      <t>baseline</t>
    </r>
    <r>
      <rPr>
        <sz val="10"/>
        <rFont val="Arial"/>
        <family val="2"/>
      </rPr>
      <t xml:space="preserve"> curves for variable volume fans (if not, provide a description of the fan curves used in the space at the bottom of this table, and confirm that the proposed curves are representative of the actual building design).</t>
    </r>
  </si>
  <si>
    <t>All proposed and baseline HVAC system types must be entered above to generate the correct modeling requirements below. Identify each applicable item (indicated in gray) as "Yes" or "No", and provide a further description for any items marked as "No".</t>
  </si>
  <si>
    <t>Required for Systems 1-6
Required for Systems 1, 3, and 5 if District Heating has been selected on the General Information tab
Not required if District Cooling has been slected</t>
  </si>
  <si>
    <t>Required for Systems 2 and 4
Not required if District Heating and/or Cooling has been selected on the General Information tab</t>
  </si>
  <si>
    <t>Required for Systems 7 and 8
Not required if District Cooling has been selected on the General Information tab</t>
  </si>
  <si>
    <t>Required for Systems 1, 5, and 7
Required for Systems 1-2 and 5-8 if District Cooling has been selected on the General Information tab
Not required if District Heating has been selected</t>
  </si>
  <si>
    <t>Offset 
Energy Type</t>
  </si>
  <si>
    <t>Annual Energy Cost Offset with 
Site-Generated Renewables 
($/year)</t>
  </si>
  <si>
    <t>Percent renewable energy (by cost)</t>
  </si>
  <si>
    <t>The building energy analysis includes exceptional calculation methods. (Optional)</t>
  </si>
  <si>
    <t>Table: Exceptional calculation methods energy summary</t>
  </si>
  <si>
    <t>Exceptional 
Calculation 
Method ID</t>
  </si>
  <si>
    <t>Annual Energy Difference by Energy Type</t>
  </si>
  <si>
    <r>
      <rPr>
        <b/>
        <sz val="10"/>
        <rFont val="Arial"/>
        <family val="2"/>
      </rPr>
      <t>Select one of the following before entering any simulation output data:</t>
    </r>
    <r>
      <rPr>
        <sz val="10"/>
        <rFont val="Arial"/>
        <family val="2"/>
      </rPr>
      <t xml:space="preserve">
</t>
    </r>
    <r>
      <rPr>
        <sz val="9"/>
        <rFont val="Arial"/>
        <family val="2"/>
      </rPr>
      <t>Note: If this is selected after data has been entered in the tables below, the energy types, baseline energy by end use, and baseline cost data will be cleared from these tables.</t>
    </r>
  </si>
  <si>
    <t xml:space="preserve">Total energy consumption by energy type </t>
  </si>
  <si>
    <t xml:space="preserve">Table: Baseline building annual energy cost by energy type </t>
  </si>
  <si>
    <t>Table: Baseline energy summary by end use</t>
  </si>
  <si>
    <t>Baseline annual energy cost</t>
  </si>
  <si>
    <t>Table: Proposed energy summary by end use</t>
  </si>
  <si>
    <t>Units of 
Annual Energy and Peak Demand</t>
  </si>
  <si>
    <t>Energy / Demand Savings 
per End-Use</t>
  </si>
  <si>
    <t>End Use 
Percent Contribution to Total Energy Savings</t>
  </si>
  <si>
    <t>Percent of Total Proposed  
Site Energy Consumption</t>
  </si>
  <si>
    <t>Table: Performance rating energy consumption and cost by fuel type</t>
  </si>
  <si>
    <t>Table: Virtual rate (average energy cost per unit energy)</t>
  </si>
  <si>
    <t>Table: Exceptional calculation methods</t>
  </si>
  <si>
    <t>Baseline Energy Consumption 
with Exceptional Calculation Methods</t>
  </si>
  <si>
    <t>Table: Renewable energy production</t>
  </si>
  <si>
    <t>Table: Total energy usage</t>
  </si>
  <si>
    <t>Subtotals added to baseline</t>
  </si>
  <si>
    <t>Subtotals subtracted from proposed</t>
  </si>
  <si>
    <t>End Use 
Percent 
Contribution to 
Total Cost Savings</t>
  </si>
  <si>
    <t>Issue Applicable to Project</t>
  </si>
  <si>
    <t xml:space="preserve">Summary </t>
  </si>
  <si>
    <t xml:space="preserve">Note: All information in this section is READ-ONLY. To edit, see previous tabs. </t>
  </si>
  <si>
    <t>For projects pursuing EA Credit Optimize Energy Performance</t>
  </si>
  <si>
    <t>Performance Threshold</t>
  </si>
  <si>
    <t>Total energy cost savings (excluding site-generated renewable energy) (%)</t>
  </si>
  <si>
    <t>Total energy cost savings (including site-generated renewable energy) (%)</t>
  </si>
  <si>
    <t>Y</t>
  </si>
  <si>
    <t>Performance Improvement  Threshold</t>
  </si>
  <si>
    <r>
      <rPr>
        <b/>
        <sz val="10"/>
        <rFont val="Arial"/>
        <family val="2"/>
      </rPr>
      <t xml:space="preserve">Upload: Exceptional calculation </t>
    </r>
    <r>
      <rPr>
        <sz val="10"/>
        <rFont val="Arial"/>
        <family val="2"/>
      </rPr>
      <t xml:space="preserve">
Provide a detailed narrative explaining the exceptional calculation method(s) performed, including all end-uses affected by the exceptional calculation method. If more than one exceptional calculation method is used, the exceptional calculation ID in the narrative must match the values listed in the table above.  The exceptional calculation method must include:
•  Step-by-step documentation of the exceptional calculation method(s) performed detailed enough to reproduce the results
•  Copies of all spreadsheets used to perform the calculations, or simulation energy model input and output summaries documenting the calculations performed
•  For methods that significantly impact HVAC or refrigeration energy, the calculations shall be performed on a time step basis consistent with the simulation program used
•  The Performance Rating calculated with and without the exceptional calculation method
•  Documentation of the baseline and proposed assumptions. Documentation of baseline assumptions verify that the efficiency measure is not conventional practice by including, but not limited to:
    ○  a recently published study (published within five years of the project registration date) with researched tabulations or monitored data establishing standard practice for the given application in similar newly constructed facilities
    ○  a new construction utility or government program that incentivizes the measure
    ○  a document showing the systems used to perform the same function in other newly constructed facilities (for example, three similar facilities built within the past five years). These systems would be treated as the baseline system in the analysis, and evidence must be provided to demonstrate how the energy for the baseline and proposed buildings are determined 
    ○  use any of the prescriptive requirements from 90.1-2010 as the baseline requirement without further justification to substantiate conventional practice, but only for the specific component addressed by the prescriptive requirement</t>
    </r>
  </si>
  <si>
    <r>
      <t>Table: Data center PUE</t>
    </r>
    <r>
      <rPr>
        <b/>
        <vertAlign val="subscript"/>
        <sz val="10"/>
        <rFont val="Arial"/>
        <family val="2"/>
      </rPr>
      <t>3</t>
    </r>
    <r>
      <rPr>
        <b/>
        <sz val="10"/>
        <rFont val="Arial"/>
        <family val="2"/>
      </rPr>
      <t xml:space="preserve"> of startup and full buildout IT loads </t>
    </r>
  </si>
  <si>
    <r>
      <rPr>
        <b/>
        <sz val="10"/>
        <rFont val="Arial"/>
        <family val="2"/>
      </rPr>
      <t xml:space="preserve">Data Centers:  </t>
    </r>
    <r>
      <rPr>
        <sz val="10"/>
        <rFont val="Arial"/>
        <family val="2"/>
      </rPr>
      <t xml:space="preserve">If using the Data Center Calculator to document energy improvements in IT loads, the checkbox stating that the building energy analysis includes exceptional calculation methods must be checked.  In the table below, select the checkbox “Apply to Baseline?” for each end-use impacted, and provide:
•  The completed Data Center Calculator (found under the prerequisite's "Resources" tab in the Credit Library), as well as copies of any other spreadsheets used to perform the calculations
•  If energy efficiency credit is applied for any future IT equipment, electrical infrastructure, and/or for future server room cooling equipment that will serve unfinished spaces (meaning that the IT equipment, electrical infrastructure, and/or unfinished space cooling equipment will not be installed during Startup Occupancy), provide a binding Owner commitment letter and (for any tenants) sample lease agreements with binding tenant requirements that confirms that the future installed IT equipment will be at least as efficient as the equipment modeled in the Data Center Calculator. Note that the future equipment may not be modeled as being more efficient than the equipment installed for Startup occupancy.
•  If taking credit for the impact of IT equipment load reductions on HVAC energy consumption, upload the simulation input summary and simulation output reports, and Performance Rating summary with the baseline model revised to include the baseline IT and electrical infrastructure from the Data Center Calculator.
</t>
    </r>
    <r>
      <rPr>
        <b/>
        <sz val="10"/>
        <rFont val="Arial"/>
        <family val="2"/>
      </rPr>
      <t/>
    </r>
  </si>
  <si>
    <r>
      <rPr>
        <b/>
        <sz val="10"/>
        <rFont val="Arial"/>
        <family val="2"/>
      </rPr>
      <t>Retail:</t>
    </r>
    <r>
      <rPr>
        <sz val="10"/>
        <rFont val="Arial"/>
        <family val="2"/>
      </rPr>
      <t xml:space="preserve"> The energy consumption for cooking, refrigeration, and kitchen ventilation fans must be metered and reported separately from other end-uses in the energy model and in the tables below. Energy savings or consumption attributable to unregulated equipment, other than Commercial Kitchen Equipment, Supermarket Refrigeration, Walk-in Coolers and Freezers, or Commercial Kitchen Ventilation listed in Tables 1 – 4 of the LEED v4 BD+C: Retail and ID+C: Retail Rating System Appendix 3 must be claimed via Exceptional Calculation Methodology.</t>
    </r>
  </si>
  <si>
    <r>
      <rPr>
        <b/>
        <sz val="10"/>
        <rFont val="Arial"/>
        <family val="2"/>
      </rPr>
      <t>Retail:</t>
    </r>
    <r>
      <rPr>
        <sz val="10"/>
        <rFont val="Arial"/>
        <family val="2"/>
      </rPr>
      <t xml:space="preserve"> The energy consumption for cooking, refrigeration, and kitchen ventilation fans must be metered and reported separately from other end-uses in the energy model and in the tables below. Energy savings or consumption attributable to unregulated equipment, other than Commercial Kitchen Equipment, Supermarket Refrigeration, Walk-in Coolers and Freezers, or Commercial Kitchen Ventilation listed in Tables 1 – 4 of the LEED v4 BD+C:Retail and ID+C: Retail Rating System Appendix 3 must be claimed via Exceptional Calculation Methodology.</t>
    </r>
  </si>
  <si>
    <r>
      <rPr>
        <b/>
        <sz val="10"/>
        <rFont val="Arial"/>
        <family val="2"/>
      </rPr>
      <t>Startup IT Loads</t>
    </r>
    <r>
      <rPr>
        <sz val="10"/>
        <rFont val="Arial"/>
        <family val="2"/>
      </rPr>
      <t xml:space="preserve">
Building energy consumption with Startup IT loads 
including Data Center Calculator and exceptional calculation measures</t>
    </r>
  </si>
  <si>
    <r>
      <rPr>
        <b/>
        <sz val="10"/>
        <rFont val="Arial"/>
        <family val="2"/>
      </rPr>
      <t>Full Buildout IT Loads</t>
    </r>
    <r>
      <rPr>
        <sz val="10"/>
        <rFont val="Arial"/>
        <family val="2"/>
      </rPr>
      <t xml:space="preserve">
Building energy consumption with Full Buildout IT loads 
including Data Center Calculator and exceptional calculation measures</t>
    </r>
  </si>
  <si>
    <t>ASHRAE 90.1 Addenda used in the energy model(s), if any.  Addenda are not required to be used for the project. However, each addenda must be used in its entirety if applied to the project, and must be consistent across all relevant LEED Credits.</t>
  </si>
  <si>
    <r>
      <rPr>
        <b/>
        <sz val="10"/>
        <rFont val="Arial"/>
        <family val="2"/>
      </rPr>
      <t xml:space="preserve">Compliant energy modeling methodology.   </t>
    </r>
    <r>
      <rPr>
        <sz val="10"/>
        <rFont val="Arial"/>
        <family val="2"/>
      </rPr>
      <t>Energy simulation runs for both the baseline and proposed use the assumptions and modeling methodology described in EITHER ASHRAE 90.1-2010 Appendix G OR the analogous section of the alternative qualifying energy code used.</t>
    </r>
  </si>
  <si>
    <t>Are adjustments being taken for room geometry in the baseline? (Optional)</t>
  </si>
  <si>
    <t>Are adjustments being taken for automatic lighting controls beyond what is required by Section 9.4.1 in the proposed? (Optional)</t>
  </si>
  <si>
    <r>
      <t xml:space="preserve">If attempting to take additional credit/adjustments in the baseline for room geometry and/or in the proposed for automatic lighting controls, further work will be required.  Taking the additional credit is optional.
</t>
    </r>
    <r>
      <rPr>
        <sz val="9"/>
        <color theme="1"/>
        <rFont val="Arial"/>
        <family val="2"/>
      </rPr>
      <t xml:space="preserve">Note: This method employs Addendum cg to 90.1-2010 due to contradictions in the originally published standard. If the project team does not wish to apply the addendum, provide a substantially similar spreadsheet to verify the inputs for the interior lighting power. </t>
    </r>
  </si>
  <si>
    <t>Performance Rating Method Outputs</t>
  </si>
  <si>
    <t>G</t>
  </si>
  <si>
    <t>Average 
Efficiency 
(COP)*</t>
  </si>
  <si>
    <t>Site Energy Use 
(Units shown per energy type)</t>
  </si>
  <si>
    <r>
      <t>Baseline Energy Consumption 
with District Energy Average Efficiencies</t>
    </r>
    <r>
      <rPr>
        <i/>
        <sz val="10"/>
        <rFont val="Arial"/>
        <family val="2"/>
      </rPr>
      <t xml:space="preserve"> 
(if DES Path 3 is used)</t>
    </r>
  </si>
  <si>
    <r>
      <t xml:space="preserve">Proposed Energy Consumption 
with District Energy Average Efficiencies 
</t>
    </r>
    <r>
      <rPr>
        <i/>
        <sz val="10"/>
        <rFont val="Arial"/>
        <family val="2"/>
      </rPr>
      <t>(if DES Path 3 is used)</t>
    </r>
  </si>
  <si>
    <t>Table: Performance rating data center - Startup IT loads</t>
  </si>
  <si>
    <t>Table: Performance rating data center - Full load IT loads (tabulated from spreadsheet data entered above)</t>
  </si>
  <si>
    <t>Table: Performance rating data center - Average between full Load IT loads and startup IT loads</t>
  </si>
  <si>
    <t>Baseline Building Energy Consumption 
with Exceptional Calculation Methods</t>
  </si>
  <si>
    <t>The total exterior lighting power allowance, including the base site allowance, is less than the designed lighting power as reported in the Lighting tab, violating mandatory Section 9.4.3. Verify that the inputs are accurate and modify the exterior lighting design as necessary to show compliance.</t>
  </si>
  <si>
    <t>The total baseline and proposed air flow rates differ by more than 35% (as reported in the Air-Side HVAC sheet), making it unclear whether the baseline fan air flow rate was sized based on a 20 deg. F supply-air-to-room-air temperature difference, as required by G3.1.2.9.1 for each baseline system. Verify that the proposed has been modeled as designed in accordance with Table G3.1.10(b) (proposed) and that the baseline has been correctly sized in accordance with Appendix G requirements.</t>
  </si>
  <si>
    <t>The total baseline and proposed capacities for the cooling and/or heating (as reported in the Air-Side HVAC tab) differ by more than 35%, making it unclear whether the baseline cooling and heating capacities have been met the G3.1.2.2 requirement for oversizing by 15% for cooling and 25% for heating. Verify that the proposed has been modeled as designed in accordance with Table G3.1.10(b) (proposed) and that the baseline has been sized in accordance with Appendix G requirements. Additionally, verify that the baseline capacities were oversized either at the system level or plant level, but not both, and that any other safety factors have been excluded from the baseline.</t>
  </si>
  <si>
    <t>The outdoor airflow rate is higher in the baseline model compared to the proposed (as reported in the Air-Side HVAC tab). Section G3.1.2.6 exception (c) requires that if the proposed design has more outdoor air than required by the rating authority (in this case USGBC/GBCI), then the baseline must be modeled with the amount required per EQ Prerequisite Minimum Indoor Air Quality Performance, and will be less than the rate modeled in the proposed. Ensure that the baseline outdoor airflow rate is consistent with that required by EQ Prerequisite Minimum Indoor Air Quality Performance. If applying G3.1.2.6 exception (b), and using an Ez value of 1.0 for the Baseline Case, upload baseline design ventilation rate procedure calculations as described in Standard 62.1 and as required by ASHRAE 90.1 in order to claim credit for this exception.</t>
  </si>
  <si>
    <t>The baseline vertical glazing area is greater than 40% (as reported in the Shading and Fenestration tab, Shading section), which is inconsistent with the requirement of Table G3.1.5(c) (baseline).  Please correct or provide justification.</t>
  </si>
  <si>
    <t>The baseline and/or proposed interior lighting equivalent full load hours (determined by dividing the total annual lighting consumption by the total lighting power as reported in the Performance Outputs tab) is greater than 4,000 hours/year, which is unexpectedly high. Ensure that the lighting models reflect all mandatory controls from Section 9 and reflect the anticipated schedule of operation for the building.</t>
  </si>
  <si>
    <t>The baseline and/or proposed interior lighting equivalent full load hours (determined by dividing the total annual lighting consumption by the total lighting power as reported in the Performance Outputs tab) differs by more than 10%, which is unexpected.</t>
  </si>
  <si>
    <t>The interior lighting demand (as reported in the Performance Outputs tab for the baseline and/or proposed) exceeds the lighting power as reported in the Lighting sheet (Summary section) by more than 5%. Ensure that the values reflected in the Lighting sheet are accurate and appropriately reflect the modeled interior lighting power density.</t>
  </si>
  <si>
    <t>The Performance Outputs tab shows zero consumption for exterior lighting power in the baseline and/or proposed model.  Confirm that no exterior lighting is included in the building site. Verify that the proposed exterior lighting reflects the actual building design, and the baseline reflects the allowed lighting power from Section 9.4.3. Ensure that no credit is taken in the proposed for lighting reductions on non‐tradable surfaces.  (Note that additional lighting power allowance cannot be claimed in the baseline for surfaces that are not provided with lighting in the actual design, and that lighting fixtures cannot be double counted for different exterior surfaces).</t>
  </si>
  <si>
    <t>The baseline and/or proposed exterior lighting equivalent full load hours (determined by dividing the total annual lighting consumption by the total lighting power as reported in the Performance Outputs tab) is greater than 5,110 hours/year (approximately 14 hours per day) or less than 3,650 hours/year (approximately 10 hours per day). Ensure that the lighting models reflect all mandatory controls from Section 9.4.1.7.</t>
  </si>
  <si>
    <t>The baseline and/or proposed exterior lighting equivalent full load hours (determined by dividing the total annual lighting consumption by the total lighting power as reported in the Performance Outputs tab) differs by more than 5%, which is unexpected. Please correct or provide justification.</t>
  </si>
  <si>
    <t>The baseline and proposed exterior lighting consumption values are within 1% of each other, as reported in the Performance Outputs tab, indicating that the lighting has been modeled nearly identically. Verify that the proposed exterior lighting reflects the actual building design, and the baseline reflects the allowed lighting power from Section 9.4.3. Ensure that no credit is taken in the proposed for lighting reductions on non‐tradable surfaces. (Note that additional lighting power allowance cannot be claimed in the baseline for surfaces that are not provided with lighting in the actual design, and  that lighting fixtures cannot be double counted for different exterior surfaces.)</t>
  </si>
  <si>
    <t>The exterior lighting demand as reported in the Performance Outputs tab for the baseline and/or proposed exceeds the lighting power reported on the Lighting sheet (Summary section) by more than 5%. Ensure that the values reflected in the Lighting sheet are accurate and appropriately reflect the modeled exterior lighting power density.</t>
  </si>
  <si>
    <t>The receptacle equipment consumption for the baseline and/or proposed building (as reported in the Performance Outputs tab) is greater than 40% (less than 10%) of the total building site energy usage, which is unexpectedly high (low). This check was made using the Performance rating energy consumption and cost by fuel type table (i.e. before adjustments were made for renewable energy production or an exceptional calculation method). Verify that the receptacle equipment has been modeled as accurately as possible.</t>
  </si>
  <si>
    <t>One (or more) of the unregulated end uses differs by more than 3% between the baseline and proposed as reported in the Performance Outputs tab. If savings are being attempted for an unregulated end use, the Exceptional Calculation Method must be followed.</t>
  </si>
  <si>
    <t>The service water heating consumption for the baseline and/or proposed building constitutes more than 15% of the total building site energy usage (as reported in the Performance Outputs tab), which is unexpected. This check was made using the Performance Rating - Energy Consumption and Cost by Fuel Type table (i.e. before any adjustments were made for renewable energy production or an exceptional calculation method). Verify that the service water heating has been modeled as designed, in accordance with Table G3.1.11 (b) (proposed) and that the schedule is typical of the building type in accordance with Table G3.1.4 (proposed).</t>
  </si>
  <si>
    <t xml:space="preserve">The baseline and/or proposed fans equivalent full load hours (determined by dividing the total annual fan consumption by the total fan power as reported in the Performance Outputs tab) is greater than 4,000 hours/year, which is unexpectedly high. Ensure that the HVAC system models reflect all mandatory controls from Section 6, and reflect the anticipated schedule of operation for the building. </t>
  </si>
  <si>
    <t xml:space="preserve">The baseline and/or proposed fan equivalent full load hours (determined by dividing the total annual fan consumption by the total fan power as reported in the Performance Outputs tab) differs by more than 25%, which is unexpected. Ensure that the HVAC system models reflect all mandatory controls from Section 6, and reflect the anticipated schedule of operation for the building. </t>
  </si>
  <si>
    <t>The fan demand (as reported in the Performance Outputs tab) for the baseline and/or proposed exceeds the fan power as reported in the Air-Side HVAC tab (total system fan power) by more than 5%. Ensure that the values reflected in the Air-Side HVAC sheet are accurate and appropriately reflect the modeled fans.</t>
  </si>
  <si>
    <t>The fan demand (as reported in the Performance Outputs tab) for the baseline and/or proposed is 60% less than the fan power as reported in the Air-Side HVAC tab, which is unexpected. Ensure that the values reflected in the Air-Side HVAC tab are accurate and appropriately reflect the modeled fans.</t>
  </si>
  <si>
    <t>The equivalent full load hours (determined by dividing the total annual consumption by the total rated capacity/power as reported in the Performance Outputs tab) for the photovoltaic system is greater than 1,500 hours/year, which is unexpectedly high. Provide documentation explaining the calculation method used to estimate the annual energy generated, and indicate all factors influencing the performance, such as derate factor, tilt, orientation, etc.</t>
  </si>
  <si>
    <t>The virtual energy rate for one or more of the energy types varies by more than 10% (as reported in the Performance Outputs tab). Ensure that the energy rates have been determined using either actual rates or state average energy prices published by DOE's Energy Information Administration. Provide information regarding the utility rate structure including all demand and energy charges and the seasonal and time-of-use structure of the utility tariff.</t>
  </si>
  <si>
    <t>The virtual energy rate for the renewable energy varies from the virtual energy rate for the proposed by more than 5% (as reported in the Performance Outputs tab), which is unexpected.  Please correct or provide justification.</t>
  </si>
  <si>
    <t>The proposed virtual energy rate for electricity is less than $0.06 per kWh or greater than $0.25 per kWh (as reported in the Performance Outputs tab), which is unexpected. Please correct or provide justification.</t>
  </si>
  <si>
    <t>The Energy Modeling Output Reporting Method (as reported in the Performance Outputs tab) indicates that the baseline has not been rotated because the building orientation is dictated by site considerations, as allowed by Table G3.1.5 (a) (baseline) Exception 1. Provide a detailed narrative (and additional documentation as necessary) describing why this exception has been applied.</t>
  </si>
  <si>
    <t>Two different types of heating consumption (e.g. electricity and natural gas) are reported in the baseline results in the Performance Outputs tab, which is unexpected. If modeling system type 3, note that there should be no crankcase heating or electric space heaters modeled in the baseline. If modeling system type 1, 5, or 7, note that the hot water boiler must be modeled as a natural draft boiler and there should be no electric space heaters modeled in the baseline. Please note that there are some exceptions (e.g. G3.1.1 (a)) which allow this situation; therefore, please be cautious before changing the model as a result of this comment.</t>
  </si>
  <si>
    <t>The unmet load hours exceed 300 hours for the baseline and/or proposed (as reported in the Performance Outputs tab), which is not in compliance with G3.1.2.3.  Please correct.</t>
  </si>
  <si>
    <r>
      <t xml:space="preserve">Copyright </t>
    </r>
    <r>
      <rPr>
        <sz val="9"/>
        <color theme="0" tint="-0.499984740745262"/>
        <rFont val="Arial"/>
        <family val="2"/>
      </rPr>
      <t>©</t>
    </r>
    <r>
      <rPr>
        <sz val="8"/>
        <color theme="0" tint="-0.499984740745262"/>
        <rFont val="Arial"/>
        <family val="2"/>
      </rPr>
      <t xml:space="preserve"> 2012</t>
    </r>
  </si>
  <si>
    <t>U.S. Green Building Council</t>
  </si>
  <si>
    <t>All Rights Reserved</t>
  </si>
  <si>
    <t>The value for nontradable exterior lighting power (building facades, ATMs and night depositories, entrances and gatehouse inspection stations at guarded facilities, loading areas for law enforcement, fire, ambulance, and other emergency service vehicles, drive-through windows at fast food restaurants, and/or parking near 24-hour retail entrances) is less than the designed lighting power after adding in the unrestricted lighting power allowance as reported in the Lighting sheet, violating mandatory Section 9.4.3. Verify that the inputs are accurate and modify the exterior lighting design as necessary to show compliance.</t>
  </si>
  <si>
    <t>Number of floors</t>
  </si>
  <si>
    <t>Homes</t>
  </si>
  <si>
    <t>Energy model based on</t>
  </si>
  <si>
    <t>Energy modeler</t>
  </si>
  <si>
    <t>LEED project phase completeness</t>
  </si>
  <si>
    <t>90% Construction Documents</t>
  </si>
  <si>
    <t>100% Construction Documents</t>
  </si>
  <si>
    <t>As-built Construction Documents</t>
  </si>
  <si>
    <t>Other - Please Describe</t>
  </si>
  <si>
    <t>Please describe the phase in which the Energy model is based on</t>
  </si>
  <si>
    <t>LEED v4 BD+C: Multifamily Midrise</t>
  </si>
  <si>
    <t>Vertical Fenestration varies by less than 5%</t>
  </si>
  <si>
    <t>Energy code does not require four orientations</t>
  </si>
  <si>
    <t>Building is more than 50% existing based on floor area</t>
  </si>
  <si>
    <t>Baseline Orientation Exemptions</t>
  </si>
  <si>
    <t>Design is dictated by site consideration*</t>
  </si>
  <si>
    <t>Project has residential Dwelling Units?</t>
  </si>
  <si>
    <t>Residential Equipment Calculator</t>
  </si>
  <si>
    <t>Load Soure</t>
  </si>
  <si>
    <t>Building ID</t>
  </si>
  <si>
    <t>Studio</t>
  </si>
  <si>
    <t>1 Bedroom</t>
  </si>
  <si>
    <t>2 Bedrooms</t>
  </si>
  <si>
    <t>3 Bedrooms</t>
  </si>
  <si>
    <t>4 Bedrooms</t>
  </si>
  <si>
    <t>5 Bedrooms</t>
  </si>
  <si>
    <t>6 Bedrooms</t>
  </si>
  <si>
    <t>Total number of units</t>
  </si>
  <si>
    <t>Total number of bedrooms</t>
  </si>
  <si>
    <t>Baseline Residential Usage per person
Excluding Clothes / Dish Washers</t>
  </si>
  <si>
    <t>Low</t>
  </si>
  <si>
    <t>Demographics such as all occupants working, seniors, middle income, and higher population density.</t>
  </si>
  <si>
    <t>Medium</t>
  </si>
  <si>
    <t>Demographics such as mixture of working / non-working occupants, mixture of age groups, medium population densities.</t>
  </si>
  <si>
    <t>High</t>
  </si>
  <si>
    <t>Demographics such high percentages of children, low income, public assistance, or no occupants working.</t>
  </si>
  <si>
    <t>Quantity</t>
  </si>
  <si>
    <t>7 Bedrooms</t>
  </si>
  <si>
    <t>8 Bedrooms</t>
  </si>
  <si>
    <t>Average Number of Bedrooms Per Unit</t>
  </si>
  <si>
    <t>Multifamily Home Details</t>
  </si>
  <si>
    <t xml:space="preserve">Complete the table for each building in the project.  Input the number of units and the average floor area for units with the corresponding bedroom number. </t>
  </si>
  <si>
    <t>Point Adjustment (1 point credit per 4% reduction in floor area versus reference; 1 point deduction per 4% increase in floor area versus reference).</t>
  </si>
  <si>
    <r>
      <rPr>
        <b/>
        <sz val="10"/>
        <color theme="1"/>
        <rFont val="Arial"/>
        <family val="2"/>
      </rPr>
      <t>Instructions:</t>
    </r>
    <r>
      <rPr>
        <sz val="10"/>
        <color indexed="8"/>
        <rFont val="Arial"/>
        <family val="2"/>
      </rPr>
      <t xml:space="preserve"> Complete the Service Water Heaters table for each unique type of system in the project. Use the Add System button for more than one type of system. If the project includes service hot water circulation pumps, complete the Service Hot Water Pumps table. Please refer to the column header notes for information about Appendix G modeling protocol. Complete the Service Hot Water Fixtures table if credit is modeled for low-flow fixtures in the proposed. For any information not applicable to the project, simply enter "N/A".</t>
    </r>
  </si>
  <si>
    <t>* Percentage based on  floor area</t>
  </si>
  <si>
    <t>Total points documented:</t>
  </si>
  <si>
    <t>Energy Star</t>
  </si>
  <si>
    <t>EFLH</t>
  </si>
  <si>
    <t>S_Area</t>
  </si>
  <si>
    <t>1B_Unit</t>
  </si>
  <si>
    <t>1B_Area</t>
  </si>
  <si>
    <t>2B_Unit</t>
  </si>
  <si>
    <t>S_Unit</t>
  </si>
  <si>
    <t>2B_Area</t>
  </si>
  <si>
    <t>3B_Unit</t>
  </si>
  <si>
    <t>3B_Area</t>
  </si>
  <si>
    <t>4B_Unit</t>
  </si>
  <si>
    <t>4B_Area</t>
  </si>
  <si>
    <t>5B_Unit</t>
  </si>
  <si>
    <t>5B_Area</t>
  </si>
  <si>
    <t>6B_Unit</t>
  </si>
  <si>
    <t>6B_Area</t>
  </si>
  <si>
    <t>7B_Unit</t>
  </si>
  <si>
    <t>7B_Area</t>
  </si>
  <si>
    <t>8B_Unit</t>
  </si>
  <si>
    <t>8B_Area</t>
  </si>
  <si>
    <t>Qty</t>
  </si>
  <si>
    <t>Total Number of Bedrroms</t>
  </si>
  <si>
    <t>Total Area of Dwelling Units (square feet)</t>
  </si>
  <si>
    <t>Total Number of Units</t>
  </si>
  <si>
    <t>Homes Dwelling Unit Equipment Calculator</t>
  </si>
  <si>
    <t>Building Unit summary</t>
  </si>
  <si>
    <t>Schedules</t>
  </si>
  <si>
    <t>Note: The EFLH Calculator tab in this spreadsheet may be used as an optional tool for determining Equivalent Full Load hours of operation</t>
  </si>
  <si>
    <t>Areas Served</t>
  </si>
  <si>
    <t>Equivalent Full Load Hours of Operation Per Year (maximum of 8,760). 
Leave blank or enter N/A if not applicable.</t>
  </si>
  <si>
    <t>HVAC:
hours per year fans running continuously</t>
  </si>
  <si>
    <t>Setback Mode Setpoint</t>
  </si>
  <si>
    <t>Receptacle Equipment and Appliances</t>
  </si>
  <si>
    <t>Refriger-ation</t>
  </si>
  <si>
    <t>Server Equip-ment</t>
  </si>
  <si>
    <t>Cooking Equip-ment</t>
  </si>
  <si>
    <t>Elevators / Escalators</t>
  </si>
  <si>
    <t>Other Loads (Indicate Loads)</t>
  </si>
  <si>
    <t>Dwelling Units</t>
  </si>
  <si>
    <t>Main Building Schedules</t>
  </si>
  <si>
    <t>Days per Year</t>
  </si>
  <si>
    <t>Monday</t>
  </si>
  <si>
    <t>Tuesday</t>
  </si>
  <si>
    <t>Wednesday</t>
  </si>
  <si>
    <t>Thursday</t>
  </si>
  <si>
    <t>Friday</t>
  </si>
  <si>
    <t>Saturday</t>
  </si>
  <si>
    <t>Sunday</t>
  </si>
  <si>
    <t>Enter 1 for "On", 0 for "Off.</t>
  </si>
  <si>
    <t>Schedule Name:</t>
  </si>
  <si>
    <t>12-1AM</t>
  </si>
  <si>
    <t>1-2AM</t>
  </si>
  <si>
    <t>2-3AM</t>
  </si>
  <si>
    <t>3-4AM</t>
  </si>
  <si>
    <t>4-5AM</t>
  </si>
  <si>
    <t>5-6AM</t>
  </si>
  <si>
    <t>6-7AM</t>
  </si>
  <si>
    <t>7-8AM</t>
  </si>
  <si>
    <t>8-9 AM</t>
  </si>
  <si>
    <t>9-10AM</t>
  </si>
  <si>
    <t>10-11AM</t>
  </si>
  <si>
    <t>11AM-12PM</t>
  </si>
  <si>
    <t>12-1PM</t>
  </si>
  <si>
    <t>1-2PM</t>
  </si>
  <si>
    <t>2-3PM</t>
  </si>
  <si>
    <t>3-4PM</t>
  </si>
  <si>
    <t>4-5PM</t>
  </si>
  <si>
    <t>5-6PM</t>
  </si>
  <si>
    <t>6-7PM</t>
  </si>
  <si>
    <t>7-8PM</t>
  </si>
  <si>
    <t>8-9PM</t>
  </si>
  <si>
    <t>9-10PM</t>
  </si>
  <si>
    <t>10-11PM</t>
  </si>
  <si>
    <t>11-12PM</t>
  </si>
  <si>
    <t>Hours/day</t>
  </si>
  <si>
    <t>Hours/year</t>
  </si>
  <si>
    <t>Weekday</t>
  </si>
  <si>
    <t>Weekend</t>
  </si>
  <si>
    <t>Holiday</t>
  </si>
  <si>
    <t>Total hours of operation per year</t>
  </si>
  <si>
    <t>Enter a percentage value between 0% and 100%</t>
  </si>
  <si>
    <t>EFLH/day</t>
  </si>
  <si>
    <t>EFLH/year</t>
  </si>
  <si>
    <t>Total Equivalent Full Load Hours of Operation per Year</t>
  </si>
  <si>
    <t>Daily Heating Setpoint</t>
  </si>
  <si>
    <t>Daily Cooling Setpoint</t>
  </si>
  <si>
    <t>Multifamily Dwelling Unit Equipment List</t>
  </si>
  <si>
    <t>Refrigerator</t>
  </si>
  <si>
    <t>Dishwasher</t>
  </si>
  <si>
    <t>Latent Ratio</t>
  </si>
  <si>
    <t>Sensible Ratio</t>
  </si>
  <si>
    <t>Load Source</t>
  </si>
  <si>
    <t>Multifamily Non-Dwelling Unit Plug Loads</t>
  </si>
  <si>
    <t>Corridors</t>
  </si>
  <si>
    <t>Stairs</t>
  </si>
  <si>
    <t>Support areas</t>
  </si>
  <si>
    <t>Offices</t>
  </si>
  <si>
    <t>w/sf</t>
  </si>
  <si>
    <t>kwh/sf</t>
  </si>
  <si>
    <t>Clothes Washer (Commercial)</t>
  </si>
  <si>
    <t>Clothes Washer (In-unit)</t>
  </si>
  <si>
    <t>Cooking (electric stove/range)</t>
  </si>
  <si>
    <t>Cooking (gas stove/range)</t>
  </si>
  <si>
    <t>Clothes Dryer (In-unit electric)</t>
  </si>
  <si>
    <t>Clothes Dryer (Commercial electric)</t>
  </si>
  <si>
    <t>Clothes Dryer (In-unit gas)</t>
  </si>
  <si>
    <t>Clothes Dryer (Commercial gas)</t>
  </si>
  <si>
    <t>Sensible ratio gas</t>
  </si>
  <si>
    <t>Latent Ratio gas</t>
  </si>
  <si>
    <t>Sensible ratio electric</t>
  </si>
  <si>
    <t>Latent Ratio electric</t>
  </si>
  <si>
    <t>Energy Star Eqp?</t>
  </si>
  <si>
    <t>Project has multiple buildings?</t>
  </si>
  <si>
    <t>Multiple Building Energy Model Information</t>
  </si>
  <si>
    <t>Conditioned</t>
  </si>
  <si>
    <t>Percent Construction</t>
  </si>
  <si>
    <t>Renovation/Existing</t>
  </si>
  <si>
    <t>Project Summary</t>
  </si>
  <si>
    <t>Building Massing and Zoning</t>
  </si>
  <si>
    <t>Semi-heated</t>
  </si>
  <si>
    <t>Multiplier</t>
  </si>
  <si>
    <t>Total Buildings</t>
  </si>
  <si>
    <t>Average bedrooms per dwelling unit</t>
  </si>
  <si>
    <t>Electric Loads</t>
  </si>
  <si>
    <t>Elec Nbr Multiplier</t>
  </si>
  <si>
    <t>Gas Nbr Multiplier</t>
  </si>
  <si>
    <t>base Hot Water Load</t>
  </si>
  <si>
    <t>Energy Star Hot Water Load</t>
  </si>
  <si>
    <t>418</t>
  </si>
  <si>
    <t>Natural Gas Loads</t>
  </si>
  <si>
    <t>Blank1</t>
  </si>
  <si>
    <t>Blank2</t>
  </si>
  <si>
    <t>Blank3</t>
  </si>
  <si>
    <t>Proposed Per Equipment</t>
  </si>
  <si>
    <t>Baseline Per Equipment</t>
  </si>
  <si>
    <t>Baseline Total</t>
  </si>
  <si>
    <t>Proposed Total</t>
  </si>
  <si>
    <t>Homes Dwelling Unit Equipment Modeling Summary</t>
  </si>
  <si>
    <t>Equivalent Full Load Hours of Dwelling Unit Miscellaneous Equipment Operation Per Year</t>
  </si>
  <si>
    <t>Electric Miscellaneous Loads in Dwelling Unit (including appliances and equipment listed above)</t>
  </si>
  <si>
    <t>Load_Source</t>
  </si>
  <si>
    <t>Energy_Star</t>
  </si>
  <si>
    <t>Avg_Bedrooms_DU</t>
  </si>
  <si>
    <t>Base_Elec_Consumption</t>
  </si>
  <si>
    <t>Design_Elec_Consumption</t>
  </si>
  <si>
    <t>Elec_Sens_Ratio</t>
  </si>
  <si>
    <t>Elec_Latent_Ratio</t>
  </si>
  <si>
    <t>Base_Ng_Consumption</t>
  </si>
  <si>
    <t>Design_Ng_Consumption</t>
  </si>
  <si>
    <t>NG_Sens_Ratio</t>
  </si>
  <si>
    <t>NG_Latent_Ratio</t>
  </si>
  <si>
    <t>Base_DHW_Equip</t>
  </si>
  <si>
    <t>Design_DHW_Equip</t>
  </si>
  <si>
    <t>Base_DHW_Annual</t>
  </si>
  <si>
    <t>Design_DHW_Annual</t>
  </si>
  <si>
    <t>Total_Area</t>
  </si>
  <si>
    <t>Natural Gas Miscellaneous Loads in Dwelling Unit (including appliances and equipment listed above)</t>
  </si>
  <si>
    <t>Base_Elec_Sens_Ratio</t>
  </si>
  <si>
    <t>Base_Elec_Latent_Ratio</t>
  </si>
  <si>
    <t>Base_EPD_Elecric</t>
  </si>
  <si>
    <t>Prop_EPD_Elecric</t>
  </si>
  <si>
    <t>Prop_Elec_Sens_Ratio</t>
  </si>
  <si>
    <t>Prop_Elec_Latent_Ratio</t>
  </si>
  <si>
    <t>Base_Ng_EPD</t>
  </si>
  <si>
    <t>Base_Ng_Sens_Ratio</t>
  </si>
  <si>
    <t>Base_Ng_Latent_Ratio</t>
  </si>
  <si>
    <t>Prop_Ng_EPD</t>
  </si>
  <si>
    <t>Prop_Ng_Sens_Ratio</t>
  </si>
  <si>
    <t>Prop_Ng_Latent_Ratio</t>
  </si>
  <si>
    <t>Base</t>
  </si>
  <si>
    <t>Base_HW_Loads</t>
  </si>
  <si>
    <t>Proposed_HW_Loads</t>
  </si>
  <si>
    <t>Homes Laundry Room Equipment Modeling Summary</t>
  </si>
  <si>
    <t>Electric Loads in Laundry Room (including appliances and equipment listed above)</t>
  </si>
  <si>
    <t>Natural Gas Loads in Laundry Room (including appliances and equipment listed above)</t>
  </si>
  <si>
    <t>Homes Service Water Heating Load Summary</t>
  </si>
  <si>
    <t>Residential Usage Profile Dependent on Project Demographics</t>
  </si>
  <si>
    <t>Homes Laundry Room Equipment Calculator</t>
  </si>
  <si>
    <t>If the project has one or more laundry rooms serving multiple dwelling units, enter the equipment that is present in the laundry rooms. Leave blank if the project has no laundry rooms.</t>
  </si>
  <si>
    <t>Energy Star Equip-ment?</t>
  </si>
  <si>
    <t>Average Bedrooms per Dwelling Unit</t>
  </si>
  <si>
    <t>Proposed Per Eqiupment</t>
  </si>
  <si>
    <t>Residential Usage Profile</t>
  </si>
  <si>
    <t>DHW Equivalent Full Load Hours of Operation</t>
  </si>
  <si>
    <t>DHW Supply Temp</t>
  </si>
  <si>
    <t>Average Cold Water Temp</t>
  </si>
  <si>
    <t>DHW Temp at Fixture Point of Use</t>
  </si>
  <si>
    <t>Showers</t>
  </si>
  <si>
    <t>Sinks</t>
  </si>
  <si>
    <t>Res_Usage_Profile</t>
  </si>
  <si>
    <t>Shower_Flow_Avg</t>
  </si>
  <si>
    <t>Sink_Flow_Avg</t>
  </si>
  <si>
    <t>DHW_Supply_Temp</t>
  </si>
  <si>
    <t>DHW_Cold_Water_Temp</t>
  </si>
  <si>
    <t>DHW_Fixture_Temp</t>
  </si>
  <si>
    <t>DHW_Base_Fixture_flow</t>
  </si>
  <si>
    <t>DHW_Design_Fixture_flow</t>
  </si>
  <si>
    <t>DHW_Base_Appliance_Flow</t>
  </si>
  <si>
    <t>DHW_Design_Appliance_Flow</t>
  </si>
  <si>
    <t>DHW_Base_Laundry_Flow</t>
  </si>
  <si>
    <t>DHW_Proposed_Laundry_Flow</t>
  </si>
  <si>
    <t>DHW_Base_Total_Flow</t>
  </si>
  <si>
    <t>DHW_Design_Total_Flow</t>
  </si>
  <si>
    <t>DHW_Heater_Base_Flow</t>
  </si>
  <si>
    <t>DHW_Heater_Design_Flow</t>
  </si>
  <si>
    <t>DHW_EFLH</t>
  </si>
  <si>
    <t>DHW_Base_Modeled_Flowrate</t>
  </si>
  <si>
    <t>DHW_Design_Modeled_Flowrate</t>
  </si>
  <si>
    <t>Note:  Flow rates are based on Energy Star Multifamily Simulation Guidance. One person is assumed per bedroom.</t>
  </si>
  <si>
    <t>For each item entered as “No” above, describe the applicable ASHRAE 90.1 Appendix G exception(s) that apply, or the circumstances preventing the building massing modeling parameters from being modeled as required. If the energy simulation software is not capable of modeling the required parameters, describe the adjustments that were made to provide a thermodynamically similar representation or provide a narrative justifying why the predicted energy performance results will not be influenced.</t>
  </si>
  <si>
    <t>Design_LPD</t>
  </si>
  <si>
    <t>Project</t>
  </si>
  <si>
    <t>Primary HVAC System</t>
  </si>
  <si>
    <t>Other HVAC System</t>
  </si>
  <si>
    <t>General HVAC Baseline System Type List</t>
  </si>
  <si>
    <t>Garage Fan Power Calculation</t>
  </si>
  <si>
    <t>Energy Simulation ID</t>
  </si>
  <si>
    <t>Design EFLH</t>
  </si>
  <si>
    <t>Base EFLH</t>
  </si>
  <si>
    <t>Total Design Fan Power (kW)</t>
  </si>
  <si>
    <t>Total Base Fan Power (kW)</t>
  </si>
  <si>
    <t>Energy Model</t>
  </si>
  <si>
    <t>Simulation ID</t>
  </si>
  <si>
    <t>Total Space Area</t>
  </si>
  <si>
    <t xml:space="preserve">     Building average equipment power density
     Space by space equipment power density</t>
  </si>
  <si>
    <t>Enter the appliances and equipment that is present in the residential dwelling units for the project. For clothes washers and dryers, enter the quantity of each unit installed within the project scope of work. For fans, enter the total supply volume for all fans installed for the project.</t>
  </si>
  <si>
    <t>Dwelling Unit Thermostat setpoint schedule</t>
  </si>
  <si>
    <t>Dwelling Unit Lighting Schedule</t>
  </si>
  <si>
    <t>Dwelling Unit Miscellaneous Equipment Schedule</t>
  </si>
  <si>
    <t>Residential Common Area Miscellaneous Equipment Schedule</t>
  </si>
  <si>
    <t>Residential DHW Schedule</t>
  </si>
  <si>
    <t>Below is a subset of sample schedules provided in the ASHRAE 90.1-2010 User's Manual. Refer to the ASHRAE User's Manual Tables G-D through G-M for additional schedules. (Note: Holiday schedules are added, and are assumed to be equal to the Sunday schedules; therefore annual equivalent full load hours will differ slightly from those reported in the default ASHRAE schedules).</t>
  </si>
  <si>
    <t>Office Occupancy</t>
  </si>
  <si>
    <t>Office HVAC System - ON/OFF Schedule</t>
  </si>
  <si>
    <t>Office Occupancy Schedule</t>
  </si>
  <si>
    <t>Office Lighting Schedule</t>
  </si>
  <si>
    <t>Office Receptacle Schedule</t>
  </si>
  <si>
    <t>Office DHW Schedule</t>
  </si>
  <si>
    <t>Hoilday</t>
  </si>
  <si>
    <t>Office Elevator Schedule</t>
  </si>
  <si>
    <t>School Occupancy</t>
  </si>
  <si>
    <t>School HVAC System - ON/OFF Schedule</t>
  </si>
  <si>
    <t>School Occupancy Schedule</t>
  </si>
  <si>
    <t>School Lighting Schedule</t>
  </si>
  <si>
    <t>School Receptacle Schedule</t>
  </si>
  <si>
    <t>School DHW Schedule</t>
  </si>
  <si>
    <t>School Elevator Schedule</t>
  </si>
  <si>
    <t>Health Occupancy</t>
  </si>
  <si>
    <t>Health HVAC System - ON/OFF Schedule</t>
  </si>
  <si>
    <t>Health Occupancy Schedule</t>
  </si>
  <si>
    <t>Health Lighting Schedule</t>
  </si>
  <si>
    <t>Health Receptacle Schedule</t>
  </si>
  <si>
    <t>Health DHW Schedule</t>
  </si>
  <si>
    <t>Health Elevator Schedule</t>
  </si>
  <si>
    <t>Retail Occupancy</t>
  </si>
  <si>
    <t>Retail HVAC System - ON/OFF Schedule</t>
  </si>
  <si>
    <t>Retail Occupancy Schedule</t>
  </si>
  <si>
    <t>Retail Lighting Schedule</t>
  </si>
  <si>
    <t>Retail Receptacle Schedule</t>
  </si>
  <si>
    <t>Retail DHW Schedule</t>
  </si>
  <si>
    <t>Retail Elevator Schedule</t>
  </si>
  <si>
    <t>Restaurant Occupancy</t>
  </si>
  <si>
    <t>Restaurant HVAC System - ON/OFF Schedule</t>
  </si>
  <si>
    <t>Restaurant Occupancy Schedule</t>
  </si>
  <si>
    <t>Restaurant Lighting Schedule</t>
  </si>
  <si>
    <t>Restaurant Receptacle Schedule</t>
  </si>
  <si>
    <t>Restaurant DHW Schedule</t>
  </si>
  <si>
    <t>Warehouse Occupancy</t>
  </si>
  <si>
    <t>Warehouse HVAC System - ON/OFF Schedule</t>
  </si>
  <si>
    <t>Warehouse Occupancy Schedule</t>
  </si>
  <si>
    <t>Warehouse Lighting Schedule</t>
  </si>
  <si>
    <t>Warehouse Receptacle Schedule</t>
  </si>
  <si>
    <t>Warehouse DHW Schedule</t>
  </si>
  <si>
    <t>Warehouse Elevator Schedule</t>
  </si>
  <si>
    <t>Assembly Occupancy</t>
  </si>
  <si>
    <t>Assembly HVAC System - ON/OFF Schedule</t>
  </si>
  <si>
    <t>Assembly Occupancy Schedule</t>
  </si>
  <si>
    <t>Assembly Lighting Schedule</t>
  </si>
  <si>
    <t>Assembly Receptacle Schedule</t>
  </si>
  <si>
    <t>Assembly DHW Schedule</t>
  </si>
  <si>
    <t>Modeled_Input_Param</t>
  </si>
  <si>
    <t>Fixture_Type</t>
  </si>
  <si>
    <t>Fixture_Temp</t>
  </si>
  <si>
    <t>Percent_HW</t>
  </si>
  <si>
    <t>Base_Fixture_Flow</t>
  </si>
  <si>
    <t>Base_Total_Annual_Fixture_Consumption</t>
  </si>
  <si>
    <t>Base_Annual_HW_Fixture_Consumption</t>
  </si>
  <si>
    <t>Design_Fixture_Flow</t>
  </si>
  <si>
    <t>Design_Total_Annual_Fixture_Consumption</t>
  </si>
  <si>
    <t>Design_Annual_HW_Fixture_Consumption</t>
  </si>
  <si>
    <t>Base_Fixture_HW_Use</t>
  </si>
  <si>
    <t>Base_DHW_Heater_Use</t>
  </si>
  <si>
    <t>Base_Modeled_DHW_Flow</t>
  </si>
  <si>
    <t>Design_Fixture_HW_Use</t>
  </si>
  <si>
    <t>Design_DHW_Heater_Use</t>
  </si>
  <si>
    <t>Design_Modeled_DHW_Flow</t>
  </si>
  <si>
    <t>Average LPD</t>
  </si>
  <si>
    <t>Base_LPD</t>
  </si>
  <si>
    <t>Base_Power</t>
  </si>
  <si>
    <t>Design_Power</t>
  </si>
  <si>
    <t>Total Power</t>
  </si>
  <si>
    <t>LPD</t>
  </si>
  <si>
    <t>Power</t>
  </si>
  <si>
    <t>LEED v4: Neighborhood Development</t>
  </si>
  <si>
    <t>Residual Project</t>
  </si>
  <si>
    <t>ND</t>
  </si>
  <si>
    <t>Space_Type</t>
  </si>
  <si>
    <t>Space_Type_Area</t>
  </si>
  <si>
    <t>Base_Max_W/SF</t>
  </si>
  <si>
    <t>Luminare_Height</t>
  </si>
  <si>
    <t>Work_Plane</t>
  </si>
  <si>
    <t>Room_Perimeter_Length</t>
  </si>
  <si>
    <t>RCR</t>
  </si>
  <si>
    <t>Baseline_LPD</t>
  </si>
  <si>
    <t>Lighting_Controls</t>
  </si>
  <si>
    <t>Power_Under_Control</t>
  </si>
  <si>
    <t>Adj</t>
  </si>
  <si>
    <t>Same as Design</t>
  </si>
  <si>
    <t>Helpful Notes:</t>
  </si>
  <si>
    <t xml:space="preserve">• Describe the Baseline roof construction (for example: R-20 (R-2.6) continuous insulation entirely above metal deck).
• New roofs: insulation entirely above deck with U-factor from appropriate Table 5.5 per Table G3.1#5(b). 
• Existing roofs: existing conditions per Table G3.1#5(f).
</t>
  </si>
  <si>
    <t xml:space="preserve">• Describe the Proposed roof construction and Appendix A Table if referenced (for example: R-30 (R-5.3) continuous insulation entirely above metal deck per Table A2.2).  
• Proposed construction assembly U-factor should be as-designed and consistent with Appendix A of ASHRAE 90.1.  </t>
  </si>
  <si>
    <t>• In accordance with Section 5.5.3.1.1(a) or 0.3/0.9 per Table G3.1#5(c).
• Verify Baseline requirements for climate zones 1 through 3.</t>
  </si>
  <si>
    <t>• Describe the Baseline above-grade exterior wall construction (for example: steel-framed with R-13.0 (R-2.3) cavity insulation and R-7.5 (R-1.3)continuous insulation).
• New above-grade walls: steel-framed with U-factor from appropriate Table 5.5 per Table G3.1#5(b).
• Existing above-grade walls: existing conditions per Table G3.1#5(f).</t>
  </si>
  <si>
    <t xml:space="preserve">• Describe the Proposed above-grade exterior wall construction and Appendix A Table referenced (for example: 6" (150mm) steel frames spaced 24" (610mm) on center with R-21 cavity insulation and R-10 (R3.7)continuous insulation per Table A3.3). 
• Proposed construction assembly U-factor should be as-designed and consistent with Appendix A of ASHRAE 90.1.  </t>
  </si>
  <si>
    <t>• Describe the Baseline below-grade exterior wall construction (for example: 8" (200mm) medium-weight concrete block with solid grouted cores and R-7.5 (R-1.3)continuous insulation).
• New below-grade walls: 8" medium weight concrete block with solid grouted cores as defined in A4.1 with C-factor from appropriate Table 5.5 per Table G3.1#5(b). 
• Existing below-grade walls: existing conditions per Table G3.1#5(f).</t>
  </si>
  <si>
    <t xml:space="preserve">• Describe the Baseline below-grade exterior wall construction and Appendix A Table referenced (for example: 8" (200mm) medium-weight concrete b-lock with solid grouted cores and R-10 (R3.7) continuous insulation per Table A4.2).  
• Proposed construction assembly U-factor should be as-designed and consistent with Appendix A of ASHRAE 90.1.
</t>
  </si>
  <si>
    <t xml:space="preserve">• Describe the Baseline floor construction (for example: steel-joist with R-30 (R-5.3) batt insulation between the floor joists)
•  New floors: steel-joist with U-factor from appropriate Table 5.5 per Table G3.1#5(b). 
•  Existing floors: existing conditions per Table G3.1#5(f).
•  For floor assemblies above unconditioned or semiheated space, select the space conditioning category as semiheated per 90.1-2010 User's Manual, Section 5.1.2-Space Conditioning Categories (Figure 5-B)
</t>
  </si>
  <si>
    <t xml:space="preserve">• Describe the Proposed floor construction and Appendix A Table referenced (for example: steel-joist with R-20 (R-2.6) spray-on insulation on underside of floor and joists per Table A5.3).  
• Proposed construction assembly U-factor should be as-designed and consistent with Appendix A of ASHRAE 90.1.
</t>
  </si>
  <si>
    <t>• Describe the Baseline slab-on-grade floor construction (for example: unheated 6" (150 mm) concrete slab poured directly on the earth with no insulation).
• New slab-on-grade floors: unheated 6" concrete slab as defined in A4.6 with F-factor from appropriate Table 5.5 per Table G3.1#5(b). 
• Existing slab-on-grade floors: existing conditions per Table G3.1#5(f).</t>
  </si>
  <si>
    <t>• Describe the Proposed slab-on-grade floor construction and Appendix A Table referenced (for example: unheated 6" (150 mm) concrete slab poured directly on the earth with 24" R-10 (610 mm R-3.7) vertical insulation per Table A6.3).  
• Proposed construction assembly U-factor should be as-designed and consistent with Appendix A of ASHRAE 90.1 .</t>
  </si>
  <si>
    <t>• Describe the Baseline opaque door construction (for example: swinging or nonswinging).
• New opaque doors: U-factor from appropriate Table 5.5 per Table G3.1#5(b). 
• Existing opaque doors: existing conditions per Table G3.1#5(f).</t>
  </si>
  <si>
    <t xml:space="preserve">• Describe the Proposed opaque door construction (for example: insulated metal swinging door). 
• Proposed construction assembly U-factor should be as-designed and consistent with Appendix A of ASHRAE 90.1.
</t>
  </si>
  <si>
    <t>•  All vertical glazing flush with exterior wall and no shading projections per Table G3.1#5(c)
•  Manual shading devices such as blinds or shades may be modeled per Table G3.1#5(c)
•  No self-shading per Table G3.1#5
•  Total vertical fenestration areas for new construction equal to Proposed up to 40% maximum, and distributed on each face of the building in the same proportions as the Proposed design per Table G3.1#5(c)</t>
  </si>
  <si>
    <t>•  Manual shading devices such as blinds or shades may be modeled and must be consistent with the baseline per Table G3.1#5(d)
•  Permanent shading devices (such as fins, overhangs, and light shelves) and automatically controlled shades or blinds must be modeled per Table G3.1#5(d)</t>
  </si>
  <si>
    <t xml:space="preserve">• New vertical glazing: 
     • If "New" is chosen, select a description.
     • Assembly U-factor and SHGC from appropriate Table 5.5 per Table G3.1#5(c). 
• Existing vertical glazing: 
     • If "Existing" is chosen, provide a description.
     • Existing conditions per Table G3.1#5(f).
     • Enter the Baseline vertical glazing assembly solar heat gain coefficient (SHGC). Please note that this is not equivalent to the shading coefficient (SC).
</t>
  </si>
  <si>
    <t>• Proposed vertical glazing assembly U-factor should be as-designed and account for the impact of the frames on the whole assembly. Reference Table A8.2 of ASHRAE 90.1 as necessary.
• Describe the Proposed vertical glazing assembly (for example: double glazing, argon filled, low-e coating, aluminum frame with thermal break)
• Enter the Proposed vertical glazing assembly solar heat gain coefficient (SHGC). Please note that this is not equivalent to the shading coefficient (SC).
• Enter the Proposed vertical glazing assembly visual light transmittance (VLT)</t>
  </si>
  <si>
    <t>• New skylights: assembly U-factor and SHGC from appropriate Table 5.5 per Table G3.1#5(d). 
• Existing skylights: existing conditions per Table G3.1#5(f).
     • Enter the Baseline skylight assembly solar heat gain coefficient (SHGC). Please note that this is not equivalent to the shading coefficient (SC).</t>
  </si>
  <si>
    <t>• Proposed skylight assembly U-factor should be as-designed and account for the impact of the frames on the whole assembly. Reference Tables A8.1A and A8.1B of ASHRAE 90.1 as necessary.
• Describe the Proposed skylight assembly (for example: glass with curb, double glazing, argon filled, low-e coating, aluminum frame with thermal break)
• Enter the Proposed skylight assembly solar heat gain coefficient (SHGC). Please note that this is not equivalent to the shading coefficient (SC).
• Enter the Proposed skylight assembly visual light transmittance (VLT)</t>
  </si>
  <si>
    <t xml:space="preserve">•  Lighting power should be modeled as designed (or installed) including all lighting system components (lamps and ballasts)
•   Parking garages are always considered a separate building area type, and if present in the building, must be listed as a separate building area type from the main building area type.
</t>
  </si>
  <si>
    <t xml:space="preserve">•  Values provided for reference.  Enter the modeled lighting power density (excluding any process lighting) for this building type in the Baseline case (if different from the Table 9.5.1 value listed)
</t>
  </si>
  <si>
    <t xml:space="preserve">•  Enter the design (or installed) lighting power density (excluding process lighting) for this building type in the Proposed case without Table G3.2 adjustments.
</t>
  </si>
  <si>
    <t xml:space="preserve">•  List any automatic lighting controls included in the design, beyond what is required to be modeled per Section 9.4.
</t>
  </si>
  <si>
    <t xml:space="preserve">•  Enter the weighted average lighting power density (excluding any process lighting) modeled for this building type in the Proposed case, including any Table G3.2 adjustments for automatic controls.
</t>
  </si>
  <si>
    <t xml:space="preserve">•  List any daylighting controls included in the design, the associated spaces, control type, and how credit was modeled in the Proposed case (example: continuous dimming in all exterior offices modeled directly with setpoint of 50 footcandles (540 lux)).
•  Automatic daylighting controls must either be modeled directly in the simulation, or modeled using schedule adjustments determined by a separate daylighting analysis per Table G3.1#6(f) </t>
  </si>
  <si>
    <t xml:space="preserve">•  Lighting power should be modeled as designed (or installed) including all lighting system components (lamps and ballasts)
•  Enter the design (or installed) lighting power density (excluding any additional lighting lighting power from Section 9.6.2 or any process lighting) for this space type in the Proposed case. This value should not include Table G3.2 adjustments.
•  Credit for automatic lighting controls should be modeled using the appropriate power adjustment from Table G3.2, applied only to the controlled lighting power and not where required by 9.4.1. per Table G3.1#6(g)
•  Automatic daylighting controls must either be modeled directly in the simulation, or modeled using schedule adjustments determined by a separate daylighting analysis per Table G3.1#6(f)  </t>
  </si>
  <si>
    <t>Select the space type from the above table where additional lighting power is installed</t>
  </si>
  <si>
    <t>This should only include the area used for the products being sold  (e.g. in a retail building, the entire floor area would not be expected to be devoted to sales area)</t>
  </si>
  <si>
    <t>The additional lighting schedule has been modeled separately from the general lighting schedule to reflect the differing controls (May be modeled only when installed and automatically controlled, separately from the general lighting, to be turned off during non-business hours.)</t>
  </si>
  <si>
    <t>Describe any process lighting included in the design (example: 4 kW stage lighting and 20 3-Watt exit signs)</t>
  </si>
  <si>
    <t>Indicate the specific exemption from Section 9.2.2.3 that excludes the lighting from the Section 9.5 or Section 9.6 lighting power density requirements [example: Stage lighting - 9.2.2.3(f); Exit signs - 9.2.2.3(k)]</t>
  </si>
  <si>
    <t>Any lighting not regulated by ASHRAE 90.1 is considered process and must be modeled identically in the Proposed and Baseline case unless an Exceptional Calculation is submitted.</t>
  </si>
  <si>
    <t>Fixtures cannot be double-counted for multiple exterior surface types</t>
  </si>
  <si>
    <t>Only enter area or length of illuminated surface in the design</t>
  </si>
  <si>
    <t>Allowance calculated using the maximum lighting power density from Table 9.4.5</t>
  </si>
  <si>
    <t>Lighting power should be modeled as designed (or installed)</t>
  </si>
  <si>
    <t>•  Only enter area or length of illuminated surface in the design
•  Fixtures cannot be double-counted for multiple exterior surface types</t>
  </si>
  <si>
    <t>Total allowance calculated using the lesser of the design lighting power, or the lighting power allowance used, since no credit is permitted for nontradable surfaces.</t>
  </si>
  <si>
    <t>Modify equipment types as necessary.
Note: Complete the Data Center Calculator (found under the "Resources" tab of the Credit Library) in order to claim credit for data center equipment.</t>
  </si>
  <si>
    <t>Provide a description of the equipment, the operating schedule, and any latent and sensible loads modeled in the associated space (example: 15 kW electric range with hood; operates 2 full load hours/day; 6.3 kBtu/h (1.8 kW) sensible heat gain).</t>
  </si>
  <si>
    <t>All process loads must be modeled identically between the Proposed and Baseline case and included in the simulations per Table G3.1#12.
Exception: When the process or receptacle equipment includes components regulated by minimum efficiency requirements in ASHRAE 90.1, these components may be modeled in the Baseline Case using the minimum ASHRAE 90.1 efficiencies, and in the proposed case using actual proposed case efficiencies (e.g. Baseline may be modeled using furnace efficiencies from Table 6.8.1E, boiler efficiencies from Table 6.8.1G, chiller efficiencies from Table 6.8.1C or Section 6.4.1.2, or motor efficiency from Section 10.4).</t>
  </si>
  <si>
    <t>•  Condenser Heat Recovery - Verify that condenser heat recovery has been modeled in the Baseline if required by 6.5.6.2 and describe any condenser heat recovery modeled; otherwise enter "Not required" (example: preheats service hot water to 85°F (29°C))</t>
  </si>
  <si>
    <t>•  New systems: minimum performance requirements from Table 7.8 per Table G3.1#11(b)
•  Existing systems: actual system inputs per Table G3.1#11(a)
•  Model separate service water heating system when design uses combined system with space heating per Table G3.1#11(e)
•  Condenser heat recovery as required by 6.5.6.2 per Table G3.1#11(f)</t>
  </si>
  <si>
    <t>•  Service water heaters modeled as designed (or installed) per Table G3.1#11(a&amp;b)
•  Where no service hot water system exists or has been specified but the building will have service hot water loads, a service hot water system should be modeled identical to the Baseline per Table G3.1#11(c)
•  For buildings with no service hot water loads, no service hot water system should be modeled per Table G3.1#11(d)</t>
  </si>
  <si>
    <t>•  Describe a type of hot water fixture included in the project (example: Lavatory Faucets)</t>
  </si>
  <si>
    <t>•  Percent hot water is the portion of water usage from the fixture that is hot water versus cold water (e.g. - lavatory cold water usage associated with brushing teeth versus hot water usage associated with washing hands)</t>
  </si>
  <si>
    <t>•  Values should be consistent with the design (or installed) fixtures and WE Prerequisite Indoor Water Use Reduction (if applicable)</t>
  </si>
  <si>
    <t>•  Describe each type of HVAC system included in the Proposed building (example: Constant volume single-zone ground source heat pumps with dedicated outdoor air units with energy recovery).</t>
  </si>
  <si>
    <t>•  List the spaces modeled with the primary system type (example: all spaces except kitchen).
•  The HVAC system type and all related parameters, such as equipment capacities and efficiencies, must be modeled as designed (or installed) per Table G3.1#10(a&amp;b)
•  Where no heating system exists or has been designed, the classification is assumed to be electric and the heating system is modeled identically to the Baseline case per Table G3.1#10(c)
•  Where no cooling system exists or has been designed, the cooling system is modeled identically to the Baseline case per Table G3.1#10(d), unless using baseline HVAC system types 9 or 10.</t>
  </si>
  <si>
    <t>•  Refer to Section G3.1.1 and Table G3.1.1A (including footnotes) for Primary HVAC System selection
•  A system with any combination of fossil fuel and electric heat is considered fossil/electric hybrid
•  Systems 1-4: each thermal block shall be modeled with its own system
•  Systems 5-10: each floor shall be modeled with a separate system
•  Additional system types for conditioned spaces only permitted using Exceptions to G3.1.1 (min 20,000 sq ft (1860 sq m) required for exception (a))
•  Systems serving semiconditioned spaces should be modeled identically to the system in the Proposed case (see definition of space in Section 3.2 of ASHRAE 90.1
•  For California Title-24 projects, type in the appropriate system type</t>
  </si>
  <si>
    <t>•  Conditioned: describe the exception from G3.1.1 used to model this additional Baseline system type (example: Exception (b) used since peak loads differ by more than 10 Btu/h-sq ft (0.03 kW/sq m))
•  Semiconditioned: list the total system capacity and floor area it serves</t>
  </si>
  <si>
    <t>•  List the spaces modeled with the primary system type (example: all spaces except kitchen)</t>
  </si>
  <si>
    <t>Thermal Blocks were modeled consistent with Table G3.1#7 and Table G3.1#8 as applicable, and were modeled identically in the Baseline and Proposed design models</t>
  </si>
  <si>
    <t>The baseline is modeled with the same shape and orientation as the proposed.</t>
  </si>
  <si>
    <t>Number of Thermal Blocks</t>
  </si>
  <si>
    <t>Building Area Method
Space by Space Method</t>
  </si>
  <si>
    <t>Table 9.6.2 adjust-ment</t>
  </si>
  <si>
    <t>Direct expanstion cooling equipment with an AHRI cooling capacity greater than or equal to 110,000 Btu/h (32 kW) that serve single zones have been designed with supply fans controlled by two-speed motors or variable speed drives per Section 6.4.3.10.</t>
  </si>
  <si>
    <t>Energy Model ID</t>
  </si>
  <si>
    <r>
      <t xml:space="preserve">Enter each energy source serving the project, the units for the energy consumption and demand, and the associated utility rate name and tariff structure. Default EIA Rates may be used in lieu of local utility rates at the discretion of the energy modeler.  All project energy types and the demand and consumption units must be entered before entering energy simulation output data. Also enter the units used to report energy consumption totals (the sum of all energy types) for site energy consumption and source energy consumption (generally, the IP units are Btu x 10^6, the SI site energy units are kWh, and the SI source energy units are MJ).
</t>
    </r>
    <r>
      <rPr>
        <b/>
        <sz val="12"/>
        <rFont val="Calibri"/>
        <family val="2"/>
      </rPr>
      <t/>
    </r>
  </si>
  <si>
    <t>Unit Conversion Factors</t>
  </si>
  <si>
    <t>Energy_Type</t>
  </si>
  <si>
    <t>Energy_Consumption_Units</t>
  </si>
  <si>
    <t>Demand_Units</t>
  </si>
  <si>
    <t>Utility_Rate_Name</t>
  </si>
  <si>
    <t>Utility_Rate_Structure</t>
  </si>
  <si>
    <t>Site_Energy_Conversion_Factor</t>
  </si>
  <si>
    <t>Source_Energy_Conversion_Factor</t>
  </si>
  <si>
    <t>Renewable_Source</t>
  </si>
  <si>
    <t>Offset_Energy_Type</t>
  </si>
  <si>
    <t>Rated_Capacity</t>
  </si>
  <si>
    <t>Annual_Site_Energy</t>
  </si>
  <si>
    <t>Site_Unit_Conversion</t>
  </si>
  <si>
    <t>Source_Unit_Conversion</t>
  </si>
  <si>
    <t>Default_Cost</t>
  </si>
  <si>
    <t>Renewable Summary</t>
  </si>
  <si>
    <t>Offset Energy Type</t>
  </si>
  <si>
    <t>Units per Energy Type</t>
  </si>
  <si>
    <t>Site_Energy_Ind_Units</t>
  </si>
  <si>
    <t>Site_Ind_Units</t>
  </si>
  <si>
    <t>Site_Energy_Same_Units</t>
  </si>
  <si>
    <t>Source_Energy</t>
  </si>
  <si>
    <t>Annual Energy Cost Difference</t>
  </si>
  <si>
    <t>Site Energy 
(Units per Energy Type)</t>
  </si>
  <si>
    <t>Ex_Calc_ID</t>
  </si>
  <si>
    <t>Add_Baseline_Subtract_Proposed</t>
  </si>
  <si>
    <t>Total Exceptional Calculation Method Adjustment</t>
  </si>
  <si>
    <t>End_Use</t>
  </si>
  <si>
    <t>Unregulated</t>
  </si>
  <si>
    <t>Energy_Units</t>
  </si>
  <si>
    <t>Baseline_0_Rotation</t>
  </si>
  <si>
    <t>Baseline_90_Rotation</t>
  </si>
  <si>
    <t>Baseline_180_Rotation</t>
  </si>
  <si>
    <t>Baseline_270_Rotation</t>
  </si>
  <si>
    <t>Base_Consumption_Demand</t>
  </si>
  <si>
    <t>Baseline_Total</t>
  </si>
  <si>
    <t>Design_Consumption_Demand</t>
  </si>
  <si>
    <t>End_Use_Savings</t>
  </si>
  <si>
    <t>End_Use_Contribution_to_Energy_Savings</t>
  </si>
  <si>
    <t>End_Use_Contribution_to_Cost_Savings</t>
  </si>
  <si>
    <t>Percent_Design_Site_Consumption</t>
  </si>
  <si>
    <t>Site Energy Units</t>
  </si>
  <si>
    <t>Design_Site_Energy</t>
  </si>
  <si>
    <t>Design_Source_Energy</t>
  </si>
  <si>
    <t>Design_Cost</t>
  </si>
  <si>
    <t>Percent_Savings_Site_Energy</t>
  </si>
  <si>
    <t>Percent_Savings_Cost</t>
  </si>
  <si>
    <t>Base_Virtual_Rate</t>
  </si>
  <si>
    <t>Design_Virtual_Rate</t>
  </si>
  <si>
    <t>Percent_Variance</t>
  </si>
  <si>
    <t>Fuel Source for District Cooling and/or Heating</t>
  </si>
  <si>
    <t>Cooling_Avg_Efficiency</t>
  </si>
  <si>
    <t>Cooling_Site_Energy</t>
  </si>
  <si>
    <t>Cooling_Cost</t>
  </si>
  <si>
    <t>Heating_Avg_Effiicency</t>
  </si>
  <si>
    <t>Heating_Site_Energy</t>
  </si>
  <si>
    <t>Heating_Cost</t>
  </si>
  <si>
    <t>Base_Site_Energy</t>
  </si>
  <si>
    <t>Base_Source_Energy</t>
  </si>
  <si>
    <t>Base_Cost</t>
  </si>
  <si>
    <t>Percent_Savings_Site</t>
  </si>
  <si>
    <t>Renewable_Site_Savings</t>
  </si>
  <si>
    <t>Renewable_Source_Savings</t>
  </si>
  <si>
    <t>Renewable_Cost_Savings</t>
  </si>
  <si>
    <t>Startup_Site_Energy</t>
  </si>
  <si>
    <t>Startup_Source_Energy</t>
  </si>
  <si>
    <t>Startup_PUE</t>
  </si>
  <si>
    <t>Buildout_Site_Energy</t>
  </si>
  <si>
    <t>Buildout_Source_Energy</t>
  </si>
  <si>
    <t>Buildoout_PUE</t>
  </si>
  <si>
    <t>Report Exceptional calculation methods in the table below.
Select "Add to Baseline" if the exceptional calculation adjusts the Baseline building energy consumption and cost up, or "Subtract from Proposed" if the exceptional calculation adjusts the Proposed building energy consumption and cost down.
This calculator will automatically reduce the proposed energy consumption and cost, or increase the baseline energy consumption and cost to accurately reflect the revised results. Therefore, any exceptional calculation methods should NOT be included in the Performance Rating Method Compliance report below.  If any single Exceptional Calculation Method results in energy penalties for a given energy type (i.e. increased proposed case electricity energy usage, or decreased baseline case fossil fuel energy usage), that penalty should be entered as a negative number. If any single Exceptional Calculation Method affects more than one energy type, please add additional rows to capture the method's impact to that energy type. If taking credit for Data Center Equipment or Retail Process Loads, those savings must be recorded here and the supplemental spreadsheets associated with that equipment must be uploaded as part of the submittal documents.
The cost of the Exceptional Calculation Method will be automatically determined using the virtual rate once the output data (consumption and cost) is entered below. The cost may be overridden by the user, however this may generate an issue on the Quality Checks and the user should be prepared to justify the entered cost value.</t>
  </si>
  <si>
    <t>Enter the non-coincident unmet load hours, consistent with the energy simulation output reports.</t>
  </si>
  <si>
    <t>Exceptional 
Calculation 
Number</t>
  </si>
  <si>
    <t>Ex_Calc_Number</t>
  </si>
  <si>
    <t>The vertical glazing areas in the proposed and baseline differ from one another (as reported on the Shading and Fenestration tab, Shading section), which is inconsistent with the requirement of Table G3.1.5(c) (baseline).  Please correct or provide justification.</t>
  </si>
  <si>
    <t>%Difference</t>
  </si>
  <si>
    <t>&gt;40%Error</t>
  </si>
  <si>
    <t>QC_EFLH</t>
  </si>
  <si>
    <t>How are the buildings modeled?</t>
  </si>
  <si>
    <t>•  Fixtures included in the WE Prerequisite Indoor Water Use Reduction calculations: values must be consistent with the WE Prerequisite form
•  Additional fixtures not included in WE Prerequisite Indoor Water Use Reduction: Use Proposed values or provide supporting documentation for Baseline assumption (example: Energy Star documentation of average hot water usage for dishwasher or clothes washer)</t>
  </si>
  <si>
    <t>On-Site Renewable Energy Production</t>
  </si>
  <si>
    <t>The project building uses on-site renewable energy systems. (Optional)</t>
  </si>
  <si>
    <t>Table: On-Site Renewable energy source summary</t>
  </si>
  <si>
    <t>On-Site Renewable Source</t>
  </si>
  <si>
    <t>Renewable energy production should be reported in the table below. Note: This calculator will automatically reduce the proposed energy consumption and cost to accurately reflect the revised results. Therefore, any site-generated renewable energy production should NOT be included in the Performance Rating Method tables below.
Select the site-generated renewable energy source. Enter the rated capacity of the site-generated renewable source including the units (e.g. for photovoltaics 10 kW). Include all relevant capacities (i.e for solar thermal, both the storage tank capacity and the solar thermal panel capacity).
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t>
  </si>
  <si>
    <t>LEED Project Name</t>
  </si>
  <si>
    <t>Percent new construction (%)*</t>
  </si>
  <si>
    <t>Percent renovation/existing (%)*</t>
  </si>
  <si>
    <t>Table: Subtotal including DES Path 3 Streamlined calculations</t>
  </si>
  <si>
    <t>Issue Applicable</t>
  </si>
  <si>
    <t>Glazing Differential</t>
  </si>
  <si>
    <t>Baseline Above 40%</t>
  </si>
  <si>
    <t>Baseline Lighting EFLHs</t>
  </si>
  <si>
    <t>Design Lighting EFLHs</t>
  </si>
  <si>
    <t>Base_EFLH</t>
  </si>
  <si>
    <t>Design_EFLH</t>
  </si>
  <si>
    <t>Design Lighting Demand</t>
  </si>
  <si>
    <t>Base Lighting Demand</t>
  </si>
  <si>
    <t>Design Ext EFLH</t>
  </si>
  <si>
    <t>Base Ext Ltg Demand</t>
  </si>
  <si>
    <t>Design Ext Ltg Demand</t>
  </si>
  <si>
    <t>Index</t>
  </si>
  <si>
    <t>Design</t>
  </si>
  <si>
    <t>Inex</t>
  </si>
  <si>
    <t>Allowance</t>
  </si>
  <si>
    <t>Base non-water systems</t>
  </si>
  <si>
    <t>Base water systems</t>
  </si>
  <si>
    <t>Base Fan Power</t>
  </si>
  <si>
    <t>Design Fan Power</t>
  </si>
  <si>
    <t>Base Fan Flow</t>
  </si>
  <si>
    <t>Design Fan Flow</t>
  </si>
  <si>
    <t>Base Fan EFLH</t>
  </si>
  <si>
    <t>Design Fan EFLH</t>
  </si>
  <si>
    <t>Base Fan Demand</t>
  </si>
  <si>
    <t>Design Fan Demand</t>
  </si>
  <si>
    <t>Base OA</t>
  </si>
  <si>
    <t>Design OA</t>
  </si>
  <si>
    <t>PV EFLH</t>
  </si>
  <si>
    <t>Virtual Rate</t>
  </si>
  <si>
    <t>Project Team Respone</t>
  </si>
  <si>
    <t>BExt Ltg Demand</t>
  </si>
  <si>
    <t>DExt Ltg Demand</t>
  </si>
  <si>
    <t>DNT Ext Ltg Max</t>
  </si>
  <si>
    <t>BNT Ext Ltg Max</t>
  </si>
  <si>
    <t>Helpful Notes</t>
  </si>
  <si>
    <t>Enter the modeled cooling capacity for the Baseline HVAC system (or the total cooling capacity for a group of similar systems) (example: 105 kBtu/h (30.7 kW))
Note: Auto-sized with 15% oversizing per G3.1.2.2</t>
  </si>
  <si>
    <t>Enter the cooling capacity size category from the appropriate Table 6.8.1 for the Baseline HVAC system (or  group of similar systems) (example: 65-135 kBtu/h (19-39.5 kW))
Note: 
Systems 1 &amp; 2: Table 6.8.1D
Systems 3, 5, &amp; 6: Table 6.8.1A
System 4: Table 6.8.1B
Systems 7-10: N/A</t>
  </si>
  <si>
    <t>Enter the modeled unitary cooling efficiency for the Baseline HVAC system (or group of similar systems) in units consistent with the appropriate Table 6.8.1 (example: 11.0 EER (3.23 COP))</t>
  </si>
  <si>
    <t>Enter the modeled heating capacity for the Baseline HVAC system (or the total heating capacity for a group of similar systems) in units of kBtu/h (kW) 
Note: Auto-sized with 25% oversizing per G3.1.2.2</t>
  </si>
  <si>
    <t xml:space="preserve">•  System 2: Table 6.8.1D
•  Systems 3 &amp; 9: Table 6.8.1E
•  System 4: Table 6.8.1B
•  Systems 1, 5-8, 10: N/A  </t>
  </si>
  <si>
    <t>List all relevant efficiencies (e.g. 3.2 COP at 47°F db/43°F wb, 2.0 COP at 17°F db/15°F wb outdoor air) (e.g. 3.2 COP at 8.3°C db/6.1°C wb, 2.0 COP at -8.3°C db/-9.4°C wb outdoor air)</t>
  </si>
  <si>
    <t>•  Systems 1-4, 9 &amp; 10: Constant Volume
•  Systems 5-8: Variable Volume</t>
  </si>
  <si>
    <t>•  Systems 1-8: Auto-sized based on 20°F (11.1°C) ΔT
•  Systems 9-10: Auto-sized based on 105°F (40.6°C) SAT</t>
  </si>
  <si>
    <t>•  If DCV modeled in Proposed only: ASHRAE 62.1 minimum ventilation rates reported in EQ Prerequisite Minimum Indoor Air Quality
•  All other cases: identical to Proposed</t>
  </si>
  <si>
    <t xml:space="preserve">If required by Section 6.4.3.9 (spaces &gt;500 sq ft (50 m2) with &gt;40 people/1,000 sq ft (100 m2)) </t>
  </si>
  <si>
    <t>•  Systems 1, 2, 9 &amp; 10: N/A
•  Systems 3-8: as required by G3.1.2.7 &amp; G3.1.2.8 by Climate Zone:
    •  Not Required - 1a, 1b, 2a, 3a, 4a 
    • 75°F - 1b, 2b, 3b, 3c, 4b, 4c, 5b, 5c, 6b, 7b, 8
    • 70°F - 5a, 6a, 7a</t>
  </si>
  <si>
    <t>•  Systems 5-8: Supply air temperature reset of 5°F under minimum cooling load conditions per G3.1.3.12 (e.g. from 55 °F to 60 °F (12.7 °C to 15.6 °C))
•  All other systems: Not required</t>
  </si>
  <si>
    <t>•  Exhaust air energy recovery required for individual systems exceeding Table 6.5.6.1 per G3.1.2.11 unless any exceptions apply
•  50% energy recovery effectiveness
•  Bypass or control to permit economizer</t>
  </si>
  <si>
    <t>If energy recovery is modeled for the Baseline HVAC system, list the recovery effectiveness. If energy recovery is required but not modeled, list the exception from G3.1.2.10 used (example: not modeled per exception b)</t>
  </si>
  <si>
    <t>Report exhaust fans not interlocked with HVAC operation (such as parking garage ventilation fans, or unconditioned electrical room exhaust fans), and exhaust fans not required in the calculations (such as those applying Exception 6.5.3.1.1, or kitchen hoods operating independently of the building HVAC system) in "Process Equipment".
These values are calculated based on system type, any pressure adjustments listed below, the total supply volume, and the ASHRAE 90.1 fan motor efficiency associated with the fan motor power.
Note: The sum of fan power for all supply, return, relief, and exhaust fans cannot exceed G3.1.2.10 system fan power allowance calculated using supply airflow.</t>
  </si>
  <si>
    <t>For each pressure drop adjustment claimed, input the design airflow rate, CFMD, through each applicable device.</t>
  </si>
  <si>
    <t>Adjustment = 0.5 in. w.c. (125 Pa) (2.15  in. w.c. (535 Pa) for laboratory and vivarium systems)</t>
  </si>
  <si>
    <t>Only where modulated to maintain relative negative or positive space pressure (e.g. lab, operating room)</t>
  </si>
  <si>
    <t>Adjustment = Pressure drop of device calculated at fan system design condition</t>
  </si>
  <si>
    <t>Adjustment = 0.5 in. w.c. (125 Pa)</t>
  </si>
  <si>
    <t>Adjustment = 0.9 in. w.c. (225 Pa)</t>
  </si>
  <si>
    <t>Adjustment = Pressure drop calculated at 2× clean filter pressure drop at fan system design condition</t>
  </si>
  <si>
    <t>Adjustment = Clean filter pressure drop at fan system design condition</t>
  </si>
  <si>
    <t>Adjustment = Pressure drop of device at fan system design condition</t>
  </si>
  <si>
    <t>May only be claimed if required in the baseline per Table G3.1.2.9 footnote.
Adjustment =  (2.2 x Energy recovery effectiveness) - 0.5 in. w.c. for each airstream ((550 x Energy recovery effectiveness) - 125 Pa)</t>
  </si>
  <si>
    <t>May only be claimed if required in the baseline per Table G3.1.2.9 footnote.
Adjustment = 0.6 in. w.c. (150 Pa) for each airstream</t>
  </si>
  <si>
    <t>May only be claimed if required in the baseline.
Adjustment = Clean filter pressure drop at fan system design condition</t>
  </si>
  <si>
    <t>Adjustment = 0.15 in. w.c. (38 Pa)</t>
  </si>
  <si>
    <t>Adjustment = 0.35 in. w.c. (85 Pa)</t>
  </si>
  <si>
    <t>Adjustment = 0.25 in. w.c./100 ft of vertical duct exceeding 75 ft (60 Pa/30 m of vertical duct exceeding 25 m)</t>
  </si>
  <si>
    <t>For Systems 9 and 10, if present in the proposed design, increases the baseline fan power allowance by 0.054 Watts/cfm (0.025 Watts/L/s).</t>
  </si>
  <si>
    <t>•  ≤300 tons (≤1055 kW) building peak: 1 water-cooled screw chiller
•  300-600 tons (1055 - 2110 kW) building peak: 2 equally-sized water-cooled  screw chillers
•  ≥600 tons (&gt;2110 kW) building peak: At least 2 water-cooled centrifugal chillers (800 tons max per chiller) 
Note: Overwrite entry if more than 2 water-cooled centrifugal chillers, or N/A if purchased chilled water is modeled.</t>
  </si>
  <si>
    <t>Describe how the purchased chilled water rate was determined. Local purchased energy rates must be used when available; when not available, the rates must account for the total costs associated with maintaining the district equipment, and generating and delivering the energy to the project site.</t>
  </si>
  <si>
    <t>Auto-sized with 15% oversizing (unless oversized at the system coil) per G3.1.2.2</t>
  </si>
  <si>
    <t>Per Table 6.8.1C efficiencies</t>
  </si>
  <si>
    <t>Auto-sized with a capacity ratio of 1.0 based on CHW temperatures</t>
  </si>
  <si>
    <t>Constant Flow - each primary pump interlocked to operate with associated chiller - G3.1.3.10, G3.1.3.11</t>
  </si>
  <si>
    <t>•  &lt;300 tons (1055kW): riding the pump curve
•  ≥300 tons (1055 kW): variable speed</t>
  </si>
  <si>
    <t>1 per G3.1.3.11</t>
  </si>
  <si>
    <t>Minimum 38.2 gpm/hp (3.23 L/s·kW) (maximum 0.0262 hp/gpm or 19.5 W/gpm) (0.301 kW/L/s)  per Table 6.8.1G</t>
  </si>
  <si>
    <t>Two-speed axial fans per G3.1.3.11</t>
  </si>
  <si>
    <t>85°F (29°C) or 10°F (5.6°C) approaching design wet-bulb temperature, whichever is lower per G3.1.3.11</t>
  </si>
  <si>
    <t>10°F (5.6°) per G3.1.3.11</t>
  </si>
  <si>
    <t>Maintain a 70°F (21°C) leaving water temperature where weather permits, floating up to leaving water temperature at design conditions per G3.1.3.11</t>
  </si>
  <si>
    <t>1 per chiller per G3.1.3.11</t>
  </si>
  <si>
    <t>19 W/gpm (310 kW/1000 L/
s) per G3.1.3.11</t>
  </si>
  <si>
    <t>Auto-sized with a capacity ratio of 1.0 based on CW temperatures</t>
  </si>
  <si>
    <t>Riding the pump curve per G3.1.3.11</t>
  </si>
  <si>
    <t>•  ≤15,000 sq ft (1400 m2): 1 natural draft hot water boiler
•  &gt;15,000 sq ft (1400 m2): 2 equally-sized natural draft hot water boilers staged as required by the load</t>
  </si>
  <si>
    <t>Describe how the purchased heating rate was determined. Local purchased energy rates must be used when available; when not available, the rates must account for the total costs associated with maintaining the district equipment, and generating and delivering the energy to the project site.</t>
  </si>
  <si>
    <t>Auto-sized with 25% oversizing (unless oversized at the system coil) per G3.1.2.2</t>
  </si>
  <si>
    <t>Per Table 6.8.1F minimum efficiencies</t>
  </si>
  <si>
    <t>•  180°F (82°C) per G3.1.3.3
•  ASHRAE 90.1 (Path 1) or Full DES (Path 2): Purchased Energy - Baseline supply temperature based on actual HHW/Steam loop conditions in Proposed Case</t>
  </si>
  <si>
    <t>Auto-sized with a capacity ratio of 1.0 based on HHW temperatures</t>
  </si>
  <si>
    <t>•  &lt;120,000 sq ft (11,160 m2): riding the pump curve
•  ≥120,000 sq ft (11,160 m2): variable speed</t>
  </si>
  <si>
    <t>Baseline is primary-only</t>
  </si>
  <si>
    <t>Proposed Case: Describe the geothermal or geoexchange system (e.g. closed loop vertical system, 4 inch (100 mm) diameter drilled 20 feet (6095 mm) apart, 250 feet (76.2 m) deep)</t>
  </si>
  <si>
    <t>Proposed Case: For ground source systems, enter the soil conductivity modeled for the system. This should be based on testing performed on the soil.</t>
  </si>
  <si>
    <t>Proposed Case: Enter the summer design temperature of the soil (for ground source heat pumps), or surface water (for lake, pond, ocean, or other water exchange heat pumps)</t>
  </si>
  <si>
    <t>Proposed Case: Enter the winter design temperature of the soil (for ground source heat pumps), or surface water (for lake, pond, ocean, or other water exchange heat pumps)</t>
  </si>
  <si>
    <t>Proposed Case: Describe how the operating temperature of the geothermal loop will be controlled, and how this was accounted for in the energy model.</t>
  </si>
  <si>
    <t>Proposed Case: Describe how the energy transfer effect from the building to the ground or surface water source has been accounted for in the energy model and the geothermal loop design.</t>
  </si>
  <si>
    <t>Proposed Case: Enter the number of Proposed geothermal loop pumps modeled (example: 1 (additional scheduled pump is stand-by))</t>
  </si>
  <si>
    <t>Proposed Case: Provide a brief description of how the geothermal air-side equipment efficiency curves were modeled, and confirm that they take into account the expected operating temperatures of the geothermal loop.</t>
  </si>
  <si>
    <t>Performace Outputs</t>
  </si>
  <si>
    <t>z</t>
  </si>
  <si>
    <t>Rate_Variance</t>
  </si>
  <si>
    <t>The virtual energy rate for one or more exceptional calculation measures varies from the virtual energy rate for the proposed by more than 10% (as reported in the Performance Outputs tab), which is unexpected.  Please correct or provide justification.</t>
  </si>
  <si>
    <t>The proposed virtual energy rate for natural gas is less than $0.50 per therm or greater than $2.00 per therm (as reported in the Performance Outputs tab), which is unexpected.  Please correct or provide justification.</t>
  </si>
  <si>
    <t>Building ID Lookup</t>
  </si>
  <si>
    <t>No</t>
  </si>
  <si>
    <t>Building Information for Multiple Building Projects</t>
  </si>
  <si>
    <t>Manual fenestration shading devices such as blinds or shades have been modeled or not modeled, the same as in the proposed.</t>
  </si>
  <si>
    <t>Any shading by adjacent structures and terrain or manual shading devices have been modeled or not modeled, the same as in the proposed.</t>
  </si>
  <si>
    <t>Audience/seating  - auditorium</t>
  </si>
  <si>
    <t>Audience/seating  - performing arts theater</t>
  </si>
  <si>
    <t>Audience/seating  - motion picture theater</t>
  </si>
  <si>
    <t>Court/police/penitentiary - courtroom</t>
  </si>
  <si>
    <t>Court/police/penitentiary -  confinement cells</t>
  </si>
  <si>
    <t>Court/police/penitentiary -  judges' chambers</t>
  </si>
  <si>
    <t>Gym/fitness center - fitness area</t>
  </si>
  <si>
    <t>Gymnasium audience seating</t>
  </si>
  <si>
    <t>Penitentiary audience seating</t>
  </si>
  <si>
    <t>Penitentiary classroom</t>
  </si>
  <si>
    <t>Penitentiary dining</t>
  </si>
  <si>
    <t>Hotel dining</t>
  </si>
  <si>
    <t>Hotel guest rooms</t>
  </si>
  <si>
    <t>Hotel lobby</t>
  </si>
  <si>
    <t>Highway lodging dining</t>
  </si>
  <si>
    <t>Highway lodging guest rooms</t>
  </si>
  <si>
    <t xml:space="preserve">Manufacturing - extra high bay </t>
  </si>
  <si>
    <t xml:space="preserve">Manufacturing - high bay </t>
  </si>
  <si>
    <t xml:space="preserve">Manufacturing - low bay </t>
  </si>
  <si>
    <t>Retail - sales area (see 9.6.3(c) for accent ltg)</t>
  </si>
  <si>
    <t>Dressing/fitting room: performing arts theater</t>
  </si>
  <si>
    <t>(OPTIONAL) Equivalent Full Load Hours Calculator</t>
  </si>
  <si>
    <t>Complete the General Information tab before completing any other tabs. Note that the selections in this tab will determine the selections available within other tabs, including multiple building selections, residential dwelling unit selections, rating system dependent selections, and district energy selections.</t>
  </si>
  <si>
    <t>Default_Description</t>
  </si>
  <si>
    <t>Default_Assembly_U-factor</t>
  </si>
  <si>
    <t>Base_Description</t>
  </si>
  <si>
    <t>Proposed_Description</t>
  </si>
  <si>
    <t>Assembly U-factor</t>
  </si>
  <si>
    <t>Default_Assembly_C-factor</t>
  </si>
  <si>
    <t>Assembly C-factor</t>
  </si>
  <si>
    <t>Default_Assembly_F-factor</t>
  </si>
  <si>
    <t>Assembly F-factor</t>
  </si>
  <si>
    <t>Default_SHGC</t>
  </si>
  <si>
    <t>Base_SHGC</t>
  </si>
  <si>
    <t>Base_Assembly_U-factor</t>
  </si>
  <si>
    <t>Default_Base</t>
  </si>
  <si>
    <t>Default_Proposed</t>
  </si>
  <si>
    <t>Select one of the following before entering any simulation output data:</t>
  </si>
  <si>
    <t>Modeled_Design_LPD</t>
  </si>
  <si>
    <t>The exterior lighting inputs indicate that additional lighting power allowance has been claimed in the baseline for surfaces that are not provided with lighting in the actual design and/or lighting fixtures have been double-counted for different exterior surfaces.  Please review selection in LIghting tab or provide a narrative which explains the reasoning for this choice.</t>
  </si>
  <si>
    <t>Exterior Compliant</t>
  </si>
  <si>
    <t>The rating system requires that a minimum of 2% of the energy savings must come from building power and cooling infrastructure. Provide a narrative describing how this requirement has been met. If necessary, include additional modeling output reports.</t>
  </si>
  <si>
    <t>Count</t>
  </si>
  <si>
    <t>Zones Modeled</t>
  </si>
  <si>
    <t>Inputs for the Shading and Fenestration tab indicate that less than 10 zones were modeled for the building.  This is unusually low for a standard submission.  Revise the quantity of zones input or provide a narrative justifying the number of zones used.</t>
  </si>
  <si>
    <t>LEED Project ID #</t>
  </si>
  <si>
    <t xml:space="preserve"> Total</t>
  </si>
  <si>
    <t>On/Off Schedules</t>
  </si>
  <si>
    <t>Default Schedules</t>
  </si>
  <si>
    <t>ASHRAE 90.1-2010 User'S Manual Schedules</t>
  </si>
  <si>
    <t>Fraction / Percentage Schedules</t>
  </si>
  <si>
    <t>Residential Dwelling Unit Default Schedules</t>
  </si>
  <si>
    <t xml:space="preserve">Holiday </t>
  </si>
  <si>
    <t>Total (must equal 365 days/year)</t>
  </si>
  <si>
    <t>Reason for exemption from modeling the additional building orientations.</t>
  </si>
  <si>
    <t>Baseline Systems Helpful Notes</t>
  </si>
  <si>
    <t>Performance Outputs</t>
  </si>
  <si>
    <t>Base Exterior Lighting Demand</t>
  </si>
  <si>
    <t>Design Exterior Lighting Demand</t>
  </si>
  <si>
    <t>Base Non Tradeable Exterior Lighting Maximum</t>
  </si>
  <si>
    <t>Design Non Tradeable Exterior Lighting Maximum</t>
  </si>
  <si>
    <t>Base Exterior Lighitng Consumption</t>
  </si>
  <si>
    <t>Design Exterior Lighting Consumption</t>
  </si>
  <si>
    <t>Base Exterior EFLH</t>
  </si>
  <si>
    <t>Base Miscellaneous % of Total</t>
  </si>
  <si>
    <t>Design Miscellaneous % of Total</t>
  </si>
  <si>
    <t>Unregulated Load Difference</t>
  </si>
  <si>
    <t>Base Service Hot Waters % of Total</t>
  </si>
  <si>
    <t>Design Service Hot Water % of Total</t>
  </si>
  <si>
    <t>Base Pump Consumption</t>
  </si>
  <si>
    <t>Renewable Rate Difference</t>
  </si>
  <si>
    <t>Proposed Electric Rate</t>
  </si>
  <si>
    <t>Proposed Gas Rate</t>
  </si>
  <si>
    <t>Total Baseline Exterior Lighting Demand</t>
  </si>
  <si>
    <t>Total Design Exterior Lighting Demand</t>
  </si>
  <si>
    <t>Base Cooling Capacity</t>
  </si>
  <si>
    <t>Design Cooling Capacity</t>
  </si>
  <si>
    <t>Base Heating Capacity</t>
  </si>
  <si>
    <t>Design Heating Capacity</t>
  </si>
  <si>
    <t>System 8 (District Cooling) - VAV with PFP Boxes</t>
  </si>
  <si>
    <t>the information technology (IT) load as measured at the point of connection (e.g., power receptacle ) of the IT device to the electrical power system. Server input captures the actual power load of the IT device exclusive of any power distribution losses and non-IT loads (e.g., rack-mounted fans).</t>
  </si>
  <si>
    <t>Server input</t>
  </si>
  <si>
    <t>Any building end use that has either a mandatory or a prescriptive requirement in ANSI/ASHRAE/IES Standard 90.1–2007</t>
  </si>
  <si>
    <t>Regulated load</t>
  </si>
  <si>
    <t>a measure of how efficiently a data center uses its power; specifically, how much power is used by computing equipment rather than for cooling and other overhead</t>
  </si>
  <si>
    <t>Power Utilization Effectiveness (PUE)</t>
  </si>
  <si>
    <t>Dlectricity consumption by information technology and telecom equipment which includes servers, networking, and storage equipment over the course of a year</t>
  </si>
  <si>
    <t>IT annual energy</t>
  </si>
  <si>
    <t>DES Path 3: Streamlined DES Modeling</t>
  </si>
  <si>
    <t>DES Path 2: Full DES Performance Accounting</t>
  </si>
  <si>
    <t>DES Modeling Paths:</t>
  </si>
  <si>
    <t>A heating or cooling system or control associated with the district energy system (DES) but not part of the thermal connection or interface with the DES. Upstream equipment includes the thermal energy conversion plant and all the transmission and distribution equipment associated with transporting the thermal energy to the project building or site.</t>
  </si>
  <si>
    <t>DES: upstream equipment</t>
  </si>
  <si>
    <t>The heating and cooling systems, equipment, and controls located in the project building or on the project site and associated with transporting the thermal energy of the district energy system (DES) into heated and cooled spaces. Downstream equipment includes the thermal connection or interface with the DES, secondary distribution systems in the building, and terminal units.</t>
  </si>
  <si>
    <t>DES: downstream equipment</t>
  </si>
  <si>
    <t>A central energy conversion plant and transmission and distribution system that provides thermal energy to a group of buildings (e.g., a central cooling plant on a university campus). It does not include central energy systems that provide only electricity.</t>
  </si>
  <si>
    <t>district energy system (DES)</t>
  </si>
  <si>
    <t>An integrated system that captures the heat, otherwise unused, generated by a single fuel source in the production of electrical power. Also known as cogeneration. (Adapted from U.S. Environmental Protection Agency)</t>
  </si>
  <si>
    <t>combined heat and power</t>
  </si>
  <si>
    <t>The annual energy cost for a building design, used as a baseline for comparison with above-standard design</t>
  </si>
  <si>
    <t>baseline building performance</t>
  </si>
  <si>
    <t>DEFINITIONS</t>
  </si>
  <si>
    <t>Select how the district energy system has been modeled (see Definitions Tab)</t>
  </si>
  <si>
    <t>DES Path 1: ASHRAE 90.1-2010</t>
  </si>
  <si>
    <t>Purchased heating and cooling (as applicable) are modeled as cost-neutral in the baseline and proposed case. Local rates for purchased heating and cooling are used to establish the purchased heating and cooling costs. The energy model's scope accounts for only downstream equipment, plus purchased heating and cooling. (Refer to ASHRAE 90.1-2010 for details).</t>
  </si>
  <si>
    <r>
      <t xml:space="preserve">A virtual DES-equivalent plant for the Proposed case is constructed and compared to code-compliant on-site equipment for the Baseline Case. The Baseline case system type is modeled consistent with an on-site system in ASHRAE 90.1 Appendix G. Average efficiencies for the proposed case are modeled or monitored. (Refer to the </t>
    </r>
    <r>
      <rPr>
        <i/>
        <sz val="11"/>
        <color theme="1"/>
        <rFont val="Calibri"/>
        <family val="2"/>
        <scheme val="minor"/>
      </rPr>
      <t>LEED v4 Building Design &amp; Constrution Reference Guide</t>
    </r>
    <r>
      <rPr>
        <sz val="11"/>
        <color theme="1"/>
        <rFont val="Calibri"/>
        <family val="2"/>
        <scheme val="minor"/>
      </rPr>
      <t>, Minimum Energy Performance Prerequisite for details.)</t>
    </r>
  </si>
  <si>
    <t>The district thermal energy is metered in both the Baseline and Proposed Case models and reported in this spreadsheet. This spreadsheet assigns default average efficiencies for the baseline case calculated using ASHRAE 90.1-2010 prescriptive requirements for DES equipment. Average efficiencies for the proposed case are modeled or monitored. (Refer to the LEED v4 Building Design &amp; Constrution Reference Guide, Minimum Energy Performance Prerequisite for details.)</t>
  </si>
  <si>
    <t>Complete this calculator to document the LEED Minimum Energy Performance prerequisite when using ASHRAE 90.1-2010 or a LEED approved alternative energy standard).</t>
  </si>
  <si>
    <t>INSTRUCTIONS:</t>
  </si>
  <si>
    <t>Note: This calculator shall be used for any LEED 2009 project using the ASHRAE 90.1-2010 pathway (via LEED
 Interpretation #10421.</t>
  </si>
  <si>
    <t>Complete all sheets. 
Complete the General Info tab before completing any other tabs, since this will show or hide rating system specific information, and other project-specific information. 
If the project has multiple buildings, complete the Multiple Buildings Details tab second.
Then continue by filling out all additional tabs.
These sheets are intended to assist energy modelers in developing the ASHRAE 90.1 Appendix G building energy models. The inputs include specific information about the baseline and proposed ASHRAE 90.1-2010 Appendix G modeling requirements, and provide the energy modeler with quality control checks for the energy modeling inputs and outputs. These sheets provide the greatest value to the project team if they are completed during the design process, with involvement from the building owner, architect(s), and engineer(s). Prior to LEED submission, the energy modeler should confirm that the energy model inputs listed are consistent with those modeled, and provide quality control (QC) to confirm that the outputs are reasonable based on the energy inputs listed.  
Note: If the energy modeler and project team waits to fill out the spreadsheet until near the completion of the building design, the team may discover some ASHRAE 90.1 mandatory requirements that have been overlooked, modeling requirements that have not been addressed, and additional time may be required to revise the model and show compliance.</t>
  </si>
  <si>
    <t xml:space="preserve">Upload the completed spreadsheet to LEED Online in Excel (*.xlsm) format.  Complete any related summary fields in the LEED prerequisite form and provide all additional required uploads along with the results of the calculator
</t>
  </si>
  <si>
    <t xml:space="preserve">Note: For LEED 2009 projects using ASHRAE 90.1-2010 via LEED Interpretation #10421, provide the following sections of the LEED prerequisite form:
1. Target Finder.
2. Check the additional details checkbox: "The project team is using an alternative compliance approach..."
3. For the "Alternative Compliance Path" narrative, reference LEED Interpretation #10421.
4. For the "Alternative Compliance Path" uploads, provide:
    a. The ASHRAE 90.1-2010 Mandatory measures checklist, or a document confirming compliance with all 
         mandatory measures of ASHRAE 90.1-2010 or LEED approved alternative standard.
    b. This completed spreadsheet in Excel (*.xlsm) format.
    c. Upload of Target Finder results.
    d. Upload of the following energy simulation reports for the proposed and 0 degree baseline buildings.
        (1) A sample of the wall, roof, floor, and window assembly inputs showing U-values and window SHGC,
             as well as the infiltration for a few representative spaces
        (2) Sample lighting and plug load inputs for a few representative spaces
        (3) Sample inputs at the thermal zone, system, and plant level (as applicable) for each system type, including
              the cooling, heating, fans, controls, outside air, and service water heating system
        (4) Inputs for the utility tariffs, if there is a variance of at least 10% between the baseline and proposed virtual 
              rates, or if the percentage consumption savings for each non-electric utility varies by more than 5% from the 
              percentage consumption savings for the electric utility.
        (5) Output summary report of energy consumption by end use and fuel source
        (6) Output summary report of total energy consumption and cost by fuel source
</t>
  </si>
  <si>
    <t>Per Section G3.1.2.6, the minimum baseline outdoor air ventilation rates are modeled using ASHRAE 62.1 minimum outside air volume or the minimum outside air volume required by local code. The proposed outdoor air ventilation rates are modeled as designed.  The baseline outside air volume (equal to the sum of the baseline outside air volume per system) does not exceed the proposed outside air volume (equal to the sum of the outside air volume per system) except using schedule variations for spaces where demand control ventilation has been designed where its use is not required, or when providing Baseline and Proposed ASHRAE 62.1 calculations for systems where the Proposed system Ez &gt; 1.0. Note that the Baseline outside air volume and Proposed outside air volume values must be reported consistently with the information provided in IEQ Prerequisite: Minimum Indoor Air Quality, or supplemental documentation must be provided to support the local OA volume requirements or Baseline calculations for systems with Ez &gt; 1.0.</t>
  </si>
  <si>
    <t>•  12°F (6.3°C) per  G3.1.3.8
•  ASHRAE 90.1 (Path 1): CHW ΔT  based on actual chilled water loop conditions in Proposed Case.</t>
  </si>
  <si>
    <t>•  44°F (7°C) at outdoor temps 80°F (27°C) and above, 54°F (12°C) at outdoor temps 60°F (16°C) and below, and ramped linearly between 44°F (7°C) and 54°F (12°C) at outdoor temps between 80°F (27°C) and 60°F (16°C) per G3.1.3.9
•  ASHRAE 90.1 (Path 1): CHW Temp Reset based on actual CHW loop conditions in Proposed Case.</t>
  </si>
  <si>
    <t>•  50°F (28°C) per G3.1.3.3
•  ASHRAE 90.1 (Path 1): Baseline ΔT based on actual HHW/Steam loop conditions in Proposed Case</t>
  </si>
  <si>
    <t>•  180°F (83°C) at outdoor temps 20°F (-7°C) and below, 150°F (66°C) at outdoor temps 50°F (10°C) and above, and ramped linearly between 180°F (83°C) and 150°F (66°C) at outdoor temps between 20°F(-7°C) and 50°F (10°C) per G3.1.3.4
•  ASHRAE 90.1 (Path 1): Baseline Temp Reset based on actual HHW/Steam loop conditions in Proposed Case</t>
  </si>
  <si>
    <t>•  44°F (6.7°C) per G3.1.3.8
•  ASHRAE 90.1 (Path 1): Baseline supply temperature based on actual chilled water loop conditions in Proposed Case.</t>
  </si>
  <si>
    <t>•  Primary/secondary per G3.1.3.10
•  ASHRAE 90.1 (Path 1) or Streamlined DES (Path 3): only building distribution pumps shall be modeled, in which case pump controls shall match the Baseline secondary CHW pump control requirements.</t>
  </si>
  <si>
    <t>•  1 per chiller per G3.1.3.11
•  ASHRAE 90.1 (Path 1) or Streamlined DES (Path 3): no primary  CHW pumps should be modeled (since these are considered part of the upstream source)</t>
  </si>
  <si>
    <t>•  The sum of primary and secondary must be 22 W/gpm (349 kW/1000 L/s) per G3.1.3.10. Recommended that the pump power be split as one-third (primary) and two-thirds (secondary).
•  ASHRAE 90.1 (Path 1) or Streamlined DES (Path 3): Not applicable</t>
  </si>
  <si>
    <t>•  1 per G3.1.3.10
•  ASHRAE 90.1 (Path 1) or Streamlined DES (Path 3): one on-site CHW distribution pump shall only be modeled if CHW distribution pumps are present on site (these would otherwise be considered part of the upstream source) (per G3.1.1.3.4)</t>
  </si>
  <si>
    <t>•  The sum of primary and secondary must be 22 W/gpm (349 kW/1000 L/s) per G3.1.3.10. Recommended that the pump power be split as one-third (primary) and two-thirds (secondary).
•  ASHRAE 90.1 (Path 1): 16 W/gpm (254 kW/1000 L/s) per exception to G3.1.3.10
•  California Title 24 (Path 4): Same W/gpm (kW/1000 L/s) as Proposed or 22 W/gpm (349 kW/1000 L/s)</t>
  </si>
  <si>
    <t>•  Primary-only per G3.1.3.5
•  ASHRAE 90.1 (Path 1) or Streamlined DES (Path 3): Baseline pumps shall only be modeled if distribution pumps are present in the building, in which case buildings shall be modeled as primary-only per G3.1.3.5</t>
  </si>
  <si>
    <t>•  One pump
•  ASHRAE 90.1 (Path 1) or Streamlined DES (Path 3): equal to the number of distribution pumps present in the building</t>
  </si>
  <si>
    <t>•  19 W/gpm (301 kW/1000 L/s) per G3.1.3.5
•  ASHRAE 90.1 (Path 1) or Streamlined DES (Path 3): - 14 W/gpm (222 kW/1000 L/s) per exception to G3.1.3.5
•  ASHRAE 90.1 (Path 1) or Streamlined DES (Path 3) - same as the W/gpm (kW/1000 L/s) for the Proposed Case pumps (or alternatively 14 W/gpm (222 kW/1000 L/s) limit from Addendum ai G3.1.3.5 would be acceptable)</t>
  </si>
  <si>
    <t>Additional Notes (Optional):</t>
  </si>
  <si>
    <t xml:space="preserve">Units should be consistent with the ASHRAE 90.1 minimum efficiency rating requirements for this system type. If modeled units are different than ASHRAE 90.1 units (e.g. EIR rather than SEER), report both units.  
Since the packaged cooling efficiency ratings are calculated at ARI-rated conditions, the fans must also be broken out at ARI-rated conditions (fan power at ARI conditions is typically much lower than fan power at design conditions).  If the simulation software does not perform this step automatically, provide the calculations. For the Baseline Case, the project team may use ASHRAE 90.1 – 2010 Addendum bl or the RMI EMIT translator as optional methods for breaking out the fan power. For the Proposed case, use the method documented in the ASHRAE 90.1 User’s Manual to break out the fan power.
</t>
  </si>
  <si>
    <t>(OPTIONAL) Results from eQUEST Parms.csv File(s)</t>
  </si>
  <si>
    <t>Electric Usage:</t>
  </si>
  <si>
    <t>Non-Coincident Peak Demand:</t>
  </si>
  <si>
    <t>Coincident Peak Demand:</t>
  </si>
  <si>
    <t>Fuel Usage:</t>
  </si>
  <si>
    <t>Source Energy:</t>
  </si>
  <si>
    <t>TDV Energy:</t>
  </si>
  <si>
    <t>Annual Utility Costs:</t>
  </si>
  <si>
    <t>Hours Outside Throttling Range:</t>
  </si>
  <si>
    <t>Run Type</t>
  </si>
  <si>
    <t>Internal Loads</t>
  </si>
  <si>
    <t>Case #s</t>
  </si>
  <si>
    <t>Short Name</t>
  </si>
  <si>
    <t>Carry Fwd</t>
  </si>
  <si>
    <t>Incremental First Cost ($)</t>
  </si>
  <si>
    <t>Incremental Annual Maint. ($)</t>
  </si>
  <si>
    <t>Date &amp; Time of Run</t>
  </si>
  <si>
    <t>File Name</t>
  </si>
  <si>
    <t>Case Description</t>
  </si>
  <si>
    <t>SS-D
Peak Cooling Coil Load
kBtu</t>
  </si>
  <si>
    <t>PS-E
Ambient Lights
kWh</t>
  </si>
  <si>
    <t>PS-E
Task Lights
kWh</t>
  </si>
  <si>
    <t>PS-E
Misc Equip
kWh</t>
  </si>
  <si>
    <t>PS-E
Space Heating
kWh</t>
  </si>
  <si>
    <t>PS-E
Space Cooling
kWh</t>
  </si>
  <si>
    <t>PS-E
Heat Reject
kWh</t>
  </si>
  <si>
    <t>PS-E
Pumps &amp; Aux
kWh</t>
  </si>
  <si>
    <t>PS-E
Ventilation Fans
kWh</t>
  </si>
  <si>
    <t>PS-E
Refrig Display
kWh</t>
  </si>
  <si>
    <t>PS-E
Heat Pump Supplement
kWh</t>
  </si>
  <si>
    <t>PS-E
Domestic Hot Water
kWh</t>
  </si>
  <si>
    <t>PS-E
Exterior Usage
kWh</t>
  </si>
  <si>
    <t>PS-E
Total
kWh</t>
  </si>
  <si>
    <t>PS-E
Ambient Lights
kW</t>
  </si>
  <si>
    <t>PS-E
Task Lights
kW</t>
  </si>
  <si>
    <t>PS-E
Misc Equip
kW</t>
  </si>
  <si>
    <t>PS-E
Space Heating
kW</t>
  </si>
  <si>
    <t>PS-E
Space Cooling
kW</t>
  </si>
  <si>
    <t>PS-E
Heat Reject
kW</t>
  </si>
  <si>
    <t>PS-E
Pumps &amp; Aux
kW</t>
  </si>
  <si>
    <t>PS-E
Ventilation Fans
kW</t>
  </si>
  <si>
    <t>PS-E
Refrig Display
kW</t>
  </si>
  <si>
    <t>PS-E
Heat Pump Supplement
kW</t>
  </si>
  <si>
    <t>PS-E
Domestic Hot Water
kW</t>
  </si>
  <si>
    <t>PS-E
Exterior Usage
kW</t>
  </si>
  <si>
    <t>PS-E
Bldg Total
kW</t>
  </si>
  <si>
    <t>PS-E
Ambient Lights
Therms</t>
  </si>
  <si>
    <t>PS-E
Task Lights
Therms</t>
  </si>
  <si>
    <t>PS-E
Misc Equip
Therms</t>
  </si>
  <si>
    <t>PS-E
Space Heating
Therms</t>
  </si>
  <si>
    <t>PS-E
Space Cooling
Therms</t>
  </si>
  <si>
    <t>PS-E
Heat Reject
Therms</t>
  </si>
  <si>
    <t>PS-E
Pumps &amp; Aux
Therms</t>
  </si>
  <si>
    <t>PS-E
Ventilation Fans
Therms</t>
  </si>
  <si>
    <t>PS-E
Refrig Display
Therms</t>
  </si>
  <si>
    <t>PS-E
Heat Pump Supplement
Therms</t>
  </si>
  <si>
    <t>PS-E
Domestic Hot Water
Therms</t>
  </si>
  <si>
    <t>PS-E
Exterior Usage
Therms</t>
  </si>
  <si>
    <t>PS-E
Total
Therms</t>
  </si>
  <si>
    <t>BEPS
Bldg Energy
Mbtu</t>
  </si>
  <si>
    <t>BEPS
Bldg EUI
kBtu/sf/yr</t>
  </si>
  <si>
    <t>TDV1
Bldg Energy
TDV-Mbtu</t>
  </si>
  <si>
    <t>TDV1
Bldg EUI
TDV-kBtu/sf/yr</t>
  </si>
  <si>
    <t>ES-E
Total Electric
$</t>
  </si>
  <si>
    <t>ES-E
Total Fuel
$</t>
  </si>
  <si>
    <t>ES-E
Electric kWh
$</t>
  </si>
  <si>
    <t>ES-E
Electric kW
$</t>
  </si>
  <si>
    <t>BEPS
Zone Outsd Thrtlng Rng
% hrs</t>
  </si>
  <si>
    <t>BEPS
Plant Ld Not Met
% hrs</t>
  </si>
  <si>
    <t>SS-E
Hours Fan On
# hrs</t>
  </si>
  <si>
    <t xml:space="preserve">
Zone Outsd Thrtlng Rng
# hrs</t>
  </si>
  <si>
    <t>BEPS
Cool Loads Not Met
# hrs</t>
  </si>
  <si>
    <t>BEPS
Heat Loads Not Met
# hrs</t>
  </si>
  <si>
    <t>(OPTIONAL) Results from Trace Energy Cost Budget File(s)</t>
  </si>
  <si>
    <r>
      <rPr>
        <b/>
        <sz val="10"/>
        <color indexed="8"/>
        <rFont val="Arial"/>
        <family val="2"/>
      </rPr>
      <t>Instructions</t>
    </r>
    <r>
      <rPr>
        <sz val="10"/>
        <color indexed="8"/>
        <rFont val="Arial"/>
        <family val="2"/>
      </rPr>
      <t xml:space="preserve">
1) Open Trace Energy Cost Budget (ECB) file(s) that include results for baseline and proposed models
2) Copy end uses and associated affected fuel types from an ECB file (columns A and B from row 4 to the "Total Building Consumption" line item) and paste into columns A and B below.  
3) Copy baseline runs Energy 10˄6 Btu/yr column from the appropriate ECB file and paste into columns C-F below. If the baseline is not being rotated, copy the lone baseline run into column C and leave columsn D-F blank.
4) Copy proposed run Energy 10˄6 Btu/yr column from the approrpriate ECB file and paste into column H below. 
       </t>
    </r>
  </si>
  <si>
    <t>END USES (COL A)</t>
  </si>
  <si>
    <t>AFFECTED FUELS (COL B)</t>
  </si>
  <si>
    <t>Lookup Value</t>
  </si>
  <si>
    <t>Lighting - Conditioned</t>
  </si>
  <si>
    <t>Space Heating</t>
  </si>
  <si>
    <t>Gas</t>
  </si>
  <si>
    <t>Space Cooling</t>
  </si>
  <si>
    <t>Heat Rejection</t>
  </si>
  <si>
    <t>Fans - Conditioned</t>
  </si>
  <si>
    <t>Receptacles - Conditioned</t>
  </si>
  <si>
    <t>Stand-alone Base Utilities</t>
  </si>
  <si>
    <t>Total Building Consumption</t>
  </si>
  <si>
    <t>Average Baseline</t>
  </si>
  <si>
    <t>BASELINE 
(Energy 10˄6 Btu/yr)"</t>
  </si>
  <si>
    <t>BASELINE, 90° Rotation
(Energy 10˄6 Btu/yr)</t>
  </si>
  <si>
    <t>BASELINE, 180° Rotation
(Energy 10˄6 Btu/yr)</t>
  </si>
  <si>
    <t>BASELINE, 270° Rotation
(Energy 10˄6 Btu/yr)</t>
  </si>
  <si>
    <t>AVERAGE BASELINE
(Energy 10˄6 Btu/yr)</t>
  </si>
  <si>
    <t>PROPOSED 
(Energy 10˄6 Btu/yr)</t>
  </si>
  <si>
    <t>Software Links</t>
  </si>
  <si>
    <t>*Resulsts from eQEUST* End Use Column</t>
  </si>
  <si>
    <t>L</t>
  </si>
  <si>
    <t>W</t>
  </si>
  <si>
    <t>AJ</t>
  </si>
  <si>
    <t>BA</t>
  </si>
  <si>
    <t>P</t>
  </si>
  <si>
    <t>AC</t>
  </si>
  <si>
    <t>R</t>
  </si>
  <si>
    <t>AE</t>
  </si>
  <si>
    <t>Q</t>
  </si>
  <si>
    <t>AD</t>
  </si>
  <si>
    <t>S</t>
  </si>
  <si>
    <t>AF</t>
  </si>
  <si>
    <t>BH</t>
  </si>
  <si>
    <t>N</t>
  </si>
  <si>
    <t>AA</t>
  </si>
  <si>
    <t>U</t>
  </si>
  <si>
    <t>AH</t>
  </si>
  <si>
    <t>O</t>
  </si>
  <si>
    <t>AB</t>
  </si>
  <si>
    <t>AZ</t>
  </si>
  <si>
    <t>BD</t>
  </si>
  <si>
    <t>BB</t>
  </si>
  <si>
    <t>Misc Equipment (Gas)</t>
  </si>
  <si>
    <t>Auxilary (Gas)</t>
  </si>
  <si>
    <t>Cooling (Gas)</t>
  </si>
  <si>
    <t>*Resulsts from Trace* End Use Label</t>
  </si>
  <si>
    <t>*Resulsts from Trace* End Use Fuel Label</t>
  </si>
  <si>
    <t>*Resulsts from Trace* End Use Row</t>
  </si>
  <si>
    <t>Software Link References</t>
  </si>
  <si>
    <t>eQUEST Outputs End Use Column</t>
  </si>
  <si>
    <t>TRACE End Use Label</t>
  </si>
  <si>
    <t>TRACE End Use Fuel Label</t>
  </si>
  <si>
    <t>TRACE Output End Use Row</t>
  </si>
  <si>
    <r>
      <t xml:space="preserve">Instructions: 
</t>
    </r>
    <r>
      <rPr>
        <sz val="10"/>
        <rFont val="Arial"/>
        <family val="2"/>
      </rPr>
      <t xml:space="preserve">1) Open Parms.csv file(s) that include results for baseline and proposed models
2) Copy baseline runs from the appropriate Parms.csv file and paste values into rows 8-11 below. For projects that were not rotated, paste the lone baseline run into row 8. 
3) Copy the proposed run from the approrpriate Parms.csv file and paste values into row 13 below. </t>
    </r>
  </si>
  <si>
    <t>Pump consumption is reflected in the baseline outputs (as reported in the Performance Outputs tab), even though the baseline HVAC system type is 2, 3, 4, 6, 9, or 10, none of which include an HVAC circulation loop.</t>
  </si>
  <si>
    <t>Fixture_DT</t>
  </si>
  <si>
    <t>Simulation Results</t>
  </si>
  <si>
    <t>Total Baseline Energy</t>
  </si>
  <si>
    <t>Total Proposed Energy</t>
  </si>
  <si>
    <t>The total energy consumption indicated in the output file tab (i.e. Results from Trace or Results from eQUEST) for the Baseline Case model is inconsistent with the total energy consumption reported in the Performance Output tab.  Please check the output file tabs and ensure that all energy end-use consumptions are consistently being reported in the summary tables of this tab.  Provide a narrative justifying any discrepancies between the two tables.</t>
  </si>
  <si>
    <t>The total energy consumption indicated in the output file tab (i.e. Results from Trace or Results from eQUEST) for the Proposed Case model  is inconsistent with the total energy consumption reported in the Performance Output tab.  Please check the output file tabs and ensure that all energy end-use consumptions are consistently being reported in the summary tables of this tab.  Provide a narrative justifying any discrepancies between the two tables.</t>
  </si>
  <si>
    <r>
      <rPr>
        <b/>
        <sz val="9"/>
        <rFont val="Calibri"/>
        <family val="2"/>
        <scheme val="minor"/>
      </rPr>
      <t xml:space="preserve">  Table Notes:</t>
    </r>
    <r>
      <rPr>
        <sz val="9"/>
        <rFont val="Calibri"/>
        <family val="2"/>
        <scheme val="minor"/>
      </rPr>
      <t xml:space="preserve">
  1) Ensure to include a description of each end-use in Column A and that the total consumption for this output report matches the values provided in the Performance Output tab.
  2) Ensure that each end-use in this tab has a corresponding entry in the software links table of the Performance Output tab
</t>
    </r>
  </si>
  <si>
    <r>
      <rPr>
        <b/>
        <sz val="10"/>
        <rFont val="Arial"/>
        <family val="2"/>
      </rPr>
      <t>Table Notes:</t>
    </r>
    <r>
      <rPr>
        <sz val="10"/>
        <rFont val="Arial"/>
        <family val="2"/>
      </rPr>
      <t xml:space="preserve">
  1) Ensure that each end-use in this tab has a corresponding entry in the software links table of the Performance Output tab
</t>
    </r>
  </si>
  <si>
    <t>Last Updated 4/14/17</t>
  </si>
  <si>
    <t>*Results from eQUEST* End Use Column</t>
  </si>
  <si>
    <t>*Results from Trace* End Use Label</t>
  </si>
  <si>
    <t>*Results from Trace* End Use Fuel Label</t>
  </si>
  <si>
    <t>*Results from Trace* End Use Row</t>
  </si>
  <si>
    <t>V05</t>
  </si>
  <si>
    <t>ARAMCO</t>
  </si>
  <si>
    <t>SI units</t>
  </si>
  <si>
    <t>Robin Jain</t>
  </si>
  <si>
    <t>SAU_SH_Dhahran-Abdulaziz.AB.404160_TMYx.2004-2018</t>
  </si>
  <si>
    <t>N/A - No unfinished spaces</t>
  </si>
  <si>
    <t>N/A (no residential spaces)</t>
  </si>
  <si>
    <t>N/A (no existing space)</t>
  </si>
  <si>
    <t>N/A (no semiheated space)</t>
  </si>
  <si>
    <t>100 mm Extruded Polystyrene with Concrete</t>
  </si>
  <si>
    <t>Reflectance 0.3 / Emittance 0.9</t>
  </si>
  <si>
    <t>250 mm thickness Concrete screed with 100 mm extruded polystyrene thermal insulation and 80 mm screed</t>
  </si>
  <si>
    <t>U-0.243</t>
  </si>
  <si>
    <t>&gt;100</t>
  </si>
  <si>
    <t>1 to 5</t>
  </si>
  <si>
    <t>50 to 100</t>
  </si>
  <si>
    <t>DGU</t>
  </si>
  <si>
    <t>Daylighting &amp; Occupancy Sensor</t>
  </si>
  <si>
    <t>Occupancy Sensor</t>
  </si>
  <si>
    <t>Elevators</t>
  </si>
  <si>
    <t>Exhaust Fans</t>
  </si>
  <si>
    <t>Air Handling Units</t>
  </si>
  <si>
    <t>Fan Coil Units</t>
  </si>
  <si>
    <t>All Spaces except space served by FCUs</t>
  </si>
  <si>
    <t>Electrical/Mechancal, Storage, Corridors</t>
  </si>
  <si>
    <t>All Spaces except below</t>
  </si>
  <si>
    <t>Laboratory Spaces</t>
  </si>
  <si>
    <t>Electrical Rooms, TR rooms, MDB room, Process room</t>
  </si>
  <si>
    <t>L1 AHU</t>
  </si>
  <si>
    <t>L2 AHU</t>
  </si>
  <si>
    <t>L3 AHU</t>
  </si>
  <si>
    <t>L4 AHU</t>
  </si>
  <si>
    <t>L5 AHU</t>
  </si>
  <si>
    <t>Sys 7</t>
  </si>
  <si>
    <t>Sys 4</t>
  </si>
  <si>
    <t>&lt;19 kW</t>
  </si>
  <si>
    <t>&gt; 19 kW and &lt; 40 kW</t>
  </si>
  <si>
    <t>&gt; 40 kW and &lt; 70 kW</t>
  </si>
  <si>
    <t>EER</t>
  </si>
  <si>
    <t>13 SEER</t>
  </si>
  <si>
    <t>IEER</t>
  </si>
  <si>
    <t>CA_AHU_0001</t>
  </si>
  <si>
    <t>CA_AHU_0002</t>
  </si>
  <si>
    <t>CA_AHU_0004</t>
  </si>
  <si>
    <t>CA_AHU_0006</t>
  </si>
  <si>
    <t>CA_AHU_0007</t>
  </si>
  <si>
    <t>CA_AHU_0008</t>
  </si>
  <si>
    <t>CA_AHU_0009</t>
  </si>
  <si>
    <t>CA_AHU_0010</t>
  </si>
  <si>
    <t>CA_AHU_0011</t>
  </si>
  <si>
    <t>CA_AHU_0012</t>
  </si>
  <si>
    <t>CA_AHU_0014</t>
  </si>
  <si>
    <t>CA_AHU_0015</t>
  </si>
  <si>
    <t>CA_AHU_0016</t>
  </si>
  <si>
    <t>CA_AHU_0017</t>
  </si>
  <si>
    <t>CA_FAHU_0001</t>
  </si>
  <si>
    <t>CA_FAHU_0002</t>
  </si>
  <si>
    <t>CA_FAHU_0003</t>
  </si>
  <si>
    <t>CA_AHU_0005</t>
  </si>
  <si>
    <t>CA_RAHU_0001</t>
  </si>
  <si>
    <t>CA_RAHU_0002</t>
  </si>
  <si>
    <t>CA_MAHU_0001</t>
  </si>
  <si>
    <t>CA_VAHU_0001</t>
  </si>
  <si>
    <t>CA_CAHU_0001</t>
  </si>
  <si>
    <t>FCU_001__070</t>
  </si>
  <si>
    <t>Variable Speed</t>
  </si>
  <si>
    <t>Constant Volume</t>
  </si>
  <si>
    <t>NA</t>
  </si>
  <si>
    <t>Not Required</t>
  </si>
  <si>
    <t>Supply air temperature reset of 5°F under minimum cooling load conditions</t>
  </si>
  <si>
    <t>2 water-cooled centrifugal chillers</t>
  </si>
  <si>
    <t>IPLV</t>
  </si>
  <si>
    <t>6.7 C at outdoor temps 26.7 C and above, 12 C at outdoor temps 15.6 C and below, and ramped linearly between 6.7 C and 12 C at outdoor temps between 26.7 C and 15.6 C per G3.2.3.9</t>
  </si>
  <si>
    <t>Primary/Secondary</t>
  </si>
  <si>
    <t>Constant Speed - each primary pump interlocked with associated chiller</t>
  </si>
  <si>
    <t>Variable speed</t>
  </si>
  <si>
    <t>Two-speed axial fans</t>
  </si>
  <si>
    <t>10°F approaching design wet-bulb temperature</t>
  </si>
  <si>
    <t>10 F</t>
  </si>
  <si>
    <t>Maintain a 21 C leaving water temperature where weather permits, floating up to leaving water temperature at design conditions per G3.1.3.11</t>
  </si>
  <si>
    <t>Riding the pump curve</t>
  </si>
  <si>
    <t>Toilets</t>
  </si>
  <si>
    <t>DHW Schedule</t>
  </si>
  <si>
    <t>Toilets Electric Hot Water System</t>
  </si>
  <si>
    <t>ABLUTION Electric Hot Water System</t>
  </si>
  <si>
    <t>Pantry Electric Hot Water System</t>
  </si>
  <si>
    <t>Kitchen Electric Hot Water System</t>
  </si>
  <si>
    <t>Constant speed</t>
  </si>
  <si>
    <t>Ablution</t>
  </si>
  <si>
    <t>Pantry</t>
  </si>
  <si>
    <t>Kitchen</t>
  </si>
  <si>
    <t>Heat Recovery</t>
  </si>
  <si>
    <t>Saudi Aramco Corporate Academy - Dhahran</t>
  </si>
  <si>
    <t xml:space="preserve">250 mm Insulated Block with Plaster and GRC Panel
</t>
  </si>
  <si>
    <t>Classroom</t>
  </si>
  <si>
    <t>Laboratories</t>
  </si>
  <si>
    <t>Auditorium</t>
  </si>
  <si>
    <t>Circulation</t>
  </si>
  <si>
    <t>Telecom Room</t>
  </si>
  <si>
    <t>U-0.356</t>
  </si>
  <si>
    <t>200 mm Concrete with Insulation</t>
  </si>
  <si>
    <t>SL 843.8 Btu/h</t>
  </si>
  <si>
    <t>SL 378.6 Btu/h</t>
  </si>
  <si>
    <t>0.917 EF</t>
  </si>
  <si>
    <t>SL 518.4 Btu/h</t>
  </si>
  <si>
    <t>7.7 HSPF</t>
  </si>
  <si>
    <t>&gt; 40 kW</t>
  </si>
  <si>
    <t>2 air-cooled screw chiller</t>
  </si>
  <si>
    <t>2.27 @ design conition</t>
  </si>
  <si>
    <t>4.32 @ design condition</t>
  </si>
  <si>
    <t>NA. The total baseline and proposed air flow rates is not differ by more than 35%.</t>
  </si>
  <si>
    <t>The annual generated energy by the photovoltaic system is calculated with the help of PV Watt tool. The simulation output report is attached for the verification.</t>
  </si>
  <si>
    <t>NA. There is no system with natural gas in the project.</t>
  </si>
  <si>
    <t>The three largest contributors to cost savings are service water heating, interior ventilation fans, and exterior lighting. The savings in service water heating are due to the use of low-flow fixtures, which are 53% more efficient. For the HVAC system, the fan power in the proposed design is approximately 0.78 W/cfm, compared to 1.12 W/cfm in the baseline design, making the proposed fan system 30% more efficient and leading to significant savings. Additionally, the exterior lighting design in the project is more efficient than the baseline, with the proposed lighting wattage at 26 kW compared to 62.2 kW in the baseline. The combination of efficient fixtures, fan power, and lighting contributes to greater energy savings in these areas compared to other end uses.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</si>
</sst>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5">
    <numFmt numFmtId="164" formatCode="&quot;$&quot;#,##0_);[Red]\(&quot;$&quot;#,##0\)"/>
    <numFmt numFmtId="165" formatCode="_(&quot;$&quot;* #,##0_);_(&quot;$&quot;* \(#,##0\);_(&quot;$&quot;* &quot;-&quot;_);_(@_)"/>
    <numFmt numFmtId="166" formatCode="_(&quot;$&quot;* #,##0.00_);_(&quot;$&quot;* \(#,##0.00\);_(&quot;$&quot;* &quot;-&quot;??_);_(@_)"/>
    <numFmt numFmtId="167" formatCode="_(* #,##0.00_);_(* \(#,##0.00\);_(* &quot;-&quot;??_);_(@_)"/>
    <numFmt numFmtId="168" formatCode="0.0%"/>
    <numFmt numFmtId="169" formatCode="0.0"/>
    <numFmt numFmtId="170" formatCode="#,##0.000"/>
    <numFmt numFmtId="171" formatCode="_(* #,##0.0_);_(* \(#,##0.0\);_(* &quot;-&quot;??_);_(@_)"/>
    <numFmt numFmtId="172" formatCode="#,##0.0"/>
    <numFmt numFmtId="173" formatCode="#,##0.0_);\(#,##0.0\)"/>
    <numFmt numFmtId="174" formatCode="_(&quot;$&quot;* #,##0_);_(&quot;$&quot;* \(#,##0\);_(&quot;$&quot;* &quot;-&quot;??_);_(@_)"/>
    <numFmt numFmtId="175" formatCode="_(* #,##0_);_(* \(#,##0\);_(* &quot;-&quot;??_);_(@_)"/>
    <numFmt numFmtId="176" formatCode="_(&quot;$&quot;* #,##0.0000_);_(&quot;$&quot;* \(#,##0.0000\);_(&quot;$&quot;* &quot;-&quot;??_);_(@_)"/>
    <numFmt numFmtId="177" formatCode="0.0000000"/>
    <numFmt numFmtId="178" formatCode="_(* #,##0.000_);_(* \(#,##0.000\);_(* &quot;-&quot;??_);_(@_)"/>
    <numFmt numFmtId="179" formatCode="&quot;$&quot;#,##0.000"/>
    <numFmt numFmtId="180" formatCode="_(* #,##0.0_);_(* \(#,##0.0\);_(* &quot;&quot;??_);_(@_)"/>
    <numFmt numFmtId="181" formatCode="_(* #,##0.0_);_(* \(#,##0.0\);_(* &quot;-&quot;?_);_(@_)"/>
    <numFmt numFmtId="182" formatCode="_(* #,##0.000000_);_(* \(#,##0.000000\);_(* &quot;-&quot;??_);_(@_)"/>
    <numFmt numFmtId="183" formatCode="0.00000000"/>
    <numFmt numFmtId="184" formatCode="_(* #,##0_);_(* \(#,##0\);_(* &quot;-&quot;???_);_(@_)"/>
    <numFmt numFmtId="185" formatCode="_(* #,##0.0000_);_(* \(#,##0.0000\);_(* &quot;-&quot;??_);_(@_)"/>
    <numFmt numFmtId="186" formatCode="0.000%"/>
    <numFmt numFmtId="187" formatCode="0.000"/>
    <numFmt numFmtId="188" formatCode="0.0000"/>
    <numFmt numFmtId="189" formatCode="0.00000000000"/>
    <numFmt numFmtId="190" formatCode="_(* #,##0.00000_);_(* \(#,##0.00000\);_(* &quot;-&quot;??_);_(@_)"/>
    <numFmt numFmtId="191" formatCode="0.00000"/>
    <numFmt numFmtId="192" formatCode="_(* #,##0_);_(* \(#,##0\);_(* &quot;&quot;??_);_(@_)"/>
    <numFmt numFmtId="193" formatCode="_(&quot;$&quot;* #,##0.000_);_(&quot;$&quot;* \(#,##0.000\);_(&quot;$&quot;* &quot;-&quot;??_);_(@_)"/>
    <numFmt numFmtId="194" formatCode="_(&quot;$&quot;* #,##0.000000_);_(&quot;$&quot;* \(#,##0.000000\);_(&quot;$&quot;* &quot;-&quot;??_);_(@_)"/>
    <numFmt numFmtId="195" formatCode="[$-409]mmmm\ d\,\ yyyy;@"/>
    <numFmt numFmtId="196" formatCode="0.000000"/>
    <numFmt numFmtId="197" formatCode="#,##0.0000000"/>
    <numFmt numFmtId="198" formatCode="0;\-0;;@"/>
  </numFmts>
  <fonts count="126"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0"/>
      <name val="Arial"/>
      <family val="2"/>
    </font>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b/>
      <sz val="10"/>
      <color theme="0"/>
      <name val="Calibri"/>
      <family val="2"/>
      <scheme val="minor"/>
    </font>
    <font>
      <sz val="11"/>
      <name val="Calibri"/>
      <family val="2"/>
      <scheme val="minor"/>
    </font>
    <font>
      <sz val="9"/>
      <color theme="1"/>
      <name val="Calibri"/>
      <family val="2"/>
      <scheme val="minor"/>
    </font>
    <font>
      <sz val="8"/>
      <color rgb="FF000000"/>
      <name val="Tahoma"/>
      <family val="2"/>
    </font>
    <font>
      <sz val="8"/>
      <name val="Arial"/>
      <family val="2"/>
    </font>
    <font>
      <b/>
      <sz val="12"/>
      <name val="Arial"/>
      <family val="2"/>
    </font>
    <font>
      <sz val="12"/>
      <name val="Arial"/>
      <family val="2"/>
    </font>
    <font>
      <b/>
      <sz val="10"/>
      <name val="Arial"/>
      <family val="2"/>
    </font>
    <font>
      <sz val="9"/>
      <name val="Arial"/>
      <family val="2"/>
    </font>
    <font>
      <b/>
      <i/>
      <sz val="10"/>
      <name val="Arial"/>
      <family val="2"/>
    </font>
    <font>
      <i/>
      <sz val="10"/>
      <name val="Arial"/>
      <family val="2"/>
    </font>
    <font>
      <sz val="10"/>
      <color theme="1"/>
      <name val="Arial"/>
      <family val="2"/>
    </font>
    <font>
      <b/>
      <sz val="12"/>
      <color theme="1"/>
      <name val="Arial"/>
      <family val="2"/>
    </font>
    <font>
      <sz val="10"/>
      <color indexed="8"/>
      <name val="Arial"/>
      <family val="2"/>
    </font>
    <font>
      <b/>
      <i/>
      <sz val="10"/>
      <color indexed="8"/>
      <name val="Arial"/>
      <family val="2"/>
    </font>
    <font>
      <b/>
      <i/>
      <sz val="10"/>
      <color theme="1"/>
      <name val="Arial"/>
      <family val="2"/>
    </font>
    <font>
      <b/>
      <sz val="10"/>
      <color theme="0"/>
      <name val="Arial"/>
      <family val="2"/>
    </font>
    <font>
      <b/>
      <sz val="10"/>
      <color theme="1"/>
      <name val="Arial"/>
      <family val="2"/>
    </font>
    <font>
      <b/>
      <sz val="16"/>
      <color theme="0"/>
      <name val="Arial Black"/>
      <family val="2"/>
    </font>
    <font>
      <sz val="10"/>
      <color indexed="81"/>
      <name val="Arial"/>
      <family val="2"/>
    </font>
    <font>
      <sz val="9"/>
      <color rgb="FF000000"/>
      <name val="Arial"/>
      <family val="2"/>
    </font>
    <font>
      <sz val="9"/>
      <name val="Calibri"/>
      <family val="2"/>
      <scheme val="minor"/>
    </font>
    <font>
      <sz val="9"/>
      <color theme="1"/>
      <name val="Arial"/>
      <family val="2"/>
    </font>
    <font>
      <sz val="10"/>
      <color theme="5"/>
      <name val="Arial"/>
      <family val="2"/>
    </font>
    <font>
      <b/>
      <i/>
      <sz val="10"/>
      <color theme="5"/>
      <name val="Arial"/>
      <family val="2"/>
    </font>
    <font>
      <sz val="16"/>
      <color theme="0"/>
      <name val="Arial Black"/>
      <family val="2"/>
    </font>
    <font>
      <vertAlign val="subscript"/>
      <sz val="10"/>
      <name val="Arial"/>
      <family val="2"/>
    </font>
    <font>
      <sz val="10"/>
      <color theme="0"/>
      <name val="Arial"/>
      <family val="2"/>
    </font>
    <font>
      <sz val="11"/>
      <name val="Calibri"/>
      <family val="2"/>
    </font>
    <font>
      <b/>
      <sz val="10"/>
      <color indexed="9"/>
      <name val="Calibri"/>
      <family val="2"/>
    </font>
    <font>
      <b/>
      <sz val="12"/>
      <color theme="0"/>
      <name val="Calibri"/>
      <family val="2"/>
      <scheme val="minor"/>
    </font>
    <font>
      <b/>
      <sz val="10"/>
      <color indexed="9"/>
      <name val="Arial"/>
      <family val="2"/>
    </font>
    <font>
      <b/>
      <i/>
      <sz val="12"/>
      <color rgb="FFFF0000"/>
      <name val="Calibri"/>
      <family val="2"/>
    </font>
    <font>
      <sz val="10"/>
      <color theme="5"/>
      <name val="Calibri"/>
      <family val="2"/>
      <scheme val="minor"/>
    </font>
    <font>
      <sz val="10"/>
      <color indexed="8"/>
      <name val="Calibri"/>
      <family val="2"/>
    </font>
    <font>
      <b/>
      <vertAlign val="superscript"/>
      <sz val="10"/>
      <color indexed="9"/>
      <name val="Calibri"/>
      <family val="2"/>
    </font>
    <font>
      <sz val="8"/>
      <color theme="1"/>
      <name val="Calibri"/>
      <family val="2"/>
      <scheme val="minor"/>
    </font>
    <font>
      <sz val="8"/>
      <color indexed="8"/>
      <name val="Calibri"/>
      <family val="2"/>
    </font>
    <font>
      <b/>
      <sz val="11"/>
      <color theme="0"/>
      <name val="Calibri"/>
      <family val="2"/>
      <scheme val="minor"/>
    </font>
    <font>
      <b/>
      <sz val="16"/>
      <name val="Calibri"/>
      <family val="2"/>
      <scheme val="minor"/>
    </font>
    <font>
      <b/>
      <i/>
      <sz val="13"/>
      <color theme="0"/>
      <name val="Calibri"/>
      <family val="2"/>
      <scheme val="minor"/>
    </font>
    <font>
      <sz val="10"/>
      <color theme="9" tint="-0.249977111117893"/>
      <name val="Arial"/>
      <family val="2"/>
    </font>
    <font>
      <b/>
      <sz val="11"/>
      <color theme="3" tint="-0.499984740745262"/>
      <name val="Calibri"/>
      <family val="2"/>
      <scheme val="minor"/>
    </font>
    <font>
      <b/>
      <sz val="16"/>
      <color theme="1"/>
      <name val="Calibri"/>
      <family val="2"/>
      <scheme val="minor"/>
    </font>
    <font>
      <sz val="10"/>
      <color indexed="81"/>
      <name val="Tahoma"/>
      <family val="2"/>
    </font>
    <font>
      <sz val="16"/>
      <name val="Arial Black"/>
      <family val="2"/>
    </font>
    <font>
      <sz val="9"/>
      <color theme="0" tint="-0.499984740745262"/>
      <name val="Arial"/>
      <family val="2"/>
    </font>
    <font>
      <sz val="10"/>
      <color rgb="FF000000"/>
      <name val="Arial"/>
      <family val="2"/>
    </font>
    <font>
      <sz val="9"/>
      <color indexed="8"/>
      <name val="Arial"/>
      <family val="2"/>
    </font>
    <font>
      <sz val="10"/>
      <name val="Arial"/>
      <family val="2"/>
    </font>
    <font>
      <sz val="10"/>
      <name val="Calibri"/>
      <family val="2"/>
    </font>
    <font>
      <b/>
      <i/>
      <sz val="9"/>
      <color theme="1"/>
      <name val="Arial"/>
      <family val="2"/>
    </font>
    <font>
      <sz val="9"/>
      <color theme="1" tint="0.249977111117893"/>
      <name val="Arial"/>
      <family val="2"/>
    </font>
    <font>
      <b/>
      <sz val="9"/>
      <color theme="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u/>
      <sz val="11"/>
      <color theme="10"/>
      <name val="Calibri"/>
      <family val="2"/>
      <scheme val="minor"/>
    </font>
    <font>
      <u/>
      <sz val="11"/>
      <color theme="11"/>
      <name val="Calibri"/>
      <family val="2"/>
      <scheme val="minor"/>
    </font>
    <font>
      <b/>
      <sz val="12"/>
      <name val="Calibri"/>
      <family val="2"/>
    </font>
    <font>
      <sz val="10"/>
      <name val="Arial"/>
      <family val="2"/>
    </font>
    <font>
      <b/>
      <vertAlign val="subscript"/>
      <sz val="10"/>
      <name val="Arial"/>
      <family val="2"/>
    </font>
    <font>
      <sz val="10"/>
      <color rgb="FFFF0000"/>
      <name val="Arial"/>
      <family val="2"/>
    </font>
    <font>
      <sz val="9"/>
      <color theme="0"/>
      <name val="Arial"/>
      <family val="2"/>
    </font>
    <font>
      <b/>
      <sz val="16"/>
      <name val="Arial"/>
      <family val="2"/>
    </font>
    <font>
      <b/>
      <sz val="10"/>
      <color rgb="FFFF0000"/>
      <name val="Arial"/>
      <family val="2"/>
    </font>
    <font>
      <b/>
      <sz val="9"/>
      <name val="Arial"/>
      <family val="2"/>
    </font>
    <font>
      <sz val="10"/>
      <color rgb="FFFADA63"/>
      <name val="Arial"/>
      <family val="2"/>
    </font>
    <font>
      <sz val="8"/>
      <color theme="0" tint="-0.499984740745262"/>
      <name val="Arial"/>
      <family val="2"/>
    </font>
    <font>
      <b/>
      <i/>
      <sz val="9"/>
      <name val="Arial"/>
      <family val="2"/>
    </font>
    <font>
      <sz val="11"/>
      <color rgb="FF000000"/>
      <name val="Calibri"/>
      <family val="2"/>
    </font>
    <font>
      <sz val="9"/>
      <color rgb="FFFF0000"/>
      <name val="Arial"/>
      <family val="2"/>
    </font>
    <font>
      <u/>
      <sz val="10"/>
      <color indexed="12"/>
      <name val="Arial"/>
      <family val="2"/>
    </font>
    <font>
      <u/>
      <sz val="9"/>
      <color theme="10"/>
      <name val="Arial"/>
      <family val="2"/>
    </font>
    <font>
      <sz val="11"/>
      <color theme="1"/>
      <name val="Calibri"/>
      <family val="2"/>
    </font>
    <font>
      <sz val="10"/>
      <name val="Eras Light ITC"/>
      <family val="2"/>
    </font>
    <font>
      <sz val="9"/>
      <color theme="0" tint="-0.14999847407452621"/>
      <name val="Arial"/>
      <family val="2"/>
    </font>
    <font>
      <b/>
      <i/>
      <sz val="10"/>
      <color theme="0"/>
      <name val="Arial"/>
      <family val="2"/>
    </font>
    <font>
      <sz val="11"/>
      <color theme="1"/>
      <name val="Arial"/>
      <family val="2"/>
    </font>
    <font>
      <i/>
      <sz val="10"/>
      <color theme="0"/>
      <name val="Arial"/>
      <family val="2"/>
    </font>
    <font>
      <b/>
      <i/>
      <sz val="11"/>
      <color theme="1"/>
      <name val="Calibri"/>
      <family val="2"/>
      <scheme val="minor"/>
    </font>
    <font>
      <i/>
      <sz val="11"/>
      <color theme="1"/>
      <name val="Calibri"/>
      <family val="2"/>
      <scheme val="minor"/>
    </font>
    <font>
      <i/>
      <sz val="11"/>
      <color theme="1"/>
      <name val="Arial"/>
      <family val="2"/>
    </font>
    <font>
      <i/>
      <sz val="10"/>
      <color theme="1"/>
      <name val="Arial"/>
      <family val="2"/>
    </font>
    <font>
      <b/>
      <i/>
      <sz val="9"/>
      <color theme="1"/>
      <name val="Calibri"/>
      <family val="2"/>
      <scheme val="minor"/>
    </font>
    <font>
      <sz val="11"/>
      <color theme="0" tint="-0.499984740745262"/>
      <name val="Calibri"/>
      <family val="2"/>
      <scheme val="minor"/>
    </font>
    <font>
      <b/>
      <sz val="8"/>
      <name val="Arial"/>
      <family val="2"/>
    </font>
    <font>
      <sz val="8"/>
      <color theme="1" tint="0.14999847407452621"/>
      <name val="Arial"/>
      <family val="2"/>
    </font>
    <font>
      <sz val="12"/>
      <color theme="1"/>
      <name val="Arial"/>
      <family val="2"/>
    </font>
    <font>
      <sz val="8"/>
      <color theme="1"/>
      <name val="Arial"/>
      <family val="2"/>
    </font>
    <font>
      <sz val="14"/>
      <name val="Arial"/>
      <family val="2"/>
    </font>
    <font>
      <sz val="11"/>
      <color indexed="8"/>
      <name val="Calibri"/>
      <family val="2"/>
    </font>
    <font>
      <sz val="9"/>
      <color indexed="8"/>
      <name val="Calibri"/>
      <family val="2"/>
      <scheme val="minor"/>
    </font>
    <font>
      <b/>
      <sz val="9"/>
      <color rgb="FFFF0000"/>
      <name val="Calibri"/>
      <family val="2"/>
      <scheme val="minor"/>
    </font>
    <font>
      <b/>
      <sz val="9"/>
      <color indexed="8"/>
      <name val="Calibri"/>
      <family val="2"/>
      <scheme val="minor"/>
    </font>
    <font>
      <i/>
      <sz val="9"/>
      <color theme="1"/>
      <name val="Calibri"/>
      <family val="2"/>
      <scheme val="minor"/>
    </font>
    <font>
      <b/>
      <sz val="10"/>
      <color indexed="8"/>
      <name val="Arial"/>
      <family val="2"/>
    </font>
    <font>
      <b/>
      <sz val="9"/>
      <name val="Calibri"/>
      <family val="2"/>
      <scheme val="minor"/>
    </font>
  </fonts>
  <fills count="48">
    <fill>
      <patternFill patternType="none"/>
    </fill>
    <fill>
      <patternFill patternType="gray125"/>
    </fill>
    <fill>
      <patternFill patternType="solid">
        <fgColor theme="6" tint="0.79998168889431442"/>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rgb="FFFADA63"/>
        <bgColor indexed="64"/>
      </patternFill>
    </fill>
    <fill>
      <patternFill patternType="solid">
        <fgColor theme="0" tint="-0.14996795556505021"/>
        <bgColor indexed="64"/>
      </patternFill>
    </fill>
    <fill>
      <patternFill patternType="solid">
        <fgColor indexed="9"/>
        <bgColor indexed="64"/>
      </patternFill>
    </fill>
    <fill>
      <patternFill patternType="solid">
        <fgColor theme="2" tint="-9.9978637043366805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2F2F2"/>
        <bgColor indexed="64"/>
      </patternFill>
    </fill>
    <fill>
      <patternFill patternType="solid">
        <fgColor rgb="FFFFFFFF"/>
        <bgColor indexed="64"/>
      </patternFill>
    </fill>
    <fill>
      <patternFill patternType="solid">
        <fgColor rgb="FFEAEAEA"/>
        <bgColor indexed="64"/>
      </patternFill>
    </fill>
    <fill>
      <patternFill patternType="solid">
        <fgColor theme="9" tint="0.79998168889431442"/>
        <bgColor indexed="64"/>
      </patternFill>
    </fill>
    <fill>
      <patternFill patternType="solid">
        <fgColor theme="0" tint="-0.249977111117893"/>
        <bgColor indexed="64"/>
      </patternFill>
    </fill>
  </fills>
  <borders count="251">
    <border>
      <left/>
      <right/>
      <top/>
      <bottom/>
      <diagonal/>
    </border>
    <border>
      <left style="thin">
        <color theme="0" tint="-0.499984740745262"/>
      </left>
      <right/>
      <top/>
      <bottom/>
      <diagonal/>
    </border>
    <border>
      <left/>
      <right/>
      <top style="thin">
        <color theme="0" tint="-0.499984740745262"/>
      </top>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1" tint="0.499984740745262"/>
      </right>
      <top style="thin">
        <color theme="0" tint="-0.499984740745262"/>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0"/>
      </left>
      <right style="thin">
        <color theme="0"/>
      </right>
      <top style="thin">
        <color theme="0"/>
      </top>
      <bottom style="thin">
        <color theme="0"/>
      </bottom>
      <diagonal/>
    </border>
    <border>
      <left style="thin">
        <color theme="0" tint="-0.499984740745262"/>
      </left>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right style="thin">
        <color theme="0" tint="-0.499984740745262"/>
      </right>
      <top/>
      <bottom/>
      <diagonal/>
    </border>
    <border>
      <left/>
      <right style="thin">
        <color theme="0" tint="-0.499984740745262"/>
      </right>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499984740745262"/>
      </bottom>
      <diagonal/>
    </border>
    <border>
      <left style="thin">
        <color theme="0" tint="-0.24994659260841701"/>
      </left>
      <right/>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right style="thin">
        <color theme="0" tint="-0.24994659260841701"/>
      </right>
      <top style="thin">
        <color theme="0" tint="-0.24994659260841701"/>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499984740745262"/>
      </right>
      <top style="thin">
        <color theme="0" tint="-0.24994659260841701"/>
      </top>
      <bottom/>
      <diagonal/>
    </border>
    <border>
      <left style="thin">
        <color theme="0" tint="-0.499984740745262"/>
      </left>
      <right/>
      <top style="thin">
        <color theme="0" tint="-0.499984740745262"/>
      </top>
      <bottom style="thin">
        <color theme="0" tint="-0.24994659260841701"/>
      </bottom>
      <diagonal/>
    </border>
    <border>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499984740745262"/>
      </bottom>
      <diagonal/>
    </border>
    <border>
      <left/>
      <right style="thin">
        <color theme="0" tint="-0.499984740745262"/>
      </right>
      <top style="thin">
        <color theme="0" tint="-0.24994659260841701"/>
      </top>
      <bottom style="thin">
        <color theme="0" tint="-0.24994659260841701"/>
      </bottom>
      <diagonal/>
    </border>
    <border>
      <left/>
      <right/>
      <top style="thin">
        <color theme="0" tint="-0.499984740745262"/>
      </top>
      <bottom style="thin">
        <color theme="0" tint="-0.24994659260841701"/>
      </bottom>
      <diagonal/>
    </border>
    <border>
      <left style="thin">
        <color theme="0" tint="-0.499984740745262"/>
      </left>
      <right style="thin">
        <color theme="0" tint="-0.24994659260841701"/>
      </right>
      <top/>
      <bottom style="thin">
        <color theme="0" tint="-0.499984740745262"/>
      </bottom>
      <diagonal/>
    </border>
    <border>
      <left style="thin">
        <color theme="0" tint="-0.24994659260841701"/>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style="thin">
        <color theme="0" tint="-0.24994659260841701"/>
      </top>
      <bottom/>
      <diagonal/>
    </border>
    <border>
      <left style="thin">
        <color theme="1" tint="0.499984740745262"/>
      </left>
      <right style="thin">
        <color theme="1" tint="0.499984740745262"/>
      </right>
      <top style="thin">
        <color theme="0" tint="-0.499984740745262"/>
      </top>
      <bottom style="thin">
        <color theme="0" tint="-0.499984740745262"/>
      </bottom>
      <diagonal/>
    </border>
    <border>
      <left style="thin">
        <color theme="1"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style="thin">
        <color theme="0" tint="-0.499984740745262"/>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499984740745262"/>
      </left>
      <right/>
      <top style="thin">
        <color theme="0" tint="-0.24994659260841701"/>
      </top>
      <bottom style="thin">
        <color theme="0" tint="-0.499984740745262"/>
      </bottom>
      <diagonal/>
    </border>
    <border>
      <left/>
      <right/>
      <top style="thin">
        <color theme="0" tint="-0.24994659260841701"/>
      </top>
      <bottom style="thin">
        <color theme="0" tint="-0.499984740745262"/>
      </bottom>
      <diagonal/>
    </border>
    <border>
      <left style="thin">
        <color theme="0" tint="-0.499984740745262"/>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499984740745262"/>
      </right>
      <top/>
      <bottom style="thin">
        <color theme="0" tint="-0.24994659260841701"/>
      </bottom>
      <diagonal/>
    </border>
    <border>
      <left style="thin">
        <color theme="0" tint="-0.499984740745262"/>
      </left>
      <right style="thin">
        <color theme="0" tint="-0.24994659260841701"/>
      </right>
      <top style="thin">
        <color theme="0" tint="-0.499984740745262"/>
      </top>
      <bottom/>
      <diagonal/>
    </border>
    <border>
      <left style="thin">
        <color theme="1" tint="0.499984740745262"/>
      </left>
      <right/>
      <top style="thin">
        <color theme="0" tint="-0.24994659260841701"/>
      </top>
      <bottom style="thin">
        <color theme="0" tint="-0.24994659260841701"/>
      </bottom>
      <diagonal/>
    </border>
    <border>
      <left style="thin">
        <color theme="1" tint="0.499984740745262"/>
      </left>
      <right/>
      <top style="thin">
        <color theme="0" tint="-0.24994659260841701"/>
      </top>
      <bottom style="thin">
        <color theme="1" tint="0.499984740745262"/>
      </bottom>
      <diagonal/>
    </border>
    <border>
      <left/>
      <right style="thin">
        <color theme="1" tint="0.499984740745262"/>
      </right>
      <top/>
      <bottom style="thin">
        <color theme="0" tint="-0.24994659260841701"/>
      </bottom>
      <diagonal/>
    </border>
    <border>
      <left/>
      <right style="thin">
        <color theme="1" tint="0.499984740745262"/>
      </right>
      <top style="thin">
        <color theme="0" tint="-0.24994659260841701"/>
      </top>
      <bottom style="thin">
        <color theme="0" tint="-0.24994659260841701"/>
      </bottom>
      <diagonal/>
    </border>
    <border>
      <left/>
      <right style="thin">
        <color theme="1" tint="0.499984740745262"/>
      </right>
      <top style="thin">
        <color theme="0" tint="-0.24994659260841701"/>
      </top>
      <bottom style="thin">
        <color theme="1" tint="0.499984740745262"/>
      </bottom>
      <diagonal/>
    </border>
    <border>
      <left style="thin">
        <color theme="1" tint="0.499984740745262"/>
      </left>
      <right/>
      <top style="thin">
        <color theme="0" tint="-0.499984740745262"/>
      </top>
      <bottom style="thin">
        <color theme="0" tint="-0.24994659260841701"/>
      </bottom>
      <diagonal/>
    </border>
    <border>
      <left style="thin">
        <color theme="0" tint="-0.24994659260841701"/>
      </left>
      <right style="thin">
        <color theme="0" tint="-0.499984740745262"/>
      </right>
      <top/>
      <bottom/>
      <diagonal/>
    </border>
    <border>
      <left/>
      <right style="thin">
        <color theme="0"/>
      </right>
      <top style="thin">
        <color theme="0"/>
      </top>
      <bottom style="thin">
        <color theme="0"/>
      </bottom>
      <diagonal/>
    </border>
    <border>
      <left/>
      <right style="thin">
        <color theme="0" tint="-0.24994659260841701"/>
      </right>
      <top/>
      <bottom style="thin">
        <color theme="0" tint="-0.24994659260841701"/>
      </bottom>
      <diagonal/>
    </border>
    <border>
      <left/>
      <right/>
      <top style="hair">
        <color indexed="55"/>
      </top>
      <bottom style="hair">
        <color indexed="55"/>
      </bottom>
      <diagonal/>
    </border>
    <border>
      <left style="hair">
        <color indexed="55"/>
      </left>
      <right/>
      <top style="hair">
        <color indexed="55"/>
      </top>
      <bottom style="hair">
        <color indexed="55"/>
      </bottom>
      <diagonal/>
    </border>
    <border>
      <left style="thin">
        <color auto="1"/>
      </left>
      <right/>
      <top style="hair">
        <color indexed="55"/>
      </top>
      <bottom style="hair">
        <color indexed="55"/>
      </bottom>
      <diagonal/>
    </border>
    <border>
      <left style="thin">
        <color auto="1"/>
      </left>
      <right/>
      <top/>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diagonal/>
    </border>
    <border>
      <left style="double">
        <color theme="0" tint="-0.499984740745262"/>
      </left>
      <right style="thin">
        <color theme="0" tint="-0.499984740745262"/>
      </right>
      <top style="thin">
        <color theme="0" tint="-0.499984740745262"/>
      </top>
      <bottom style="thin">
        <color theme="0" tint="-0.499984740745262"/>
      </bottom>
      <diagonal/>
    </border>
    <border>
      <left style="thin">
        <color theme="1" tint="0.499984740745262"/>
      </left>
      <right style="double">
        <color theme="0" tint="-0.499984740745262"/>
      </right>
      <top style="thin">
        <color theme="0" tint="-0.499984740745262"/>
      </top>
      <bottom style="thin">
        <color theme="0" tint="-0.499984740745262"/>
      </bottom>
      <diagonal/>
    </border>
    <border>
      <left style="double">
        <color theme="0" tint="-0.499984740745262"/>
      </left>
      <right/>
      <top style="thin">
        <color theme="0" tint="-0.499984740745262"/>
      </top>
      <bottom style="thin">
        <color theme="0" tint="-0.499984740745262"/>
      </bottom>
      <diagonal/>
    </border>
    <border>
      <left/>
      <right style="double">
        <color theme="0" tint="-0.499984740745262"/>
      </right>
      <top/>
      <bottom style="thin">
        <color theme="0" tint="-0.499984740745262"/>
      </bottom>
      <diagonal/>
    </border>
    <border>
      <left style="double">
        <color theme="0" tint="-0.499984740745262"/>
      </left>
      <right/>
      <top/>
      <bottom style="thin">
        <color theme="0" tint="-0.499984740745262"/>
      </bottom>
      <diagonal/>
    </border>
    <border>
      <left/>
      <right style="double">
        <color theme="0" tint="-0.499984740745262"/>
      </right>
      <top/>
      <bottom/>
      <diagonal/>
    </border>
    <border>
      <left/>
      <right style="double">
        <color theme="0" tint="-0.499984740745262"/>
      </right>
      <top style="thin">
        <color theme="0" tint="-0.499984740745262"/>
      </top>
      <bottom style="thin">
        <color theme="0" tint="-0.499984740745262"/>
      </bottom>
      <diagonal/>
    </border>
    <border>
      <left style="double">
        <color theme="0" tint="-0.499984740745262"/>
      </left>
      <right/>
      <top style="thin">
        <color theme="0" tint="-0.499984740745262"/>
      </top>
      <bottom/>
      <diagonal/>
    </border>
    <border>
      <left/>
      <right style="double">
        <color theme="0" tint="-0.499984740745262"/>
      </right>
      <top style="thin">
        <color theme="0" tint="-0.499984740745262"/>
      </top>
      <bottom/>
      <diagonal/>
    </border>
    <border>
      <left style="double">
        <color theme="0" tint="-0.499984740745262"/>
      </left>
      <right style="thin">
        <color theme="0" tint="-0.499984740745262"/>
      </right>
      <top style="thin">
        <color theme="0" tint="-0.499984740745262"/>
      </top>
      <bottom/>
      <diagonal/>
    </border>
    <border>
      <left style="thin">
        <color auto="1"/>
      </left>
      <right style="thin">
        <color auto="1"/>
      </right>
      <top/>
      <bottom style="thin">
        <color auto="1"/>
      </bottom>
      <diagonal/>
    </border>
    <border>
      <left style="thin">
        <color theme="0" tint="-0.24994659260841701"/>
      </left>
      <right style="thin">
        <color theme="0" tint="-0.24994659260841701"/>
      </right>
      <top style="thin">
        <color theme="0" tint="-0.499984740745262"/>
      </top>
      <bottom/>
      <diagonal/>
    </border>
    <border>
      <left style="thin">
        <color theme="0" tint="-0.24994659260841701"/>
      </left>
      <right style="thin">
        <color theme="0" tint="-0.499984740745262"/>
      </right>
      <top style="thin">
        <color theme="0" tint="-0.499984740745262"/>
      </top>
      <bottom/>
      <diagonal/>
    </border>
    <border>
      <left/>
      <right style="thin">
        <color auto="1"/>
      </right>
      <top style="thin">
        <color auto="1"/>
      </top>
      <bottom/>
      <diagonal/>
    </border>
    <border>
      <left style="thin">
        <color auto="1"/>
      </left>
      <right style="thin">
        <color auto="1"/>
      </right>
      <top/>
      <bottom/>
      <diagonal/>
    </border>
    <border>
      <left style="thin">
        <color auto="1"/>
      </left>
      <right style="thin">
        <color auto="1"/>
      </right>
      <top style="thin">
        <color auto="1"/>
      </top>
      <bottom/>
      <diagonal/>
    </border>
    <border>
      <left/>
      <right/>
      <top style="thin">
        <color theme="0" tint="-0.24994659260841701"/>
      </top>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style="thin">
        <color theme="0" tint="-0.24994659260841701"/>
      </left>
      <right style="thin">
        <color theme="0" tint="-0.24994659260841701"/>
      </right>
      <top/>
      <bottom style="thin">
        <color theme="0"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24994659260841701"/>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499984740745262"/>
      </left>
      <right/>
      <top/>
      <bottom style="thin">
        <color theme="0" tint="-0.24994659260841701"/>
      </bottom>
      <diagonal/>
    </border>
    <border>
      <left style="thin">
        <color theme="0" tint="-0.34998626667073579"/>
      </left>
      <right style="thin">
        <color theme="0" tint="-0.34998626667073579"/>
      </right>
      <top/>
      <bottom style="thin">
        <color theme="0" tint="-0.34998626667073579"/>
      </bottom>
      <diagonal/>
    </border>
    <border>
      <left style="thin">
        <color theme="0" tint="-0.24994659260841701"/>
      </left>
      <right/>
      <top style="thin">
        <color theme="0" tint="-0.499984740745262"/>
      </top>
      <bottom/>
      <diagonal/>
    </border>
    <border>
      <left/>
      <right/>
      <top style="thin">
        <color theme="0" tint="-0.34998626667073579"/>
      </top>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24994659260841701"/>
      </left>
      <right/>
      <top style="thin">
        <color theme="0" tint="-0.499984740745262"/>
      </top>
      <bottom style="thin">
        <color theme="0" tint="-0.499984740745262"/>
      </bottom>
      <diagonal/>
    </border>
    <border>
      <left style="thin">
        <color theme="0" tint="-0.24994659260841701"/>
      </left>
      <right style="thin">
        <color theme="0" tint="-0.24994659260841701"/>
      </right>
      <top/>
      <bottom/>
      <diagonal/>
    </border>
    <border>
      <left style="thin">
        <color theme="0" tint="-0.499984740745262"/>
      </left>
      <right/>
      <top style="thin">
        <color theme="0" tint="-0.24994659260841701"/>
      </top>
      <bottom/>
      <diagonal/>
    </border>
    <border>
      <left style="thin">
        <color theme="0" tint="-0.499984740745262"/>
      </left>
      <right style="thin">
        <color theme="0" tint="-0.499984740745262"/>
      </right>
      <top/>
      <bottom style="hair">
        <color theme="0" tint="-0.34998626667073579"/>
      </bottom>
      <diagonal/>
    </border>
    <border>
      <left style="thin">
        <color theme="0" tint="-0.499984740745262"/>
      </left>
      <right style="hair">
        <color theme="0" tint="-0.34998626667073579"/>
      </right>
      <top/>
      <bottom/>
      <diagonal/>
    </border>
    <border>
      <left style="hair">
        <color theme="0" tint="-0.34998626667073579"/>
      </left>
      <right style="hair">
        <color theme="0" tint="-0.34998626667073579"/>
      </right>
      <top/>
      <bottom/>
      <diagonal/>
    </border>
    <border>
      <left style="hair">
        <color theme="0" tint="-0.34998626667073579"/>
      </left>
      <right style="thin">
        <color theme="0" tint="-0.499984740745262"/>
      </right>
      <top/>
      <bottom/>
      <diagonal/>
    </border>
    <border>
      <left style="thin">
        <color theme="0" tint="-0.499984740745262"/>
      </left>
      <right style="thin">
        <color theme="0" tint="-0.499984740745262"/>
      </right>
      <top style="hair">
        <color theme="0" tint="-0.499984740745262"/>
      </top>
      <bottom style="hair">
        <color theme="0" tint="-0.499984740745262"/>
      </bottom>
      <diagonal/>
    </border>
    <border>
      <left style="thin">
        <color theme="0" tint="-0.499984740745262"/>
      </left>
      <right style="thin">
        <color theme="0" tint="-0.499984740745262"/>
      </right>
      <top style="hair">
        <color theme="0" tint="-0.499984740745262"/>
      </top>
      <bottom style="thin">
        <color theme="0" tint="-0.499984740745262"/>
      </bottom>
      <diagonal/>
    </border>
    <border>
      <left style="thin">
        <color theme="0" tint="-0.499984740745262"/>
      </left>
      <right style="thin">
        <color theme="0" tint="-0.14996795556505021"/>
      </right>
      <top style="thin">
        <color theme="0" tint="-0.499984740745262"/>
      </top>
      <bottom style="thin">
        <color theme="0" tint="-0.499984740745262"/>
      </bottom>
      <diagonal/>
    </border>
    <border>
      <left style="thin">
        <color theme="0" tint="-0.14996795556505021"/>
      </left>
      <right style="thin">
        <color theme="0" tint="-0.14996795556505021"/>
      </right>
      <top style="thin">
        <color theme="0" tint="-0.499984740745262"/>
      </top>
      <bottom style="thin">
        <color theme="0" tint="-0.499984740745262"/>
      </bottom>
      <diagonal/>
    </border>
    <border>
      <left style="thin">
        <color theme="0" tint="-0.499984740745262"/>
      </left>
      <right/>
      <top/>
      <bottom style="hair">
        <color theme="0" tint="-0.34998626667073579"/>
      </bottom>
      <diagonal/>
    </border>
    <border>
      <left style="thin">
        <color theme="0" tint="-0.499984740745262"/>
      </left>
      <right style="thin">
        <color theme="0" tint="-0.499984740745262"/>
      </right>
      <top style="thin">
        <color theme="0" tint="-0.24994659260841701"/>
      </top>
      <bottom style="thin">
        <color theme="1" tint="0.499984740745262"/>
      </bottom>
      <diagonal/>
    </border>
    <border>
      <left style="thin">
        <color theme="0" tint="-0.499984740745262"/>
      </left>
      <right style="thin">
        <color theme="0" tint="-0.34998626667073579"/>
      </right>
      <top style="thin">
        <color theme="0" tint="-0.499984740745262"/>
      </top>
      <bottom style="thin">
        <color theme="0" tint="-0.34998626667073579"/>
      </bottom>
      <diagonal/>
    </border>
    <border>
      <left style="thin">
        <color theme="0" tint="-0.34998626667073579"/>
      </left>
      <right style="thin">
        <color theme="0" tint="-0.34998626667073579"/>
      </right>
      <top style="thin">
        <color theme="0" tint="-0.499984740745262"/>
      </top>
      <bottom style="thin">
        <color theme="0" tint="-0.34998626667073579"/>
      </bottom>
      <diagonal/>
    </border>
    <border>
      <left style="thin">
        <color theme="0" tint="-0.34998626667073579"/>
      </left>
      <right style="thin">
        <color theme="0" tint="-0.499984740745262"/>
      </right>
      <top style="thin">
        <color theme="0" tint="-0.499984740745262"/>
      </top>
      <bottom style="thin">
        <color theme="0" tint="-0.34998626667073579"/>
      </bottom>
      <diagonal/>
    </border>
    <border>
      <left style="thin">
        <color theme="0"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34998626667073579"/>
      </top>
      <bottom style="thin">
        <color theme="0" tint="-0.34998626667073579"/>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34998626667073579"/>
      </left>
      <right style="thin">
        <color theme="0" tint="-0.34998626667073579"/>
      </right>
      <top/>
      <bottom/>
      <diagonal/>
    </border>
    <border>
      <left style="thin">
        <color theme="0" tint="-0.499984740745262"/>
      </left>
      <right/>
      <top style="thin">
        <color theme="0" tint="-0.34998626667073579"/>
      </top>
      <bottom style="thin">
        <color theme="0" tint="-0.499984740745262"/>
      </bottom>
      <diagonal/>
    </border>
    <border>
      <left/>
      <right/>
      <top style="thin">
        <color theme="0" tint="-0.34998626667073579"/>
      </top>
      <bottom style="thin">
        <color theme="0" tint="-0.499984740745262"/>
      </bottom>
      <diagonal/>
    </border>
    <border>
      <left/>
      <right style="thin">
        <color theme="0" tint="-0.499984740745262"/>
      </right>
      <top style="thin">
        <color theme="0" tint="-0.34998626667073579"/>
      </top>
      <bottom style="thin">
        <color theme="0" tint="-0.499984740745262"/>
      </bottom>
      <diagonal/>
    </border>
    <border>
      <left style="thin">
        <color theme="0" tint="-0.24994659260841701"/>
      </left>
      <right style="thin">
        <color theme="0" tint="-0.34998626667073579"/>
      </right>
      <top style="thin">
        <color theme="0" tint="-0.34998626667073579"/>
      </top>
      <bottom style="thin">
        <color theme="0" tint="-0.34998626667073579"/>
      </bottom>
      <diagonal/>
    </border>
    <border>
      <left/>
      <right/>
      <top style="thin">
        <color theme="0" tint="-0.499984740745262"/>
      </top>
      <bottom style="thin">
        <color theme="0" tint="-0.34998626667073579"/>
      </bottom>
      <diagonal/>
    </border>
    <border>
      <left style="thin">
        <color theme="0" tint="-0.34998626667073579"/>
      </left>
      <right/>
      <top style="thin">
        <color theme="0" tint="-0.34998626667073579"/>
      </top>
      <bottom style="thin">
        <color theme="0" tint="-0.499984740745262"/>
      </bottom>
      <diagonal/>
    </border>
    <border>
      <left/>
      <right style="thin">
        <color theme="0" tint="-0.34998626667073579"/>
      </right>
      <top style="thin">
        <color theme="0" tint="-0.34998626667073579"/>
      </top>
      <bottom style="thin">
        <color theme="0" tint="-0.499984740745262"/>
      </bottom>
      <diagonal/>
    </border>
    <border>
      <left style="thin">
        <color theme="0" tint="-0.34998626667073579"/>
      </left>
      <right/>
      <top style="thin">
        <color theme="0" tint="-0.499984740745262"/>
      </top>
      <bottom style="thin">
        <color theme="0" tint="-0.34998626667073579"/>
      </bottom>
      <diagonal/>
    </border>
    <border>
      <left/>
      <right style="thin">
        <color theme="0" tint="-0.499984740745262"/>
      </right>
      <top style="thin">
        <color theme="0" tint="-0.499984740745262"/>
      </top>
      <bottom style="thin">
        <color theme="0" tint="-0.34998626667073579"/>
      </bottom>
      <diagonal/>
    </border>
    <border>
      <left/>
      <right style="thin">
        <color theme="0" tint="-0.34998626667073579"/>
      </right>
      <top style="thin">
        <color theme="0" tint="-0.499984740745262"/>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1" tint="0.34998626667073579"/>
      </left>
      <right/>
      <top style="thin">
        <color theme="1" tint="0.34998626667073579"/>
      </top>
      <bottom style="thin">
        <color theme="0" tint="-0.24994659260841701"/>
      </bottom>
      <diagonal/>
    </border>
    <border>
      <left/>
      <right style="thin">
        <color theme="1" tint="0.34998626667073579"/>
      </right>
      <top style="thin">
        <color theme="1" tint="0.34998626667073579"/>
      </top>
      <bottom style="thin">
        <color theme="0" tint="-0.24994659260841701"/>
      </bottom>
      <diagonal/>
    </border>
    <border>
      <left style="thin">
        <color theme="1" tint="0.34998626667073579"/>
      </left>
      <right/>
      <top style="thin">
        <color theme="0" tint="-0.24994659260841701"/>
      </top>
      <bottom style="thin">
        <color theme="0" tint="-0.24994659260841701"/>
      </bottom>
      <diagonal/>
    </border>
    <border>
      <left/>
      <right style="thin">
        <color theme="1" tint="0.34998626667073579"/>
      </right>
      <top style="thin">
        <color theme="0" tint="-0.24994659260841701"/>
      </top>
      <bottom style="thin">
        <color theme="0" tint="-0.24994659260841701"/>
      </bottom>
      <diagonal/>
    </border>
    <border>
      <left style="thin">
        <color theme="1" tint="0.34998626667073579"/>
      </left>
      <right/>
      <top style="thin">
        <color theme="0" tint="-0.24994659260841701"/>
      </top>
      <bottom style="thin">
        <color theme="1" tint="0.34998626667073579"/>
      </bottom>
      <diagonal/>
    </border>
    <border>
      <left/>
      <right style="thin">
        <color theme="1" tint="0.34998626667073579"/>
      </right>
      <top style="thin">
        <color theme="0" tint="-0.24994659260841701"/>
      </top>
      <bottom style="thin">
        <color theme="1" tint="0.34998626667073579"/>
      </bottom>
      <diagonal/>
    </border>
    <border>
      <left/>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tint="-0.499984740745262"/>
      </left>
      <right/>
      <top style="hair">
        <color theme="0" tint="-0.34998626667073579"/>
      </top>
      <bottom/>
      <diagonal/>
    </border>
    <border>
      <left style="thin">
        <color theme="0" tint="-0.499984740745262"/>
      </left>
      <right style="hair">
        <color theme="0" tint="-0.34998626667073579"/>
      </right>
      <top style="hair">
        <color theme="0" tint="-0.34998626667073579"/>
      </top>
      <bottom/>
      <diagonal/>
    </border>
    <border>
      <left style="hair">
        <color theme="0" tint="-0.34998626667073579"/>
      </left>
      <right style="hair">
        <color theme="0" tint="-0.34998626667073579"/>
      </right>
      <top style="hair">
        <color theme="0" tint="-0.34998626667073579"/>
      </top>
      <bottom/>
      <diagonal/>
    </border>
    <border>
      <left style="hair">
        <color theme="0" tint="-0.34998626667073579"/>
      </left>
      <right style="thin">
        <color theme="0" tint="-0.499984740745262"/>
      </right>
      <top style="hair">
        <color theme="0" tint="-0.34998626667073579"/>
      </top>
      <bottom/>
      <diagonal/>
    </border>
    <border>
      <left/>
      <right/>
      <top style="hair">
        <color theme="0" tint="-0.34998626667073579"/>
      </top>
      <bottom/>
      <diagonal/>
    </border>
    <border>
      <left style="thin">
        <color theme="0" tint="-0.499984740745262"/>
      </left>
      <right style="thin">
        <color theme="0" tint="-0.24994659260841701"/>
      </right>
      <top style="hair">
        <color theme="0" tint="-0.34998626667073579"/>
      </top>
      <bottom/>
      <diagonal/>
    </border>
    <border>
      <left style="thin">
        <color theme="0" tint="-0.24994659260841701"/>
      </left>
      <right style="thin">
        <color theme="0" tint="-0.499984740745262"/>
      </right>
      <top style="hair">
        <color theme="0" tint="-0.34998626667073579"/>
      </top>
      <bottom/>
      <diagonal/>
    </border>
    <border>
      <left style="thin">
        <color theme="0" tint="-0.499984740745262"/>
      </left>
      <right style="hair">
        <color theme="0" tint="-0.34998626667073579"/>
      </right>
      <top style="thin">
        <color theme="0" tint="-0.499984740745262"/>
      </top>
      <bottom style="thin">
        <color theme="0" tint="-0.499984740745262"/>
      </bottom>
      <diagonal/>
    </border>
    <border>
      <left style="hair">
        <color theme="0" tint="-0.34998626667073579"/>
      </left>
      <right style="hair">
        <color theme="0" tint="-0.34998626667073579"/>
      </right>
      <top style="thin">
        <color theme="0" tint="-0.499984740745262"/>
      </top>
      <bottom style="thin">
        <color theme="0" tint="-0.499984740745262"/>
      </bottom>
      <diagonal/>
    </border>
    <border>
      <left style="hair">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auto="1"/>
      </right>
      <top style="thin">
        <color theme="0" tint="-0.499984740745262"/>
      </top>
      <bottom style="thin">
        <color theme="0" tint="-0.499984740745262"/>
      </bottom>
      <diagonal/>
    </border>
    <border>
      <left style="thin">
        <color auto="1"/>
      </left>
      <right style="thin">
        <color auto="1"/>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14996795556505021"/>
      </right>
      <top style="thin">
        <color theme="0" tint="-0.24994659260841701"/>
      </top>
      <bottom style="thin">
        <color theme="0" tint="-0.14996795556505021"/>
      </bottom>
      <diagonal/>
    </border>
    <border>
      <left style="thin">
        <color theme="0" tint="-0.14996795556505021"/>
      </left>
      <right style="thin">
        <color theme="0" tint="-0.14996795556505021"/>
      </right>
      <top style="thin">
        <color theme="0" tint="-0.2499465926084170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theme="0" tint="-0.14996795556505021"/>
      </right>
      <top style="thin">
        <color theme="0" tint="-0.499984740745262"/>
      </top>
      <bottom style="thin">
        <color theme="0" tint="-0.14996795556505021"/>
      </bottom>
      <diagonal/>
    </border>
    <border>
      <left style="thin">
        <color theme="0" tint="-0.14996795556505021"/>
      </left>
      <right style="thin">
        <color theme="0" tint="-0.499984740745262"/>
      </right>
      <top style="thin">
        <color theme="0" tint="-0.499984740745262"/>
      </top>
      <bottom style="thin">
        <color theme="0" tint="-0.14996795556505021"/>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style="thin">
        <color theme="0" tint="-0.34998626667073579"/>
      </right>
      <top style="thin">
        <color theme="0" tint="-0.499984740745262"/>
      </top>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34998626667073579"/>
      </right>
      <top/>
      <bottom style="thin">
        <color theme="0" tint="-0.34998626667073579"/>
      </bottom>
      <diagonal/>
    </border>
    <border>
      <left style="thin">
        <color theme="0" tint="-0.34998626667073579"/>
      </left>
      <right style="thin">
        <color theme="0" tint="-0.499984740745262"/>
      </right>
      <top/>
      <bottom style="thin">
        <color theme="0" tint="-0.34998626667073579"/>
      </bottom>
      <diagonal/>
    </border>
    <border>
      <left style="thin">
        <color theme="0" tint="-0.499984740745262"/>
      </left>
      <right style="thin">
        <color theme="0" tint="-0.34998626667073579"/>
      </right>
      <top style="thin">
        <color theme="0" tint="-0.34998626667073579"/>
      </top>
      <bottom/>
      <diagonal/>
    </border>
    <border>
      <left style="thin">
        <color theme="0" tint="-0.34998626667073579"/>
      </left>
      <right style="thin">
        <color theme="0" tint="-0.499984740745262"/>
      </right>
      <top style="thin">
        <color theme="0" tint="-0.34998626667073579"/>
      </top>
      <bottom/>
      <diagonal/>
    </border>
    <border>
      <left style="thin">
        <color theme="0" tint="-0.34998626667073579"/>
      </left>
      <right style="thin">
        <color theme="0" tint="-0.34998626667073579"/>
      </right>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24994659260841701"/>
      </bottom>
      <diagonal/>
    </border>
    <border>
      <left style="thin">
        <color theme="0" tint="-0.34998626667073579"/>
      </left>
      <right style="thin">
        <color theme="0" tint="-0.34998626667073579"/>
      </right>
      <top style="thin">
        <color theme="0" tint="-0.499984740745262"/>
      </top>
      <bottom style="thin">
        <color theme="0" tint="-0.24994659260841701"/>
      </bottom>
      <diagonal/>
    </border>
    <border>
      <left style="thin">
        <color theme="0" tint="-0.34998626667073579"/>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34998626667073579"/>
      </right>
      <top style="thin">
        <color theme="0" tint="-0.24994659260841701"/>
      </top>
      <bottom style="thin">
        <color theme="0" tint="-0.499984740745262"/>
      </bottom>
      <diagonal/>
    </border>
    <border>
      <left style="thin">
        <color theme="0" tint="-0.34998626667073579"/>
      </left>
      <right style="thin">
        <color theme="0" tint="-0.34998626667073579"/>
      </right>
      <top style="thin">
        <color theme="0" tint="-0.24994659260841701"/>
      </top>
      <bottom style="thin">
        <color theme="0" tint="-0.499984740745262"/>
      </bottom>
      <diagonal/>
    </border>
    <border>
      <left style="thin">
        <color theme="0" tint="-0.34998626667073579"/>
      </left>
      <right style="thin">
        <color theme="0" tint="-0.499984740745262"/>
      </right>
      <top style="thin">
        <color theme="0" tint="-0.24994659260841701"/>
      </top>
      <bottom style="thin">
        <color theme="0" tint="-0.499984740745262"/>
      </bottom>
      <diagonal/>
    </border>
    <border>
      <left style="thin">
        <color theme="0" tint="-0.499984740745262"/>
      </left>
      <right style="thin">
        <color theme="0" tint="-0.34998626667073579"/>
      </right>
      <top/>
      <bottom/>
      <diagonal/>
    </border>
    <border>
      <left style="thin">
        <color theme="0" tint="-0.34998626667073579"/>
      </left>
      <right style="thin">
        <color theme="0" tint="-0.499984740745262"/>
      </right>
      <top/>
      <bottom/>
      <diagonal/>
    </border>
    <border>
      <left/>
      <right style="thin">
        <color theme="0" tint="-0.499984740745262"/>
      </right>
      <top/>
      <bottom style="thin">
        <color theme="0" tint="-0.34998626667073579"/>
      </bottom>
      <diagonal/>
    </border>
    <border>
      <left/>
      <right style="thin">
        <color theme="0" tint="-0.499984740745262"/>
      </right>
      <top/>
      <bottom style="thin">
        <color theme="0" tint="-0.24994659260841701"/>
      </bottom>
      <diagonal/>
    </border>
    <border>
      <left style="thin">
        <color theme="0" tint="-0.499984740745262"/>
      </left>
      <right style="thin">
        <color theme="0" tint="-0.34998626667073579"/>
      </right>
      <top style="thin">
        <color theme="0" tint="-0.24994659260841701"/>
      </top>
      <bottom style="thin">
        <color theme="0" tint="-0.24994659260841701"/>
      </bottom>
      <diagonal/>
    </border>
    <border>
      <left style="thin">
        <color theme="0" tint="-0.34998626667073579"/>
      </left>
      <right style="thin">
        <color theme="0" tint="-0.34998626667073579"/>
      </right>
      <top style="thin">
        <color theme="0" tint="-0.24994659260841701"/>
      </top>
      <bottom style="thin">
        <color theme="0" tint="-0.24994659260841701"/>
      </bottom>
      <diagonal/>
    </border>
    <border>
      <left style="thin">
        <color theme="0" tint="-0.34998626667073579"/>
      </left>
      <right/>
      <top style="thin">
        <color theme="0" tint="-0.499984740745262"/>
      </top>
      <bottom style="thin">
        <color theme="0" tint="-0.24994659260841701"/>
      </bottom>
      <diagonal/>
    </border>
    <border>
      <left style="thin">
        <color theme="0" tint="-0.34998626667073579"/>
      </left>
      <right/>
      <top style="thin">
        <color theme="0" tint="-0.24994659260841701"/>
      </top>
      <bottom style="thin">
        <color theme="0" tint="-0.24994659260841701"/>
      </bottom>
      <diagonal/>
    </border>
    <border>
      <left style="thin">
        <color theme="0" tint="-0.34998626667073579"/>
      </left>
      <right/>
      <top style="thin">
        <color theme="0" tint="-0.24994659260841701"/>
      </top>
      <bottom style="thin">
        <color theme="0" tint="-0.499984740745262"/>
      </bottom>
      <diagonal/>
    </border>
    <border>
      <left style="thin">
        <color rgb="FF808080"/>
      </left>
      <right style="thin">
        <color rgb="FF808080"/>
      </right>
      <top style="thin">
        <color rgb="FF808080"/>
      </top>
      <bottom style="thin">
        <color rgb="FF808080"/>
      </bottom>
      <diagonal/>
    </border>
    <border>
      <left style="thin">
        <color rgb="FF808080"/>
      </left>
      <right/>
      <top style="thin">
        <color rgb="FF808080"/>
      </top>
      <bottom/>
      <diagonal/>
    </border>
    <border>
      <left/>
      <right/>
      <top style="thin">
        <color rgb="FF808080"/>
      </top>
      <bottom/>
      <diagonal/>
    </border>
    <border>
      <left/>
      <right style="thin">
        <color rgb="FF808080"/>
      </right>
      <top style="thin">
        <color rgb="FF808080"/>
      </top>
      <bottom/>
      <diagonal/>
    </border>
    <border>
      <left style="thin">
        <color rgb="FF808080"/>
      </left>
      <right/>
      <top/>
      <bottom style="thin">
        <color rgb="FF808080"/>
      </bottom>
      <diagonal/>
    </border>
    <border>
      <left/>
      <right/>
      <top/>
      <bottom style="thin">
        <color rgb="FF808080"/>
      </bottom>
      <diagonal/>
    </border>
    <border>
      <left/>
      <right style="thin">
        <color rgb="FF808080"/>
      </right>
      <top/>
      <bottom style="thin">
        <color rgb="FF808080"/>
      </bottom>
      <diagonal/>
    </border>
    <border>
      <left style="thin">
        <color rgb="FF808080"/>
      </left>
      <right style="thin">
        <color rgb="FF808080"/>
      </right>
      <top style="thin">
        <color rgb="FF808080"/>
      </top>
      <bottom/>
      <diagonal/>
    </border>
    <border>
      <left style="thin">
        <color rgb="FF808080"/>
      </left>
      <right style="thin">
        <color rgb="FF808080"/>
      </right>
      <top/>
      <bottom style="thin">
        <color rgb="FF808080"/>
      </bottom>
      <diagonal/>
    </border>
    <border>
      <left/>
      <right style="thin">
        <color rgb="FF808080"/>
      </right>
      <top style="thin">
        <color rgb="FF808080"/>
      </top>
      <bottom style="thin">
        <color rgb="FF808080"/>
      </bottom>
      <diagonal/>
    </border>
    <border>
      <left/>
      <right style="thin">
        <color theme="0" tint="-0.24994659260841701"/>
      </right>
      <top style="thin">
        <color theme="0" tint="-0.499984740745262"/>
      </top>
      <bottom/>
      <diagonal/>
    </border>
    <border>
      <left/>
      <right style="thin">
        <color theme="0" tint="-0.24994659260841701"/>
      </right>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left>
      <right/>
      <top style="thin">
        <color theme="0"/>
      </top>
      <bottom style="thin">
        <color theme="0"/>
      </bottom>
      <diagonal/>
    </border>
    <border>
      <left style="thin">
        <color theme="0"/>
      </left>
      <right style="thin">
        <color theme="0"/>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diagonal/>
    </border>
    <border>
      <left style="thin">
        <color auto="1"/>
      </left>
      <right style="thin">
        <color auto="1"/>
      </right>
      <top style="medium">
        <color indexed="64"/>
      </top>
      <bottom/>
      <diagonal/>
    </border>
    <border>
      <left style="thin">
        <color indexed="64"/>
      </left>
      <right style="medium">
        <color indexed="64"/>
      </right>
      <top style="medium">
        <color indexed="64"/>
      </top>
      <bottom/>
      <diagonal/>
    </border>
  </borders>
  <cellStyleXfs count="446">
    <xf numFmtId="0" fontId="0" fillId="0" borderId="0"/>
    <xf numFmtId="167" fontId="13"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9" fontId="13" fillId="0" borderId="0" applyFont="0" applyFill="0" applyBorder="0" applyAlignment="0" applyProtection="0"/>
    <xf numFmtId="9" fontId="11" fillId="0" borderId="0" applyFont="0" applyFill="0" applyBorder="0" applyAlignment="0" applyProtection="0"/>
    <xf numFmtId="166" fontId="11" fillId="0" borderId="0" applyFont="0" applyFill="0" applyBorder="0" applyAlignment="0" applyProtection="0"/>
    <xf numFmtId="167" fontId="11" fillId="0" borderId="0" applyFont="0" applyFill="0" applyBorder="0" applyAlignment="0" applyProtection="0"/>
    <xf numFmtId="0" fontId="11" fillId="0" borderId="0"/>
    <xf numFmtId="0" fontId="13" fillId="0" borderId="0"/>
    <xf numFmtId="0" fontId="13" fillId="0" borderId="0"/>
    <xf numFmtId="167" fontId="13" fillId="0" borderId="0" applyFont="0" applyFill="0" applyBorder="0" applyAlignment="0" applyProtection="0"/>
    <xf numFmtId="9" fontId="13" fillId="0" borderId="0" applyFont="0" applyFill="0" applyBorder="0" applyAlignment="0" applyProtection="0"/>
    <xf numFmtId="0" fontId="66" fillId="0" borderId="0"/>
    <xf numFmtId="0" fontId="71" fillId="0" borderId="0" applyNumberFormat="0" applyFill="0" applyBorder="0" applyAlignment="0" applyProtection="0"/>
    <xf numFmtId="0" fontId="72" fillId="0" borderId="109" applyNumberFormat="0" applyFill="0" applyAlignment="0" applyProtection="0"/>
    <xf numFmtId="0" fontId="73" fillId="0" borderId="110" applyNumberFormat="0" applyFill="0" applyAlignment="0" applyProtection="0"/>
    <xf numFmtId="0" fontId="74" fillId="0" borderId="111" applyNumberFormat="0" applyFill="0" applyAlignment="0" applyProtection="0"/>
    <xf numFmtId="0" fontId="74" fillId="0" borderId="0" applyNumberFormat="0" applyFill="0" applyBorder="0" applyAlignment="0" applyProtection="0"/>
    <xf numFmtId="0" fontId="75" fillId="11" borderId="0" applyNumberFormat="0" applyBorder="0" applyAlignment="0" applyProtection="0"/>
    <xf numFmtId="0" fontId="76" fillId="12" borderId="0" applyNumberFormat="0" applyBorder="0" applyAlignment="0" applyProtection="0"/>
    <xf numFmtId="0" fontId="77" fillId="13" borderId="0" applyNumberFormat="0" applyBorder="0" applyAlignment="0" applyProtection="0"/>
    <xf numFmtId="0" fontId="78" fillId="14" borderId="112" applyNumberFormat="0" applyAlignment="0" applyProtection="0"/>
    <xf numFmtId="0" fontId="79" fillId="15" borderId="113" applyNumberFormat="0" applyAlignment="0" applyProtection="0"/>
    <xf numFmtId="0" fontId="80" fillId="15" borderId="112" applyNumberFormat="0" applyAlignment="0" applyProtection="0"/>
    <xf numFmtId="0" fontId="81" fillId="0" borderId="114" applyNumberFormat="0" applyFill="0" applyAlignment="0" applyProtection="0"/>
    <xf numFmtId="0" fontId="55" fillId="16" borderId="115" applyNumberFormat="0" applyAlignment="0" applyProtection="0"/>
    <xf numFmtId="0" fontId="82" fillId="0" borderId="0" applyNumberFormat="0" applyFill="0" applyBorder="0" applyAlignment="0" applyProtection="0"/>
    <xf numFmtId="0" fontId="13" fillId="17" borderId="116" applyNumberFormat="0" applyFont="0" applyAlignment="0" applyProtection="0"/>
    <xf numFmtId="0" fontId="83" fillId="0" borderId="0" applyNumberFormat="0" applyFill="0" applyBorder="0" applyAlignment="0" applyProtection="0"/>
    <xf numFmtId="0" fontId="14" fillId="0" borderId="117" applyNumberFormat="0" applyFill="0" applyAlignment="0" applyProtection="0"/>
    <xf numFmtId="0" fontId="84"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84" fillId="21" borderId="0" applyNumberFormat="0" applyBorder="0" applyAlignment="0" applyProtection="0"/>
    <xf numFmtId="0" fontId="84"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84" fillId="25" borderId="0" applyNumberFormat="0" applyBorder="0" applyAlignment="0" applyProtection="0"/>
    <xf numFmtId="0" fontId="84"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84" fillId="29" borderId="0" applyNumberFormat="0" applyBorder="0" applyAlignment="0" applyProtection="0"/>
    <xf numFmtId="0" fontId="84"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84" fillId="33" borderId="0" applyNumberFormat="0" applyBorder="0" applyAlignment="0" applyProtection="0"/>
    <xf numFmtId="0" fontId="84"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84" fillId="37" borderId="0" applyNumberFormat="0" applyBorder="0" applyAlignment="0" applyProtection="0"/>
    <xf numFmtId="0" fontId="84"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84" fillId="41" borderId="0" applyNumberFormat="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11" fillId="0" borderId="0"/>
    <xf numFmtId="0" fontId="11" fillId="0" borderId="0"/>
    <xf numFmtId="0" fontId="11" fillId="0" borderId="0"/>
    <xf numFmtId="167" fontId="13" fillId="0" borderId="0" applyFont="0" applyFill="0" applyBorder="0" applyAlignment="0" applyProtection="0"/>
    <xf numFmtId="9" fontId="13" fillId="0" borderId="0" applyFont="0" applyFill="0" applyBorder="0" applyAlignment="0" applyProtection="0"/>
    <xf numFmtId="0" fontId="88" fillId="0" borderId="0"/>
    <xf numFmtId="166" fontId="13" fillId="0" borderId="0" applyFont="0" applyFill="0" applyBorder="0" applyAlignment="0" applyProtection="0"/>
    <xf numFmtId="0" fontId="11" fillId="0" borderId="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11" fillId="0" borderId="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1" fillId="0" borderId="0"/>
    <xf numFmtId="0" fontId="13" fillId="0" borderId="0"/>
    <xf numFmtId="0" fontId="11" fillId="0" borderId="0"/>
    <xf numFmtId="195" fontId="11" fillId="0" borderId="0"/>
    <xf numFmtId="195" fontId="11" fillId="0" borderId="0"/>
    <xf numFmtId="0" fontId="100" fillId="0" borderId="0" applyNumberFormat="0" applyFill="0" applyBorder="0" applyAlignment="0" applyProtection="0">
      <alignment vertical="top"/>
      <protection locked="0"/>
    </xf>
    <xf numFmtId="9" fontId="11" fillId="0" borderId="0" applyFont="0" applyFill="0" applyBorder="0" applyAlignment="0" applyProtection="0"/>
    <xf numFmtId="167" fontId="11" fillId="0" borderId="0" applyFont="0" applyFill="0" applyBorder="0" applyAlignment="0" applyProtection="0"/>
    <xf numFmtId="167" fontId="11" fillId="0" borderId="0" applyFont="0" applyFill="0" applyBorder="0" applyAlignment="0" applyProtection="0"/>
    <xf numFmtId="0" fontId="101" fillId="0" borderId="0" applyNumberFormat="0" applyFill="0" applyBorder="0" applyAlignment="0" applyProtection="0">
      <alignment vertical="top"/>
      <protection locked="0"/>
    </xf>
    <xf numFmtId="9" fontId="11" fillId="0" borderId="0" applyFont="0" applyFill="0" applyBorder="0" applyAlignment="0" applyProtection="0"/>
    <xf numFmtId="0" fontId="13" fillId="0" borderId="0"/>
    <xf numFmtId="0" fontId="10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03" fillId="0" borderId="0"/>
    <xf numFmtId="0" fontId="103" fillId="0" borderId="0"/>
    <xf numFmtId="9" fontId="11" fillId="0" borderId="0" applyFont="0" applyFill="0" applyBorder="0" applyAlignment="0" applyProtection="0"/>
    <xf numFmtId="0" fontId="11" fillId="0" borderId="0"/>
    <xf numFmtId="0" fontId="119" fillId="0" borderId="0"/>
  </cellStyleXfs>
  <cellXfs count="3046">
    <xf numFmtId="0" fontId="0" fillId="0" borderId="0" xfId="0"/>
    <xf numFmtId="0" fontId="11" fillId="0" borderId="0" xfId="0" applyFont="1"/>
    <xf numFmtId="0" fontId="18" fillId="6" borderId="0" xfId="7" applyFont="1" applyFill="1" applyAlignment="1">
      <alignment vertical="top" wrapText="1"/>
    </xf>
    <xf numFmtId="0" fontId="12" fillId="6" borderId="0" xfId="7" applyFill="1"/>
    <xf numFmtId="0" fontId="21" fillId="6" borderId="0" xfId="2" applyFont="1" applyFill="1"/>
    <xf numFmtId="0" fontId="21" fillId="6" borderId="0" xfId="2" applyFont="1" applyFill="1" applyAlignment="1">
      <alignment vertical="center"/>
    </xf>
    <xf numFmtId="0" fontId="11" fillId="6" borderId="0" xfId="2" applyFill="1"/>
    <xf numFmtId="0" fontId="21" fillId="5" borderId="12" xfId="2" applyFont="1" applyFill="1" applyBorder="1" applyAlignment="1">
      <alignment vertical="center"/>
    </xf>
    <xf numFmtId="0" fontId="21" fillId="5" borderId="2" xfId="2" applyFont="1" applyFill="1" applyBorder="1" applyAlignment="1">
      <alignment vertical="center"/>
    </xf>
    <xf numFmtId="0" fontId="11" fillId="5" borderId="17" xfId="2" applyFill="1" applyBorder="1"/>
    <xf numFmtId="0" fontId="13" fillId="6" borderId="0" xfId="2" applyFont="1" applyFill="1"/>
    <xf numFmtId="0" fontId="11" fillId="6" borderId="0" xfId="2" applyFill="1" applyAlignment="1">
      <alignment horizontal="left"/>
    </xf>
    <xf numFmtId="0" fontId="21" fillId="5" borderId="1" xfId="2" applyFont="1" applyFill="1" applyBorder="1" applyAlignment="1">
      <alignment vertical="center"/>
    </xf>
    <xf numFmtId="0" fontId="21" fillId="5" borderId="0" xfId="2" applyFont="1" applyFill="1" applyAlignment="1">
      <alignment vertical="center"/>
    </xf>
    <xf numFmtId="0" fontId="11" fillId="5" borderId="18" xfId="2" applyFill="1" applyBorder="1"/>
    <xf numFmtId="0" fontId="11" fillId="5" borderId="0" xfId="2" applyFill="1" applyAlignment="1">
      <alignment vertical="center"/>
    </xf>
    <xf numFmtId="0" fontId="24" fillId="5" borderId="0" xfId="2" applyFont="1" applyFill="1" applyAlignment="1">
      <alignment vertical="center"/>
    </xf>
    <xf numFmtId="0" fontId="13" fillId="5" borderId="1" xfId="2" applyFont="1" applyFill="1" applyBorder="1"/>
    <xf numFmtId="0" fontId="13" fillId="5" borderId="0" xfId="2" applyFont="1" applyFill="1"/>
    <xf numFmtId="0" fontId="13" fillId="5" borderId="18" xfId="2" applyFont="1" applyFill="1" applyBorder="1"/>
    <xf numFmtId="0" fontId="21" fillId="5" borderId="13" xfId="2" applyFont="1" applyFill="1" applyBorder="1" applyAlignment="1">
      <alignment vertical="center"/>
    </xf>
    <xf numFmtId="0" fontId="21" fillId="5" borderId="14" xfId="2" applyFont="1" applyFill="1" applyBorder="1" applyAlignment="1">
      <alignment vertical="center"/>
    </xf>
    <xf numFmtId="0" fontId="11" fillId="5" borderId="14" xfId="2" applyFill="1" applyBorder="1" applyAlignment="1">
      <alignment vertical="center"/>
    </xf>
    <xf numFmtId="0" fontId="11" fillId="5" borderId="19" xfId="2" applyFill="1" applyBorder="1"/>
    <xf numFmtId="0" fontId="28" fillId="0" borderId="0" xfId="0" applyFont="1" applyAlignment="1">
      <alignment vertical="center" wrapText="1"/>
    </xf>
    <xf numFmtId="0" fontId="28" fillId="0" borderId="0" xfId="0" applyFont="1" applyAlignment="1">
      <alignment vertical="center"/>
    </xf>
    <xf numFmtId="0" fontId="29" fillId="0" borderId="0" xfId="0" applyFont="1" applyAlignment="1">
      <alignment vertical="top"/>
    </xf>
    <xf numFmtId="0" fontId="28" fillId="0" borderId="0" xfId="0" applyFont="1" applyAlignment="1">
      <alignment horizontal="center" vertical="center"/>
    </xf>
    <xf numFmtId="0" fontId="34" fillId="0" borderId="0" xfId="0" applyFont="1" applyAlignment="1">
      <alignment horizontal="center" vertical="center" wrapText="1"/>
    </xf>
    <xf numFmtId="0" fontId="34" fillId="0" borderId="0" xfId="0" applyFont="1" applyAlignment="1">
      <alignment vertical="top"/>
    </xf>
    <xf numFmtId="0" fontId="32" fillId="0" borderId="0" xfId="0" applyFont="1" applyAlignment="1">
      <alignment horizontal="left" vertical="top"/>
    </xf>
    <xf numFmtId="0" fontId="34" fillId="0" borderId="0" xfId="0" applyFont="1" applyAlignment="1">
      <alignment horizontal="left" vertical="top"/>
    </xf>
    <xf numFmtId="0" fontId="28" fillId="7" borderId="0" xfId="0" applyFont="1" applyFill="1" applyAlignment="1">
      <alignment vertical="center" wrapText="1"/>
    </xf>
    <xf numFmtId="0" fontId="28" fillId="7" borderId="0" xfId="0" applyFont="1" applyFill="1" applyAlignment="1">
      <alignment horizontal="center" vertical="center" wrapText="1"/>
    </xf>
    <xf numFmtId="0" fontId="28" fillId="0" borderId="0" xfId="0" applyFont="1"/>
    <xf numFmtId="0" fontId="34" fillId="0" borderId="0" xfId="0" applyFont="1" applyAlignment="1">
      <alignment horizontal="left" vertical="top" wrapText="1"/>
    </xf>
    <xf numFmtId="0" fontId="28" fillId="0" borderId="0" xfId="0" applyFont="1" applyAlignment="1">
      <alignment horizontal="left" vertical="top" wrapText="1"/>
    </xf>
    <xf numFmtId="0" fontId="11" fillId="4" borderId="24" xfId="0" applyFont="1" applyFill="1" applyBorder="1" applyAlignment="1">
      <alignment horizontal="center" vertical="center" wrapText="1"/>
    </xf>
    <xf numFmtId="0" fontId="32" fillId="0" borderId="0" xfId="0" applyFont="1" applyAlignment="1">
      <alignment vertical="center"/>
    </xf>
    <xf numFmtId="0" fontId="34" fillId="0" borderId="0" xfId="0" applyFont="1" applyAlignment="1">
      <alignment vertical="top" wrapText="1"/>
    </xf>
    <xf numFmtId="0" fontId="35" fillId="7" borderId="0" xfId="0" applyFont="1" applyFill="1" applyAlignment="1">
      <alignment vertical="center"/>
    </xf>
    <xf numFmtId="0" fontId="11" fillId="8" borderId="6" xfId="0" applyFont="1" applyFill="1" applyBorder="1" applyAlignment="1">
      <alignment horizontal="center" vertical="center" wrapText="1"/>
    </xf>
    <xf numFmtId="0" fontId="11" fillId="8" borderId="5" xfId="0" applyFont="1" applyFill="1" applyBorder="1" applyAlignment="1">
      <alignment horizontal="center" vertical="center" wrapText="1"/>
    </xf>
    <xf numFmtId="0" fontId="28" fillId="0" borderId="0" xfId="0" applyFont="1" applyAlignment="1">
      <alignment horizontal="left" vertical="center"/>
    </xf>
    <xf numFmtId="0" fontId="33" fillId="7" borderId="0" xfId="0" applyFont="1" applyFill="1" applyAlignment="1">
      <alignment vertical="center"/>
    </xf>
    <xf numFmtId="0" fontId="34" fillId="4" borderId="0" xfId="0" applyFont="1" applyFill="1" applyAlignment="1">
      <alignment horizontal="center" vertical="center" wrapText="1"/>
    </xf>
    <xf numFmtId="0" fontId="34" fillId="0" borderId="14" xfId="0" applyFont="1" applyBorder="1" applyAlignment="1">
      <alignment horizontal="left" vertical="top"/>
    </xf>
    <xf numFmtId="0" fontId="38" fillId="6" borderId="41" xfId="7" applyFont="1" applyFill="1" applyBorder="1" applyAlignment="1">
      <alignment vertical="center"/>
    </xf>
    <xf numFmtId="0" fontId="32" fillId="0" borderId="0" xfId="0" applyFont="1" applyAlignment="1">
      <alignment horizontal="left" vertical="top" wrapText="1"/>
    </xf>
    <xf numFmtId="3" fontId="11" fillId="8" borderId="5" xfId="0" applyNumberFormat="1" applyFont="1" applyFill="1" applyBorder="1" applyAlignment="1">
      <alignment horizontal="center" vertical="center" wrapText="1"/>
    </xf>
    <xf numFmtId="0" fontId="11" fillId="8" borderId="27" xfId="0" applyFont="1" applyFill="1" applyBorder="1" applyAlignment="1">
      <alignment horizontal="center" vertical="center" wrapText="1"/>
    </xf>
    <xf numFmtId="0" fontId="11" fillId="8" borderId="29" xfId="0" applyFont="1" applyFill="1" applyBorder="1" applyAlignment="1">
      <alignment horizontal="center" vertical="center" wrapText="1"/>
    </xf>
    <xf numFmtId="0" fontId="28" fillId="0" borderId="0" xfId="0" applyFont="1" applyAlignment="1">
      <alignment wrapText="1"/>
    </xf>
    <xf numFmtId="0" fontId="40" fillId="0" borderId="0" xfId="0" applyFont="1"/>
    <xf numFmtId="0" fontId="32" fillId="0" borderId="0" xfId="0" applyFont="1" applyAlignment="1">
      <alignment horizontal="left" vertical="center" wrapText="1"/>
    </xf>
    <xf numFmtId="0" fontId="28" fillId="5" borderId="0" xfId="0" applyFont="1" applyFill="1" applyAlignment="1">
      <alignment horizontal="left" vertical="top" wrapText="1"/>
    </xf>
    <xf numFmtId="0" fontId="40" fillId="0" borderId="0" xfId="0" applyFont="1" applyAlignment="1">
      <alignment vertical="center"/>
    </xf>
    <xf numFmtId="0" fontId="40" fillId="0" borderId="0" xfId="0" applyFont="1" applyAlignment="1">
      <alignment vertical="center" wrapText="1"/>
    </xf>
    <xf numFmtId="3" fontId="28" fillId="0" borderId="0" xfId="0" applyNumberFormat="1" applyFont="1" applyAlignment="1">
      <alignment horizontal="center" vertical="center"/>
    </xf>
    <xf numFmtId="4" fontId="28" fillId="0" borderId="0" xfId="0" applyNumberFormat="1" applyFont="1" applyAlignment="1">
      <alignment horizontal="center" vertical="center"/>
    </xf>
    <xf numFmtId="0" fontId="41" fillId="0" borderId="0" xfId="0" applyFont="1" applyAlignment="1">
      <alignment vertical="top" wrapText="1"/>
    </xf>
    <xf numFmtId="0" fontId="34" fillId="0" borderId="0" xfId="0" applyFont="1" applyAlignment="1">
      <alignment horizontal="left"/>
    </xf>
    <xf numFmtId="0" fontId="32" fillId="5" borderId="0" xfId="0" applyFont="1" applyFill="1" applyAlignment="1">
      <alignment horizontal="right" vertical="center"/>
    </xf>
    <xf numFmtId="171" fontId="28" fillId="5" borderId="0" xfId="1" applyNumberFormat="1" applyFont="1" applyFill="1" applyBorder="1" applyAlignment="1">
      <alignment vertical="center"/>
    </xf>
    <xf numFmtId="0" fontId="39" fillId="0" borderId="0" xfId="0" applyFont="1" applyAlignment="1">
      <alignment horizontal="left" vertical="center"/>
    </xf>
    <xf numFmtId="0" fontId="34" fillId="0" borderId="0" xfId="0" applyFont="1" applyAlignment="1">
      <alignment wrapText="1"/>
    </xf>
    <xf numFmtId="0" fontId="30" fillId="0" borderId="0" xfId="0" applyFont="1" applyAlignment="1">
      <alignment horizontal="left" vertical="center"/>
    </xf>
    <xf numFmtId="0" fontId="30" fillId="0" borderId="0" xfId="2" applyFont="1" applyAlignment="1">
      <alignment horizontal="center" vertical="center"/>
    </xf>
    <xf numFmtId="0" fontId="42" fillId="7" borderId="0" xfId="0" applyFont="1" applyFill="1" applyAlignment="1">
      <alignment vertical="center"/>
    </xf>
    <xf numFmtId="0" fontId="33" fillId="0" borderId="0" xfId="0" applyFont="1" applyAlignment="1">
      <alignment vertical="center"/>
    </xf>
    <xf numFmtId="0" fontId="11" fillId="0" borderId="41" xfId="0" applyFont="1" applyBorder="1" applyAlignment="1">
      <alignment horizontal="left" vertical="center" wrapText="1" indent="1"/>
    </xf>
    <xf numFmtId="0" fontId="11" fillId="0" borderId="24" xfId="0" applyFont="1" applyBorder="1" applyAlignment="1">
      <alignment horizontal="left" vertical="center" wrapText="1" indent="1"/>
    </xf>
    <xf numFmtId="0" fontId="11" fillId="0" borderId="21" xfId="0" applyFont="1" applyBorder="1" applyAlignment="1">
      <alignment horizontal="left" vertical="center" wrapText="1" indent="1"/>
    </xf>
    <xf numFmtId="0" fontId="11" fillId="0" borderId="0" xfId="0" applyFont="1" applyAlignment="1">
      <alignment horizontal="center" vertical="center" wrapText="1"/>
    </xf>
    <xf numFmtId="0" fontId="11" fillId="0" borderId="0" xfId="0" applyFont="1" applyAlignment="1">
      <alignment horizontal="left" vertical="center" wrapText="1"/>
    </xf>
    <xf numFmtId="0" fontId="10" fillId="7" borderId="0" xfId="0" applyFont="1" applyFill="1" applyAlignment="1">
      <alignment vertical="center" wrapText="1"/>
    </xf>
    <xf numFmtId="0" fontId="10" fillId="7" borderId="0" xfId="0" applyFont="1" applyFill="1" applyAlignment="1">
      <alignment horizontal="center" vertical="center" wrapText="1"/>
    </xf>
    <xf numFmtId="0" fontId="10" fillId="0" borderId="0" xfId="0" applyFont="1" applyAlignment="1">
      <alignment vertical="center" wrapText="1"/>
    </xf>
    <xf numFmtId="0" fontId="10" fillId="0" borderId="0" xfId="0" applyFont="1"/>
    <xf numFmtId="0" fontId="10" fillId="0" borderId="0" xfId="0" applyFont="1" applyAlignment="1">
      <alignment horizontal="center" vertical="center"/>
    </xf>
    <xf numFmtId="0" fontId="10" fillId="0" borderId="0" xfId="0" applyFont="1" applyAlignment="1">
      <alignment horizontal="center" vertical="center" wrapText="1"/>
    </xf>
    <xf numFmtId="0" fontId="11" fillId="0" borderId="0" xfId="0" applyFont="1" applyAlignment="1">
      <alignment horizontal="center" vertical="center"/>
    </xf>
    <xf numFmtId="0" fontId="19" fillId="0" borderId="41" xfId="0" applyFont="1" applyBorder="1" applyAlignment="1">
      <alignment horizontal="left" vertical="center"/>
    </xf>
    <xf numFmtId="0" fontId="38" fillId="0" borderId="41" xfId="7" applyFont="1" applyBorder="1" applyAlignment="1">
      <alignment horizontal="left" vertical="top" wrapText="1"/>
    </xf>
    <xf numFmtId="0" fontId="34" fillId="0" borderId="0" xfId="0" applyFont="1" applyAlignment="1">
      <alignment horizontal="left" vertical="center" wrapText="1"/>
    </xf>
    <xf numFmtId="0" fontId="8" fillId="0" borderId="0" xfId="0" applyFont="1" applyAlignment="1">
      <alignment vertical="center" wrapText="1"/>
    </xf>
    <xf numFmtId="0" fontId="8" fillId="0" borderId="0" xfId="0" applyFont="1" applyAlignment="1">
      <alignment horizontal="left" vertical="top" wrapText="1" indent="1"/>
    </xf>
    <xf numFmtId="0" fontId="8" fillId="7" borderId="0" xfId="0" applyFont="1" applyFill="1" applyAlignment="1">
      <alignment vertical="center" wrapText="1"/>
    </xf>
    <xf numFmtId="0" fontId="8" fillId="7" borderId="0" xfId="0" applyFont="1" applyFill="1" applyAlignment="1">
      <alignment horizontal="center" vertical="center" wrapText="1"/>
    </xf>
    <xf numFmtId="0" fontId="8" fillId="0" borderId="0" xfId="0" applyFont="1"/>
    <xf numFmtId="0" fontId="8" fillId="0" borderId="0" xfId="0" applyFont="1" applyAlignment="1">
      <alignment vertical="top"/>
    </xf>
    <xf numFmtId="0" fontId="8" fillId="0" borderId="0" xfId="0" applyFont="1" applyAlignment="1">
      <alignment vertical="center"/>
    </xf>
    <xf numFmtId="0" fontId="8" fillId="0" borderId="0" xfId="0" applyFont="1" applyAlignment="1">
      <alignment horizontal="left" vertical="top" indent="1"/>
    </xf>
    <xf numFmtId="0" fontId="8" fillId="0" borderId="0" xfId="0" applyFont="1" applyAlignment="1">
      <alignment horizontal="left" vertical="center" wrapText="1" indent="1"/>
    </xf>
    <xf numFmtId="0" fontId="8" fillId="0" borderId="0" xfId="0" applyFont="1" applyAlignment="1">
      <alignment horizontal="center" vertical="center" wrapText="1"/>
    </xf>
    <xf numFmtId="0" fontId="8" fillId="0" borderId="0" xfId="0" applyFont="1" applyAlignment="1">
      <alignment horizontal="left" vertical="center" indent="2"/>
    </xf>
    <xf numFmtId="0" fontId="8" fillId="0" borderId="0" xfId="0" applyFont="1" applyAlignment="1">
      <alignment horizontal="left" vertical="top" indent="2"/>
    </xf>
    <xf numFmtId="0" fontId="8" fillId="0" borderId="0" xfId="0" applyFont="1" applyAlignment="1">
      <alignment vertical="top" wrapText="1"/>
    </xf>
    <xf numFmtId="0" fontId="34" fillId="8" borderId="6" xfId="0" applyFont="1" applyFill="1" applyBorder="1" applyAlignment="1">
      <alignment vertical="center"/>
    </xf>
    <xf numFmtId="0" fontId="34" fillId="8" borderId="5" xfId="0" applyFont="1" applyFill="1" applyBorder="1" applyAlignment="1">
      <alignment vertical="center"/>
    </xf>
    <xf numFmtId="0" fontId="11" fillId="0" borderId="0" xfId="0" applyFont="1" applyAlignment="1">
      <alignment vertical="center" wrapText="1"/>
    </xf>
    <xf numFmtId="0" fontId="11" fillId="0" borderId="11" xfId="0" applyFont="1" applyBorder="1" applyAlignment="1">
      <alignment horizontal="center" vertical="center"/>
    </xf>
    <xf numFmtId="0" fontId="11" fillId="0" borderId="73" xfId="0" applyFont="1" applyBorder="1" applyAlignment="1">
      <alignment horizontal="center" vertical="center"/>
    </xf>
    <xf numFmtId="0" fontId="11" fillId="0" borderId="0" xfId="0" applyFont="1" applyAlignment="1">
      <alignment horizontal="left" vertical="center" indent="1"/>
    </xf>
    <xf numFmtId="0" fontId="11" fillId="0" borderId="0" xfId="13"/>
    <xf numFmtId="0" fontId="34" fillId="0" borderId="0" xfId="0" applyFont="1" applyAlignment="1">
      <alignment vertical="center"/>
    </xf>
    <xf numFmtId="0" fontId="29" fillId="0" borderId="0" xfId="0" applyFont="1" applyAlignment="1">
      <alignment vertical="center"/>
    </xf>
    <xf numFmtId="0" fontId="34" fillId="0" borderId="14" xfId="0" applyFont="1" applyBorder="1" applyAlignment="1">
      <alignment vertical="center"/>
    </xf>
    <xf numFmtId="0" fontId="16" fillId="0" borderId="0" xfId="14" applyFont="1" applyAlignment="1">
      <alignment horizontal="center" vertical="center" wrapText="1"/>
    </xf>
    <xf numFmtId="0" fontId="16" fillId="0" borderId="0" xfId="14" applyFont="1" applyAlignment="1">
      <alignment vertical="center" wrapText="1"/>
    </xf>
    <xf numFmtId="0" fontId="16" fillId="0" borderId="0" xfId="14" applyFont="1" applyAlignment="1">
      <alignment horizontal="center" vertical="center"/>
    </xf>
    <xf numFmtId="0" fontId="50" fillId="0" borderId="0" xfId="14" applyFont="1" applyAlignment="1">
      <alignment vertical="center"/>
    </xf>
    <xf numFmtId="0" fontId="51" fillId="0" borderId="0" xfId="14" applyFont="1" applyAlignment="1">
      <alignment vertical="center" wrapText="1"/>
    </xf>
    <xf numFmtId="168" fontId="16" fillId="0" borderId="4" xfId="14" applyNumberFormat="1" applyFont="1" applyBorder="1" applyAlignment="1">
      <alignment horizontal="center" vertical="center" wrapText="1"/>
    </xf>
    <xf numFmtId="3" fontId="16" fillId="2" borderId="89" xfId="14" applyNumberFormat="1" applyFont="1" applyFill="1" applyBorder="1" applyAlignment="1">
      <alignment horizontal="center" vertical="center" wrapText="1"/>
    </xf>
    <xf numFmtId="168" fontId="16" fillId="0" borderId="90" xfId="14" applyNumberFormat="1" applyFont="1" applyBorder="1" applyAlignment="1">
      <alignment horizontal="center" vertical="center" wrapText="1"/>
    </xf>
    <xf numFmtId="3" fontId="16" fillId="2" borderId="7" xfId="14" applyNumberFormat="1" applyFont="1" applyFill="1" applyBorder="1" applyAlignment="1">
      <alignment horizontal="center" vertical="center" wrapText="1"/>
    </xf>
    <xf numFmtId="0" fontId="51" fillId="0" borderId="0" xfId="14" applyFont="1" applyAlignment="1">
      <alignment vertical="center"/>
    </xf>
    <xf numFmtId="0" fontId="17" fillId="3" borderId="90" xfId="14" applyFont="1" applyFill="1" applyBorder="1" applyAlignment="1">
      <alignment horizontal="center" vertical="center" wrapText="1"/>
    </xf>
    <xf numFmtId="0" fontId="17" fillId="3" borderId="7" xfId="14" applyFont="1" applyFill="1" applyBorder="1" applyAlignment="1">
      <alignment horizontal="center" vertical="center" wrapText="1"/>
    </xf>
    <xf numFmtId="168" fontId="15" fillId="0" borderId="4" xfId="14" applyNumberFormat="1" applyFont="1" applyBorder="1" applyAlignment="1">
      <alignment horizontal="center" vertical="center" wrapText="1"/>
    </xf>
    <xf numFmtId="3" fontId="15" fillId="0" borderId="89" xfId="14" applyNumberFormat="1" applyFont="1" applyBorder="1" applyAlignment="1">
      <alignment horizontal="center" vertical="center" wrapText="1"/>
    </xf>
    <xf numFmtId="168" fontId="15" fillId="0" borderId="90" xfId="14" applyNumberFormat="1" applyFont="1" applyBorder="1" applyAlignment="1">
      <alignment horizontal="center" vertical="center" wrapText="1"/>
    </xf>
    <xf numFmtId="3" fontId="15" fillId="0" borderId="7" xfId="14" applyNumberFormat="1" applyFont="1" applyBorder="1" applyAlignment="1">
      <alignment horizontal="center" vertical="center" wrapText="1"/>
    </xf>
    <xf numFmtId="0" fontId="15" fillId="0" borderId="16" xfId="14" applyFont="1" applyBorder="1" applyAlignment="1">
      <alignment horizontal="center" vertical="center" wrapText="1"/>
    </xf>
    <xf numFmtId="0" fontId="15" fillId="0" borderId="3" xfId="14" applyFont="1" applyBorder="1" applyAlignment="1">
      <alignment horizontal="center" vertical="center" wrapText="1"/>
    </xf>
    <xf numFmtId="0" fontId="16" fillId="0" borderId="16" xfId="14" applyFont="1" applyBorder="1" applyAlignment="1">
      <alignment horizontal="center" vertical="center" wrapText="1"/>
    </xf>
    <xf numFmtId="0" fontId="17" fillId="3" borderId="16" xfId="14" applyFont="1" applyFill="1" applyBorder="1" applyAlignment="1">
      <alignment horizontal="center" vertical="center" wrapText="1"/>
    </xf>
    <xf numFmtId="0" fontId="53" fillId="2" borderId="89" xfId="14" applyFont="1" applyFill="1" applyBorder="1" applyAlignment="1">
      <alignment horizontal="left" vertical="center" wrapText="1"/>
    </xf>
    <xf numFmtId="0" fontId="54" fillId="0" borderId="0" xfId="14" applyFont="1" applyAlignment="1">
      <alignment vertical="center"/>
    </xf>
    <xf numFmtId="0" fontId="17" fillId="3" borderId="2" xfId="14" applyFont="1" applyFill="1" applyBorder="1" applyAlignment="1">
      <alignment horizontal="center" vertical="center" wrapText="1"/>
    </xf>
    <xf numFmtId="0" fontId="55" fillId="3" borderId="15" xfId="14" applyFont="1" applyFill="1" applyBorder="1" applyAlignment="1">
      <alignment horizontal="left" vertical="top"/>
    </xf>
    <xf numFmtId="0" fontId="55" fillId="3" borderId="16" xfId="14" applyFont="1" applyFill="1" applyBorder="1" applyAlignment="1">
      <alignment horizontal="left" vertical="top"/>
    </xf>
    <xf numFmtId="0" fontId="47" fillId="3" borderId="16" xfId="14" applyFont="1" applyFill="1" applyBorder="1" applyAlignment="1">
      <alignment horizontal="left" vertical="top"/>
    </xf>
    <xf numFmtId="0" fontId="56" fillId="3" borderId="16" xfId="14" quotePrefix="1" applyFont="1" applyFill="1" applyBorder="1" applyAlignment="1">
      <alignment horizontal="left" vertical="center"/>
    </xf>
    <xf numFmtId="0" fontId="57" fillId="3" borderId="3" xfId="14" applyFont="1" applyFill="1" applyBorder="1" applyAlignment="1">
      <alignment horizontal="left" vertical="center" wrapText="1"/>
    </xf>
    <xf numFmtId="3" fontId="45" fillId="0" borderId="77" xfId="13" applyNumberFormat="1" applyFont="1" applyBorder="1" applyAlignment="1">
      <alignment horizontal="left" vertical="center" wrapText="1"/>
    </xf>
    <xf numFmtId="3" fontId="11" fillId="0" borderId="0" xfId="13" applyNumberFormat="1"/>
    <xf numFmtId="0" fontId="11" fillId="10" borderId="0" xfId="13" applyFill="1"/>
    <xf numFmtId="3" fontId="11" fillId="10" borderId="0" xfId="13" applyNumberFormat="1" applyFill="1"/>
    <xf numFmtId="0" fontId="11" fillId="0" borderId="82" xfId="13" applyBorder="1"/>
    <xf numFmtId="2" fontId="11" fillId="0" borderId="0" xfId="13" applyNumberFormat="1"/>
    <xf numFmtId="0" fontId="24" fillId="0" borderId="0" xfId="13" applyFont="1"/>
    <xf numFmtId="168" fontId="0" fillId="0" borderId="0" xfId="10" applyNumberFormat="1" applyFont="1"/>
    <xf numFmtId="169" fontId="11" fillId="0" borderId="0" xfId="13" applyNumberFormat="1"/>
    <xf numFmtId="0" fontId="11" fillId="0" borderId="0" xfId="13" applyAlignment="1">
      <alignment horizontal="left"/>
    </xf>
    <xf numFmtId="172" fontId="11" fillId="0" borderId="0" xfId="13" applyNumberFormat="1"/>
    <xf numFmtId="4" fontId="11" fillId="0" borderId="0" xfId="13" applyNumberFormat="1"/>
    <xf numFmtId="182" fontId="11" fillId="0" borderId="0" xfId="12" applyNumberFormat="1" applyFont="1"/>
    <xf numFmtId="0" fontId="11" fillId="0" borderId="99" xfId="13" applyBorder="1"/>
    <xf numFmtId="0" fontId="11" fillId="0" borderId="0" xfId="13" applyAlignment="1">
      <alignment wrapText="1"/>
    </xf>
    <xf numFmtId="0" fontId="24" fillId="0" borderId="0" xfId="13" applyFont="1" applyAlignment="1">
      <alignment wrapText="1"/>
    </xf>
    <xf numFmtId="0" fontId="13" fillId="0" borderId="0" xfId="15"/>
    <xf numFmtId="0" fontId="13" fillId="5" borderId="0" xfId="15" applyFill="1"/>
    <xf numFmtId="0" fontId="14" fillId="5" borderId="0" xfId="15" applyFont="1" applyFill="1"/>
    <xf numFmtId="169" fontId="14" fillId="5" borderId="82" xfId="15" applyNumberFormat="1" applyFont="1" applyFill="1" applyBorder="1"/>
    <xf numFmtId="2" fontId="14" fillId="5" borderId="82" xfId="15" applyNumberFormat="1" applyFont="1" applyFill="1" applyBorder="1"/>
    <xf numFmtId="175" fontId="14" fillId="5" borderId="82" xfId="12" applyNumberFormat="1" applyFont="1" applyFill="1" applyBorder="1"/>
    <xf numFmtId="169" fontId="13" fillId="5" borderId="0" xfId="15" applyNumberFormat="1" applyFill="1" applyAlignment="1">
      <alignment horizontal="right"/>
    </xf>
    <xf numFmtId="169" fontId="14" fillId="5" borderId="0" xfId="15" applyNumberFormat="1" applyFont="1" applyFill="1" applyAlignment="1">
      <alignment horizontal="left"/>
    </xf>
    <xf numFmtId="167" fontId="24" fillId="0" borderId="82" xfId="16" applyFont="1" applyBorder="1"/>
    <xf numFmtId="10" fontId="0" fillId="0" borderId="82" xfId="17" applyNumberFormat="1" applyFont="1" applyBorder="1"/>
    <xf numFmtId="175" fontId="0" fillId="0" borderId="82" xfId="16" applyNumberFormat="1" applyFont="1" applyBorder="1"/>
    <xf numFmtId="37" fontId="0" fillId="0" borderId="82" xfId="16" applyNumberFormat="1" applyFont="1" applyBorder="1"/>
    <xf numFmtId="0" fontId="13" fillId="0" borderId="80" xfId="15" applyBorder="1"/>
    <xf numFmtId="0" fontId="13" fillId="0" borderId="79" xfId="15" applyBorder="1"/>
    <xf numFmtId="0" fontId="13" fillId="0" borderId="84" xfId="15" applyBorder="1"/>
    <xf numFmtId="0" fontId="13" fillId="5" borderId="83" xfId="15" applyFill="1" applyBorder="1"/>
    <xf numFmtId="0" fontId="59" fillId="5" borderId="86" xfId="15" applyFont="1" applyFill="1" applyBorder="1"/>
    <xf numFmtId="183" fontId="59" fillId="5" borderId="81" xfId="15" applyNumberFormat="1" applyFont="1" applyFill="1" applyBorder="1"/>
    <xf numFmtId="0" fontId="14" fillId="5" borderId="78" xfId="15" applyFont="1" applyFill="1" applyBorder="1"/>
    <xf numFmtId="0" fontId="13" fillId="5" borderId="0" xfId="15" applyFill="1" applyAlignment="1">
      <alignment horizontal="center"/>
    </xf>
    <xf numFmtId="0" fontId="13" fillId="5" borderId="0" xfId="15" quotePrefix="1" applyFill="1"/>
    <xf numFmtId="0" fontId="13" fillId="5" borderId="102" xfId="15" applyFill="1" applyBorder="1"/>
    <xf numFmtId="0" fontId="13" fillId="5" borderId="85" xfId="15" applyFill="1" applyBorder="1"/>
    <xf numFmtId="0" fontId="14" fillId="5" borderId="88" xfId="15" applyFont="1" applyFill="1" applyBorder="1"/>
    <xf numFmtId="0" fontId="13" fillId="0" borderId="83" xfId="15" applyBorder="1"/>
    <xf numFmtId="3" fontId="13" fillId="0" borderId="0" xfId="15" applyNumberFormat="1"/>
    <xf numFmtId="184" fontId="13" fillId="0" borderId="78" xfId="15" applyNumberFormat="1" applyBorder="1"/>
    <xf numFmtId="184" fontId="13" fillId="5" borderId="78" xfId="15" applyNumberFormat="1" applyFill="1" applyBorder="1" applyAlignment="1">
      <alignment horizontal="left"/>
    </xf>
    <xf numFmtId="0" fontId="13" fillId="5" borderId="78" xfId="15" applyFill="1" applyBorder="1" applyAlignment="1">
      <alignment horizontal="left"/>
    </xf>
    <xf numFmtId="178" fontId="13" fillId="0" borderId="78" xfId="15" applyNumberFormat="1" applyBorder="1"/>
    <xf numFmtId="185" fontId="13" fillId="5" borderId="0" xfId="15" applyNumberFormat="1" applyFill="1"/>
    <xf numFmtId="175" fontId="13" fillId="5" borderId="78" xfId="15" applyNumberFormat="1" applyFill="1" applyBorder="1" applyAlignment="1">
      <alignment horizontal="left"/>
    </xf>
    <xf numFmtId="0" fontId="13" fillId="5" borderId="80" xfId="15" applyFill="1" applyBorder="1"/>
    <xf numFmtId="0" fontId="13" fillId="5" borderId="79" xfId="15" applyFill="1" applyBorder="1"/>
    <xf numFmtId="0" fontId="13" fillId="5" borderId="84" xfId="15" applyFill="1" applyBorder="1"/>
    <xf numFmtId="0" fontId="13" fillId="5" borderId="78" xfId="15" applyFill="1" applyBorder="1"/>
    <xf numFmtId="186" fontId="13" fillId="5" borderId="85" xfId="15" applyNumberFormat="1" applyFill="1" applyBorder="1"/>
    <xf numFmtId="0" fontId="13" fillId="5" borderId="88" xfId="15" applyFill="1" applyBorder="1"/>
    <xf numFmtId="0" fontId="60" fillId="5" borderId="0" xfId="15" applyFont="1" applyFill="1"/>
    <xf numFmtId="0" fontId="14" fillId="5" borderId="82" xfId="15" applyFont="1" applyFill="1" applyBorder="1"/>
    <xf numFmtId="169" fontId="13" fillId="5" borderId="85" xfId="15" applyNumberFormat="1" applyFill="1" applyBorder="1" applyAlignment="1">
      <alignment horizontal="right"/>
    </xf>
    <xf numFmtId="167" fontId="14" fillId="5" borderId="82" xfId="16" applyFont="1" applyFill="1" applyBorder="1"/>
    <xf numFmtId="178" fontId="14" fillId="5" borderId="82" xfId="15" applyNumberFormat="1" applyFont="1" applyFill="1" applyBorder="1"/>
    <xf numFmtId="187" fontId="13" fillId="5" borderId="82" xfId="15" applyNumberFormat="1" applyFill="1" applyBorder="1"/>
    <xf numFmtId="167" fontId="13" fillId="5" borderId="82" xfId="15" applyNumberFormat="1" applyFill="1" applyBorder="1"/>
    <xf numFmtId="178" fontId="13" fillId="5" borderId="82" xfId="15" applyNumberFormat="1" applyFill="1" applyBorder="1"/>
    <xf numFmtId="178" fontId="0" fillId="5" borderId="82" xfId="16" applyNumberFormat="1" applyFont="1" applyFill="1" applyBorder="1"/>
    <xf numFmtId="0" fontId="13" fillId="5" borderId="82" xfId="15" applyFill="1" applyBorder="1"/>
    <xf numFmtId="0" fontId="13" fillId="5" borderId="82" xfId="15" applyFill="1" applyBorder="1" applyAlignment="1">
      <alignment horizontal="center"/>
    </xf>
    <xf numFmtId="169" fontId="13" fillId="5" borderId="82" xfId="15" applyNumberFormat="1" applyFill="1" applyBorder="1"/>
    <xf numFmtId="0" fontId="13" fillId="0" borderId="82" xfId="15" applyBorder="1"/>
    <xf numFmtId="0" fontId="13" fillId="5" borderId="86" xfId="15" applyFill="1" applyBorder="1" applyAlignment="1">
      <alignment horizontal="center"/>
    </xf>
    <xf numFmtId="0" fontId="13" fillId="5" borderId="87" xfId="15" applyFill="1" applyBorder="1"/>
    <xf numFmtId="0" fontId="13" fillId="5" borderId="81" xfId="15" applyFill="1" applyBorder="1"/>
    <xf numFmtId="188" fontId="13" fillId="5" borderId="82" xfId="15" applyNumberFormat="1" applyFill="1" applyBorder="1"/>
    <xf numFmtId="187" fontId="59" fillId="5" borderId="81" xfId="15" applyNumberFormat="1" applyFont="1" applyFill="1" applyBorder="1"/>
    <xf numFmtId="0" fontId="59" fillId="5" borderId="81" xfId="15" applyFont="1" applyFill="1" applyBorder="1"/>
    <xf numFmtId="9" fontId="13" fillId="5" borderId="0" xfId="15" applyNumberFormat="1" applyFill="1"/>
    <xf numFmtId="188" fontId="13" fillId="5" borderId="0" xfId="15" applyNumberFormat="1" applyFill="1"/>
    <xf numFmtId="175" fontId="0" fillId="5" borderId="0" xfId="16" applyNumberFormat="1" applyFont="1" applyFill="1"/>
    <xf numFmtId="187" fontId="13" fillId="5" borderId="0" xfId="15" applyNumberFormat="1" applyFill="1"/>
    <xf numFmtId="175" fontId="0" fillId="5" borderId="82" xfId="16" applyNumberFormat="1" applyFont="1" applyFill="1" applyBorder="1"/>
    <xf numFmtId="0" fontId="13" fillId="5" borderId="82" xfId="15" applyFill="1" applyBorder="1" applyAlignment="1">
      <alignment horizontal="right"/>
    </xf>
    <xf numFmtId="175" fontId="0" fillId="5" borderId="0" xfId="16" applyNumberFormat="1" applyFont="1" applyFill="1" applyBorder="1"/>
    <xf numFmtId="0" fontId="22" fillId="5" borderId="0" xfId="2" applyFont="1" applyFill="1" applyAlignment="1">
      <alignment horizontal="left" vertical="top" wrapText="1"/>
    </xf>
    <xf numFmtId="0" fontId="34" fillId="4" borderId="3" xfId="0" applyFont="1" applyFill="1" applyBorder="1" applyAlignment="1">
      <alignment horizontal="center" vertical="center"/>
    </xf>
    <xf numFmtId="0" fontId="6" fillId="7" borderId="0" xfId="0" applyFont="1" applyFill="1" applyAlignment="1">
      <alignment vertical="center" wrapText="1"/>
    </xf>
    <xf numFmtId="0" fontId="6" fillId="7" borderId="0" xfId="0" applyFont="1" applyFill="1" applyAlignment="1">
      <alignment horizontal="center" vertical="center" wrapText="1"/>
    </xf>
    <xf numFmtId="0" fontId="6" fillId="0" borderId="0" xfId="0" applyFont="1"/>
    <xf numFmtId="0" fontId="6" fillId="0" borderId="0" xfId="0" applyFont="1" applyAlignment="1">
      <alignment vertical="center" wrapText="1"/>
    </xf>
    <xf numFmtId="0" fontId="39" fillId="6" borderId="24" xfId="0" applyFont="1" applyFill="1" applyBorder="1" applyAlignment="1" applyProtection="1">
      <alignment horizontal="left" vertical="center" wrapText="1"/>
      <protection locked="0"/>
    </xf>
    <xf numFmtId="0" fontId="25" fillId="0" borderId="32" xfId="0" applyFont="1" applyBorder="1" applyAlignment="1">
      <alignment horizontal="left" vertical="center" wrapText="1"/>
    </xf>
    <xf numFmtId="3" fontId="39" fillId="0" borderId="27" xfId="0" applyNumberFormat="1" applyFont="1" applyBorder="1" applyAlignment="1">
      <alignment horizontal="right" vertical="center"/>
    </xf>
    <xf numFmtId="3" fontId="39" fillId="0" borderId="29" xfId="0" applyNumberFormat="1" applyFont="1" applyBorder="1" applyAlignment="1">
      <alignment horizontal="right" vertical="center"/>
    </xf>
    <xf numFmtId="3" fontId="39" fillId="6" borderId="28" xfId="0" applyNumberFormat="1" applyFont="1" applyFill="1" applyBorder="1" applyAlignment="1" applyProtection="1">
      <alignment horizontal="right" vertical="center" wrapText="1"/>
      <protection locked="0"/>
    </xf>
    <xf numFmtId="0" fontId="39" fillId="4" borderId="36" xfId="0" applyFont="1" applyFill="1" applyBorder="1" applyAlignment="1">
      <alignment vertical="center"/>
    </xf>
    <xf numFmtId="0" fontId="39" fillId="4" borderId="64" xfId="0" applyFont="1" applyFill="1" applyBorder="1" applyAlignment="1">
      <alignment vertical="center"/>
    </xf>
    <xf numFmtId="0" fontId="39" fillId="6" borderId="21" xfId="0" applyFont="1" applyFill="1" applyBorder="1" applyAlignment="1" applyProtection="1">
      <alignment horizontal="right" vertical="center" wrapText="1"/>
      <protection locked="0"/>
    </xf>
    <xf numFmtId="0" fontId="63" fillId="0" borderId="30" xfId="0" applyFont="1" applyBorder="1" applyAlignment="1">
      <alignment horizontal="center" vertical="center"/>
    </xf>
    <xf numFmtId="0" fontId="39" fillId="4" borderId="40" xfId="0" applyFont="1" applyFill="1" applyBorder="1" applyAlignment="1">
      <alignment vertical="center"/>
    </xf>
    <xf numFmtId="0" fontId="39" fillId="4" borderId="42" xfId="0" applyFont="1" applyFill="1" applyBorder="1" applyAlignment="1">
      <alignment horizontal="center" vertical="center"/>
    </xf>
    <xf numFmtId="0" fontId="39" fillId="4" borderId="55" xfId="0" applyFont="1" applyFill="1" applyBorder="1" applyAlignment="1">
      <alignment vertical="center"/>
    </xf>
    <xf numFmtId="0" fontId="39" fillId="4" borderId="37" xfId="0" applyFont="1" applyFill="1" applyBorder="1" applyAlignment="1">
      <alignment horizontal="center" vertical="center"/>
    </xf>
    <xf numFmtId="0" fontId="39" fillId="6" borderId="24" xfId="0" applyFont="1" applyFill="1" applyBorder="1" applyAlignment="1" applyProtection="1">
      <alignment horizontal="right" vertical="center" wrapText="1"/>
      <protection locked="0"/>
    </xf>
    <xf numFmtId="0" fontId="39" fillId="4" borderId="42" xfId="0" applyFont="1" applyFill="1" applyBorder="1" applyAlignment="1">
      <alignment vertical="center"/>
    </xf>
    <xf numFmtId="0" fontId="39" fillId="4" borderId="37" xfId="0" applyFont="1" applyFill="1" applyBorder="1" applyAlignment="1">
      <alignment vertical="center"/>
    </xf>
    <xf numFmtId="0" fontId="39" fillId="6" borderId="28" xfId="0" applyFont="1" applyFill="1" applyBorder="1" applyAlignment="1" applyProtection="1">
      <alignment vertical="center" wrapText="1"/>
      <protection locked="0"/>
    </xf>
    <xf numFmtId="170" fontId="39" fillId="6" borderId="28" xfId="0" applyNumberFormat="1" applyFont="1" applyFill="1" applyBorder="1" applyAlignment="1" applyProtection="1">
      <alignment vertical="center" wrapText="1"/>
      <protection locked="0"/>
    </xf>
    <xf numFmtId="169" fontId="39" fillId="6" borderId="21" xfId="0" applyNumberFormat="1" applyFont="1" applyFill="1" applyBorder="1" applyAlignment="1" applyProtection="1">
      <alignment horizontal="right" vertical="center" wrapText="1"/>
      <protection locked="0"/>
    </xf>
    <xf numFmtId="169" fontId="39" fillId="6" borderId="41" xfId="0" applyNumberFormat="1" applyFont="1" applyFill="1" applyBorder="1" applyAlignment="1" applyProtection="1">
      <alignment horizontal="right" vertical="center" wrapText="1"/>
      <protection locked="0"/>
    </xf>
    <xf numFmtId="169" fontId="39" fillId="0" borderId="41" xfId="0" applyNumberFormat="1" applyFont="1" applyBorder="1" applyAlignment="1">
      <alignment horizontal="right" vertical="center" wrapText="1"/>
    </xf>
    <xf numFmtId="0" fontId="39" fillId="4" borderId="62" xfId="0" applyFont="1" applyFill="1" applyBorder="1" applyAlignment="1">
      <alignment vertical="center"/>
    </xf>
    <xf numFmtId="0" fontId="39" fillId="4" borderId="72" xfId="0" applyFont="1" applyFill="1" applyBorder="1" applyAlignment="1">
      <alignment vertical="center"/>
    </xf>
    <xf numFmtId="0" fontId="39" fillId="4" borderId="20" xfId="0" applyFont="1" applyFill="1" applyBorder="1" applyAlignment="1">
      <alignment vertical="center"/>
    </xf>
    <xf numFmtId="0" fontId="39" fillId="4" borderId="22" xfId="0" applyFont="1" applyFill="1" applyBorder="1" applyAlignment="1">
      <alignment vertical="center"/>
    </xf>
    <xf numFmtId="3" fontId="39" fillId="6" borderId="41" xfId="0" applyNumberFormat="1" applyFont="1" applyFill="1" applyBorder="1" applyAlignment="1" applyProtection="1">
      <alignment horizontal="right" vertical="center" wrapText="1"/>
      <protection locked="0"/>
    </xf>
    <xf numFmtId="3" fontId="39" fillId="6" borderId="26" xfId="0" applyNumberFormat="1" applyFont="1" applyFill="1" applyBorder="1" applyAlignment="1" applyProtection="1">
      <alignment horizontal="right" vertical="center" wrapText="1"/>
      <protection locked="0"/>
    </xf>
    <xf numFmtId="0" fontId="39" fillId="4" borderId="23" xfId="0" applyFont="1" applyFill="1" applyBorder="1" applyAlignment="1">
      <alignment vertical="center"/>
    </xf>
    <xf numFmtId="0" fontId="39" fillId="4" borderId="25" xfId="0" applyFont="1" applyFill="1" applyBorder="1" applyAlignment="1">
      <alignment vertical="center"/>
    </xf>
    <xf numFmtId="0" fontId="39" fillId="4" borderId="22" xfId="0" applyFont="1" applyFill="1" applyBorder="1" applyAlignment="1">
      <alignment vertical="center" wrapText="1"/>
    </xf>
    <xf numFmtId="0" fontId="39" fillId="4" borderId="25" xfId="0" applyFont="1" applyFill="1" applyBorder="1" applyAlignment="1">
      <alignment vertical="center" wrapText="1"/>
    </xf>
    <xf numFmtId="0" fontId="39" fillId="4" borderId="27" xfId="0" applyFont="1" applyFill="1" applyBorder="1" applyAlignment="1">
      <alignment vertical="center"/>
    </xf>
    <xf numFmtId="0" fontId="39" fillId="4" borderId="29" xfId="0" applyFont="1" applyFill="1" applyBorder="1" applyAlignment="1">
      <alignment vertical="center"/>
    </xf>
    <xf numFmtId="0" fontId="39" fillId="4" borderId="22" xfId="0" applyFont="1" applyFill="1" applyBorder="1" applyAlignment="1">
      <alignment horizontal="center" vertical="center"/>
    </xf>
    <xf numFmtId="0" fontId="25" fillId="5" borderId="50" xfId="0" applyFont="1" applyFill="1" applyBorder="1" applyAlignment="1">
      <alignment vertical="center" wrapText="1"/>
    </xf>
    <xf numFmtId="0" fontId="39" fillId="6" borderId="107" xfId="0" applyFont="1" applyFill="1" applyBorder="1" applyAlignment="1" applyProtection="1">
      <alignment horizontal="left" vertical="center" wrapText="1" indent="1"/>
      <protection locked="0"/>
    </xf>
    <xf numFmtId="0" fontId="39" fillId="6" borderId="52" xfId="0" applyFont="1" applyFill="1" applyBorder="1" applyAlignment="1" applyProtection="1">
      <alignment horizontal="left" vertical="center" wrapText="1" indent="1"/>
      <protection locked="0"/>
    </xf>
    <xf numFmtId="0" fontId="25" fillId="5" borderId="106" xfId="0" applyFont="1" applyFill="1" applyBorder="1" applyAlignment="1">
      <alignment vertical="center" wrapText="1"/>
    </xf>
    <xf numFmtId="0" fontId="24" fillId="8" borderId="50" xfId="0" applyFont="1" applyFill="1" applyBorder="1" applyAlignment="1">
      <alignment horizontal="center" vertical="center" wrapText="1"/>
    </xf>
    <xf numFmtId="3" fontId="39" fillId="6" borderId="4" xfId="0" applyNumberFormat="1" applyFont="1" applyFill="1" applyBorder="1" applyAlignment="1" applyProtection="1">
      <alignment horizontal="right" vertical="center" wrapText="1"/>
      <protection locked="0"/>
    </xf>
    <xf numFmtId="0" fontId="63" fillId="0" borderId="50" xfId="0" applyFont="1" applyBorder="1" applyAlignment="1">
      <alignment horizontal="center" vertical="center"/>
    </xf>
    <xf numFmtId="0" fontId="39" fillId="6" borderId="51" xfId="0" applyFont="1" applyFill="1" applyBorder="1" applyAlignment="1" applyProtection="1">
      <alignment horizontal="right" vertical="center" wrapText="1"/>
      <protection locked="0"/>
    </xf>
    <xf numFmtId="0" fontId="39" fillId="6" borderId="107" xfId="0" applyFont="1" applyFill="1" applyBorder="1" applyAlignment="1" applyProtection="1">
      <alignment horizontal="right" vertical="center" wrapText="1"/>
      <protection locked="0"/>
    </xf>
    <xf numFmtId="0" fontId="39" fillId="6" borderId="4" xfId="0" applyFont="1" applyFill="1" applyBorder="1" applyAlignment="1" applyProtection="1">
      <alignment horizontal="left" vertical="center" wrapText="1"/>
      <protection locked="0"/>
    </xf>
    <xf numFmtId="0" fontId="39" fillId="6" borderId="4" xfId="0" applyFont="1" applyFill="1" applyBorder="1" applyAlignment="1" applyProtection="1">
      <alignment horizontal="center" vertical="center" wrapText="1"/>
      <protection locked="0"/>
    </xf>
    <xf numFmtId="170" fontId="39" fillId="6" borderId="4" xfId="0" applyNumberFormat="1" applyFont="1" applyFill="1" applyBorder="1" applyAlignment="1" applyProtection="1">
      <alignment horizontal="left" vertical="center" wrapText="1"/>
      <protection locked="0"/>
    </xf>
    <xf numFmtId="0" fontId="63" fillId="0" borderId="107" xfId="0" applyFont="1" applyBorder="1" applyAlignment="1">
      <alignment horizontal="center" vertical="center"/>
    </xf>
    <xf numFmtId="169" fontId="39" fillId="6" borderId="106" xfId="0" applyNumberFormat="1" applyFont="1" applyFill="1" applyBorder="1" applyAlignment="1" applyProtection="1">
      <alignment horizontal="right" vertical="center" wrapText="1"/>
      <protection locked="0"/>
    </xf>
    <xf numFmtId="169" fontId="39" fillId="6" borderId="51" xfId="0" applyNumberFormat="1" applyFont="1" applyFill="1" applyBorder="1" applyAlignment="1" applyProtection="1">
      <alignment horizontal="right" vertical="center" wrapText="1"/>
      <protection locked="0"/>
    </xf>
    <xf numFmtId="169" fontId="39" fillId="0" borderId="52" xfId="0" applyNumberFormat="1" applyFont="1" applyBorder="1" applyAlignment="1">
      <alignment horizontal="right" vertical="center" wrapText="1"/>
    </xf>
    <xf numFmtId="0" fontId="63" fillId="0" borderId="106" xfId="0" applyFont="1" applyBorder="1" applyAlignment="1">
      <alignment horizontal="center" vertical="center"/>
    </xf>
    <xf numFmtId="0" fontId="63" fillId="0" borderId="51" xfId="0" applyFont="1" applyBorder="1" applyAlignment="1">
      <alignment horizontal="center" vertical="center"/>
    </xf>
    <xf numFmtId="0" fontId="11" fillId="4" borderId="55" xfId="0" applyFont="1" applyFill="1" applyBorder="1" applyAlignment="1">
      <alignment horizontal="center" vertical="center" wrapText="1"/>
    </xf>
    <xf numFmtId="0" fontId="11" fillId="4" borderId="37" xfId="0" applyFont="1" applyFill="1" applyBorder="1" applyAlignment="1">
      <alignment horizontal="center" vertical="center" wrapText="1"/>
    </xf>
    <xf numFmtId="0" fontId="11" fillId="4" borderId="31" xfId="0" applyFont="1" applyFill="1" applyBorder="1" applyAlignment="1">
      <alignment horizontal="center" vertical="center" wrapText="1"/>
    </xf>
    <xf numFmtId="0" fontId="11" fillId="8" borderId="24" xfId="0" applyFont="1" applyFill="1" applyBorder="1" applyAlignment="1">
      <alignment horizontal="center" vertical="center" wrapText="1"/>
    </xf>
    <xf numFmtId="0" fontId="11" fillId="8" borderId="55" xfId="0" applyFont="1" applyFill="1" applyBorder="1" applyAlignment="1">
      <alignment horizontal="center" vertical="center" wrapText="1"/>
    </xf>
    <xf numFmtId="0" fontId="11" fillId="8" borderId="26" xfId="0" applyFont="1" applyFill="1" applyBorder="1" applyAlignment="1">
      <alignment horizontal="center" vertical="center" wrapText="1"/>
    </xf>
    <xf numFmtId="0" fontId="11" fillId="8" borderId="25" xfId="0" applyFont="1" applyFill="1" applyBorder="1" applyAlignment="1">
      <alignment horizontal="center" vertical="center" wrapText="1"/>
    </xf>
    <xf numFmtId="0" fontId="25" fillId="0" borderId="0" xfId="0" applyFont="1" applyAlignment="1">
      <alignment vertical="center" wrapText="1"/>
    </xf>
    <xf numFmtId="0" fontId="11" fillId="0" borderId="5" xfId="0" applyFont="1" applyBorder="1" applyAlignment="1">
      <alignment vertical="center" wrapText="1"/>
    </xf>
    <xf numFmtId="0" fontId="11" fillId="0" borderId="5" xfId="0" applyFont="1" applyBorder="1" applyAlignment="1">
      <alignment horizontal="center" vertical="center" wrapText="1"/>
    </xf>
    <xf numFmtId="0" fontId="25" fillId="6" borderId="41" xfId="0" applyFont="1" applyFill="1" applyBorder="1" applyAlignment="1">
      <alignment vertical="center" wrapText="1"/>
    </xf>
    <xf numFmtId="0" fontId="11" fillId="4" borderId="26" xfId="0" applyFont="1" applyFill="1" applyBorder="1" applyAlignment="1">
      <alignment horizontal="center" vertical="center" wrapText="1"/>
    </xf>
    <xf numFmtId="0" fontId="11" fillId="4" borderId="55" xfId="0" applyFont="1" applyFill="1" applyBorder="1" applyAlignment="1">
      <alignment horizontal="center" vertical="center" textRotation="90" wrapText="1"/>
    </xf>
    <xf numFmtId="0" fontId="11" fillId="4" borderId="26" xfId="0" applyFont="1" applyFill="1" applyBorder="1" applyAlignment="1">
      <alignment horizontal="center" vertical="center" textRotation="90" wrapText="1"/>
    </xf>
    <xf numFmtId="0" fontId="11" fillId="4" borderId="37" xfId="0" applyFont="1" applyFill="1" applyBorder="1" applyAlignment="1">
      <alignment horizontal="center" vertical="center" textRotation="90" wrapText="1"/>
    </xf>
    <xf numFmtId="0" fontId="11" fillId="4" borderId="57" xfId="0" applyFont="1" applyFill="1" applyBorder="1" applyAlignment="1">
      <alignment horizontal="center" vertical="center" textRotation="90" wrapText="1"/>
    </xf>
    <xf numFmtId="0" fontId="11" fillId="4" borderId="56" xfId="0" applyFont="1" applyFill="1" applyBorder="1" applyAlignment="1">
      <alignment horizontal="center" vertical="center" textRotation="90" wrapText="1"/>
    </xf>
    <xf numFmtId="0" fontId="25" fillId="0" borderId="21" xfId="0" applyFont="1" applyBorder="1" applyAlignment="1">
      <alignment vertical="center" wrapText="1"/>
    </xf>
    <xf numFmtId="0" fontId="25" fillId="0" borderId="22" xfId="0" applyFont="1" applyBorder="1" applyAlignment="1">
      <alignment vertical="center" wrapText="1"/>
    </xf>
    <xf numFmtId="0" fontId="25" fillId="6" borderId="42" xfId="0" applyFont="1" applyFill="1" applyBorder="1" applyAlignment="1">
      <alignment vertical="center" wrapText="1"/>
    </xf>
    <xf numFmtId="0" fontId="25" fillId="0" borderId="41" xfId="0" applyFont="1" applyBorder="1" applyAlignment="1">
      <alignment vertical="center" wrapText="1"/>
    </xf>
    <xf numFmtId="0" fontId="25" fillId="0" borderId="42" xfId="0" applyFont="1" applyBorder="1" applyAlignment="1">
      <alignment vertical="center" wrapText="1"/>
    </xf>
    <xf numFmtId="0" fontId="11" fillId="6" borderId="24" xfId="0" applyFont="1" applyFill="1" applyBorder="1" applyAlignment="1">
      <alignment vertical="center" wrapText="1"/>
    </xf>
    <xf numFmtId="0" fontId="11" fillId="6" borderId="25" xfId="0" applyFont="1" applyFill="1" applyBorder="1" applyAlignment="1">
      <alignment vertical="center" wrapText="1"/>
    </xf>
    <xf numFmtId="0" fontId="25" fillId="0" borderId="38" xfId="0" applyFont="1" applyBorder="1" applyAlignment="1">
      <alignment horizontal="left" vertical="center" wrapText="1"/>
    </xf>
    <xf numFmtId="0" fontId="25" fillId="6" borderId="58" xfId="0" applyFont="1" applyFill="1" applyBorder="1" applyAlignment="1">
      <alignment horizontal="left" vertical="center" wrapText="1"/>
    </xf>
    <xf numFmtId="0" fontId="25" fillId="0" borderId="58" xfId="0" applyFont="1" applyBorder="1" applyAlignment="1">
      <alignment horizontal="left" vertical="center" wrapText="1"/>
    </xf>
    <xf numFmtId="0" fontId="11" fillId="6" borderId="60" xfId="0" applyFont="1" applyFill="1" applyBorder="1" applyAlignment="1">
      <alignment horizontal="left" vertical="center" wrapText="1"/>
    </xf>
    <xf numFmtId="0" fontId="25" fillId="0" borderId="33" xfId="0" applyFont="1" applyBorder="1" applyAlignment="1">
      <alignment vertical="center" wrapText="1"/>
    </xf>
    <xf numFmtId="0" fontId="25" fillId="6" borderId="44" xfId="0" applyFont="1" applyFill="1" applyBorder="1" applyAlignment="1">
      <alignment vertical="center" wrapText="1"/>
    </xf>
    <xf numFmtId="0" fontId="25" fillId="0" borderId="44" xfId="0" applyFont="1" applyBorder="1" applyAlignment="1">
      <alignment vertical="center" wrapText="1"/>
    </xf>
    <xf numFmtId="0" fontId="11" fillId="6" borderId="34" xfId="0" applyFont="1" applyFill="1" applyBorder="1" applyAlignment="1">
      <alignment vertical="center" wrapText="1"/>
    </xf>
    <xf numFmtId="0" fontId="5" fillId="0" borderId="0" xfId="0" applyFont="1" applyAlignment="1">
      <alignment vertical="center" wrapText="1"/>
    </xf>
    <xf numFmtId="0" fontId="11" fillId="4" borderId="105" xfId="0" applyFont="1" applyFill="1" applyBorder="1" applyAlignment="1">
      <alignment horizontal="center" vertical="center"/>
    </xf>
    <xf numFmtId="0" fontId="11" fillId="4" borderId="26" xfId="0" applyFont="1" applyFill="1" applyBorder="1" applyAlignment="1">
      <alignment horizontal="center" vertical="center"/>
    </xf>
    <xf numFmtId="0" fontId="11" fillId="4" borderId="37" xfId="0" applyFont="1" applyFill="1" applyBorder="1" applyAlignment="1">
      <alignment horizontal="center" vertical="center"/>
    </xf>
    <xf numFmtId="0" fontId="11" fillId="4" borderId="55" xfId="0" applyFont="1" applyFill="1" applyBorder="1" applyAlignment="1">
      <alignment horizontal="center" vertical="center" textRotation="90"/>
    </xf>
    <xf numFmtId="0" fontId="11" fillId="4" borderId="26" xfId="0" applyFont="1" applyFill="1" applyBorder="1" applyAlignment="1">
      <alignment horizontal="center" vertical="center" textRotation="90"/>
    </xf>
    <xf numFmtId="0" fontId="11" fillId="4" borderId="37" xfId="0" applyFont="1" applyFill="1" applyBorder="1" applyAlignment="1">
      <alignment horizontal="center" vertical="center" textRotation="90"/>
    </xf>
    <xf numFmtId="0" fontId="11" fillId="4" borderId="57" xfId="0" applyFont="1" applyFill="1" applyBorder="1" applyAlignment="1">
      <alignment horizontal="center" vertical="center" textRotation="90"/>
    </xf>
    <xf numFmtId="0" fontId="11" fillId="4" borderId="56" xfId="0" applyFont="1" applyFill="1" applyBorder="1" applyAlignment="1">
      <alignment horizontal="center" vertical="center" textRotation="90"/>
    </xf>
    <xf numFmtId="0" fontId="11" fillId="4" borderId="23" xfId="0" applyFont="1" applyFill="1" applyBorder="1" applyAlignment="1">
      <alignment horizontal="center" vertical="center" textRotation="90"/>
    </xf>
    <xf numFmtId="0" fontId="11" fillId="4" borderId="24" xfId="0" applyFont="1" applyFill="1" applyBorder="1" applyAlignment="1">
      <alignment horizontal="center" vertical="center" textRotation="90"/>
    </xf>
    <xf numFmtId="0" fontId="11" fillId="4" borderId="25" xfId="0" applyFont="1" applyFill="1" applyBorder="1" applyAlignment="1">
      <alignment horizontal="center" vertical="center" textRotation="90"/>
    </xf>
    <xf numFmtId="0" fontId="39" fillId="8" borderId="5" xfId="0" applyFont="1" applyFill="1" applyBorder="1" applyAlignment="1">
      <alignment vertical="center" wrapText="1"/>
    </xf>
    <xf numFmtId="0" fontId="39" fillId="6" borderId="40" xfId="0" applyFont="1" applyFill="1" applyBorder="1" applyAlignment="1" applyProtection="1">
      <alignment horizontal="left" vertical="center" wrapText="1"/>
      <protection locked="0"/>
    </xf>
    <xf numFmtId="0" fontId="39" fillId="6" borderId="42" xfId="0" applyFont="1" applyFill="1" applyBorder="1" applyAlignment="1" applyProtection="1">
      <alignment horizontal="right" vertical="center" wrapText="1"/>
      <protection locked="0"/>
    </xf>
    <xf numFmtId="0" fontId="39" fillId="8" borderId="1" xfId="0" applyFont="1" applyFill="1" applyBorder="1" applyAlignment="1">
      <alignment vertical="center" wrapText="1"/>
    </xf>
    <xf numFmtId="0" fontId="39" fillId="6" borderId="23" xfId="0" applyFont="1" applyFill="1" applyBorder="1" applyAlignment="1" applyProtection="1">
      <alignment horizontal="left" vertical="center" wrapText="1"/>
      <protection locked="0"/>
    </xf>
    <xf numFmtId="0" fontId="39" fillId="8" borderId="0" xfId="0" applyFont="1" applyFill="1" applyAlignment="1">
      <alignment vertical="center" wrapText="1"/>
    </xf>
    <xf numFmtId="0" fontId="39" fillId="6" borderId="4" xfId="0" applyFont="1" applyFill="1" applyBorder="1" applyAlignment="1" applyProtection="1">
      <alignment horizontal="center" vertical="center"/>
      <protection locked="0"/>
    </xf>
    <xf numFmtId="3" fontId="39" fillId="6" borderId="27" xfId="0" applyNumberFormat="1" applyFont="1" applyFill="1" applyBorder="1" applyAlignment="1" applyProtection="1">
      <alignment horizontal="right" vertical="center" wrapText="1"/>
      <protection locked="0"/>
    </xf>
    <xf numFmtId="168" fontId="39" fillId="0" borderId="28" xfId="0" applyNumberFormat="1" applyFont="1" applyBorder="1" applyAlignment="1">
      <alignment horizontal="center" vertical="center" wrapText="1"/>
    </xf>
    <xf numFmtId="168" fontId="39" fillId="0" borderId="29" xfId="0" applyNumberFormat="1" applyFont="1" applyBorder="1" applyAlignment="1">
      <alignment horizontal="center" vertical="center" wrapText="1"/>
    </xf>
    <xf numFmtId="3" fontId="39" fillId="6" borderId="21" xfId="0" applyNumberFormat="1" applyFont="1" applyFill="1" applyBorder="1" applyAlignment="1" applyProtection="1">
      <alignment horizontal="right" vertical="center" wrapText="1"/>
      <protection locked="0"/>
    </xf>
    <xf numFmtId="168" fontId="39" fillId="0" borderId="21" xfId="0" applyNumberFormat="1" applyFont="1" applyBorder="1" applyAlignment="1">
      <alignment horizontal="center" vertical="center" wrapText="1"/>
    </xf>
    <xf numFmtId="168" fontId="39" fillId="0" borderId="22" xfId="0" applyNumberFormat="1" applyFont="1" applyBorder="1" applyAlignment="1">
      <alignment horizontal="center" vertical="center" wrapText="1"/>
    </xf>
    <xf numFmtId="3" fontId="39" fillId="0" borderId="4" xfId="0" applyNumberFormat="1" applyFont="1" applyBorder="1" applyAlignment="1">
      <alignment horizontal="right" vertical="center" wrapText="1" indent="1"/>
    </xf>
    <xf numFmtId="3" fontId="39" fillId="0" borderId="4" xfId="0" applyNumberFormat="1" applyFont="1" applyBorder="1" applyAlignment="1">
      <alignment horizontal="right" vertical="center" wrapText="1"/>
    </xf>
    <xf numFmtId="168" fontId="39" fillId="0" borderId="4" xfId="0" applyNumberFormat="1" applyFont="1" applyBorder="1" applyAlignment="1">
      <alignment horizontal="center" vertical="center" wrapText="1"/>
    </xf>
    <xf numFmtId="3" fontId="39" fillId="0" borderId="4" xfId="0" applyNumberFormat="1" applyFont="1" applyBorder="1" applyAlignment="1">
      <alignment vertical="center" wrapText="1"/>
    </xf>
    <xf numFmtId="0" fontId="39" fillId="0" borderId="41" xfId="0" applyFont="1" applyBorder="1" applyAlignment="1">
      <alignment horizontal="right" vertical="center" wrapText="1"/>
    </xf>
    <xf numFmtId="3" fontId="39" fillId="5" borderId="21" xfId="0" applyNumberFormat="1" applyFont="1" applyFill="1" applyBorder="1" applyAlignment="1">
      <alignment horizontal="left" vertical="center" wrapText="1" indent="1"/>
    </xf>
    <xf numFmtId="3" fontId="39" fillId="5" borderId="41" xfId="0" applyNumberFormat="1" applyFont="1" applyFill="1" applyBorder="1" applyAlignment="1">
      <alignment horizontal="left" vertical="center" wrapText="1" indent="1"/>
    </xf>
    <xf numFmtId="3" fontId="39" fillId="5" borderId="24" xfId="0" applyNumberFormat="1" applyFont="1" applyFill="1" applyBorder="1" applyAlignment="1">
      <alignment horizontal="left" vertical="center" wrapText="1" indent="1"/>
    </xf>
    <xf numFmtId="3" fontId="39" fillId="5" borderId="28" xfId="0" applyNumberFormat="1" applyFont="1" applyFill="1" applyBorder="1" applyAlignment="1">
      <alignment horizontal="left" vertical="center" wrapText="1" indent="1"/>
    </xf>
    <xf numFmtId="0" fontId="39" fillId="0" borderId="41" xfId="0" applyFont="1" applyBorder="1" applyAlignment="1">
      <alignment horizontal="left" vertical="center" wrapText="1"/>
    </xf>
    <xf numFmtId="0" fontId="39" fillId="0" borderId="0" xfId="0" applyFont="1" applyAlignment="1">
      <alignment vertical="center" wrapText="1"/>
    </xf>
    <xf numFmtId="0" fontId="19" fillId="0" borderId="0" xfId="0" applyFont="1" applyAlignment="1">
      <alignment horizontal="left"/>
    </xf>
    <xf numFmtId="0" fontId="19" fillId="0" borderId="0" xfId="0" applyFont="1" applyAlignment="1">
      <alignment horizontal="right"/>
    </xf>
    <xf numFmtId="0" fontId="19" fillId="0" borderId="0" xfId="0" applyFont="1"/>
    <xf numFmtId="0" fontId="39" fillId="0" borderId="0" xfId="0" applyFont="1" applyAlignment="1">
      <alignment horizontal="left" vertical="center" wrapText="1"/>
    </xf>
    <xf numFmtId="0" fontId="39" fillId="0" borderId="0" xfId="0" applyFont="1" applyAlignment="1">
      <alignment horizontal="right" vertical="center" wrapText="1"/>
    </xf>
    <xf numFmtId="2" fontId="39" fillId="6" borderId="42" xfId="0" applyNumberFormat="1" applyFont="1" applyFill="1" applyBorder="1" applyAlignment="1" applyProtection="1">
      <alignment horizontal="center" vertical="center" wrapText="1"/>
      <protection locked="0"/>
    </xf>
    <xf numFmtId="0" fontId="39" fillId="6" borderId="40" xfId="0" applyFont="1" applyFill="1" applyBorder="1" applyAlignment="1" applyProtection="1">
      <alignment horizontal="center" vertical="center" wrapText="1"/>
      <protection locked="0"/>
    </xf>
    <xf numFmtId="0" fontId="5" fillId="7" borderId="0" xfId="0" applyFont="1" applyFill="1" applyAlignment="1">
      <alignment vertical="center" wrapText="1"/>
    </xf>
    <xf numFmtId="0" fontId="5" fillId="7" borderId="0" xfId="0" applyFont="1" applyFill="1" applyAlignment="1">
      <alignment horizontal="center" vertical="center" wrapText="1"/>
    </xf>
    <xf numFmtId="0" fontId="5" fillId="0" borderId="0" xfId="0" applyFont="1" applyAlignment="1">
      <alignment horizontal="center" vertical="center" wrapText="1"/>
    </xf>
    <xf numFmtId="0" fontId="5" fillId="0" borderId="0" xfId="0" applyFont="1"/>
    <xf numFmtId="0" fontId="5" fillId="0" borderId="0" xfId="0" applyFont="1" applyAlignment="1">
      <alignment vertical="center"/>
    </xf>
    <xf numFmtId="0" fontId="5" fillId="0" borderId="0" xfId="0" applyFont="1" applyAlignment="1">
      <alignment horizontal="left" vertical="center"/>
    </xf>
    <xf numFmtId="0" fontId="39" fillId="0" borderId="4" xfId="0" applyFont="1" applyBorder="1" applyAlignment="1">
      <alignment horizontal="left" vertical="center" wrapText="1" indent="1"/>
    </xf>
    <xf numFmtId="0" fontId="25" fillId="0" borderId="20" xfId="0" applyFont="1" applyBorder="1" applyAlignment="1">
      <alignment vertical="center"/>
    </xf>
    <xf numFmtId="2" fontId="25" fillId="0" borderId="21" xfId="0" applyNumberFormat="1" applyFont="1" applyBorder="1" applyAlignment="1">
      <alignment vertical="center"/>
    </xf>
    <xf numFmtId="2" fontId="25" fillId="0" borderId="30" xfId="0" applyNumberFormat="1" applyFont="1" applyBorder="1" applyAlignment="1">
      <alignment vertical="center"/>
    </xf>
    <xf numFmtId="2" fontId="25" fillId="0" borderId="0" xfId="0" applyNumberFormat="1" applyFont="1" applyAlignment="1">
      <alignment vertical="center"/>
    </xf>
    <xf numFmtId="0" fontId="39" fillId="0" borderId="22" xfId="0" applyFont="1" applyBorder="1" applyAlignment="1">
      <alignment vertical="center"/>
    </xf>
    <xf numFmtId="0" fontId="39" fillId="0" borderId="0" xfId="0" applyFont="1" applyAlignment="1">
      <alignment vertical="center"/>
    </xf>
    <xf numFmtId="0" fontId="25" fillId="0" borderId="40" xfId="0" applyFont="1" applyBorder="1" applyAlignment="1">
      <alignment vertical="center"/>
    </xf>
    <xf numFmtId="2" fontId="25" fillId="0" borderId="41" xfId="0" applyNumberFormat="1" applyFont="1" applyBorder="1" applyAlignment="1">
      <alignment vertical="center"/>
    </xf>
    <xf numFmtId="2" fontId="25" fillId="0" borderId="43" xfId="0" applyNumberFormat="1" applyFont="1" applyBorder="1" applyAlignment="1">
      <alignment vertical="center"/>
    </xf>
    <xf numFmtId="0" fontId="39" fillId="0" borderId="40" xfId="0" applyFont="1" applyBorder="1" applyAlignment="1">
      <alignment vertical="center"/>
    </xf>
    <xf numFmtId="0" fontId="39" fillId="0" borderId="41" xfId="0" applyFont="1" applyBorder="1" applyAlignment="1">
      <alignment vertical="center"/>
    </xf>
    <xf numFmtId="2" fontId="39" fillId="0" borderId="41" xfId="0" applyNumberFormat="1" applyFont="1" applyBorder="1" applyAlignment="1">
      <alignment vertical="center"/>
    </xf>
    <xf numFmtId="0" fontId="39" fillId="0" borderId="42" xfId="0" applyFont="1" applyBorder="1" applyAlignment="1">
      <alignment vertical="center"/>
    </xf>
    <xf numFmtId="0" fontId="39" fillId="0" borderId="23" xfId="0" applyFont="1" applyBorder="1" applyAlignment="1">
      <alignment vertical="center"/>
    </xf>
    <xf numFmtId="0" fontId="39" fillId="0" borderId="24" xfId="0" applyFont="1" applyBorder="1" applyAlignment="1">
      <alignment vertical="center"/>
    </xf>
    <xf numFmtId="2" fontId="39" fillId="0" borderId="24" xfId="0" applyNumberFormat="1" applyFont="1" applyBorder="1" applyAlignment="1">
      <alignment vertical="center"/>
    </xf>
    <xf numFmtId="0" fontId="39" fillId="0" borderId="25" xfId="0" applyFont="1" applyBorder="1" applyAlignment="1">
      <alignment vertical="center"/>
    </xf>
    <xf numFmtId="0" fontId="25" fillId="0" borderId="40" xfId="0" applyFont="1" applyBorder="1" applyAlignment="1">
      <alignment horizontal="left" vertical="center"/>
    </xf>
    <xf numFmtId="0" fontId="25" fillId="0" borderId="23" xfId="0" applyFont="1" applyBorder="1" applyAlignment="1">
      <alignment vertical="center"/>
    </xf>
    <xf numFmtId="2" fontId="25" fillId="0" borderId="24" xfId="0" applyNumberFormat="1" applyFont="1" applyBorder="1" applyAlignment="1">
      <alignment vertical="center"/>
    </xf>
    <xf numFmtId="2" fontId="25" fillId="0" borderId="31" xfId="0" applyNumberFormat="1" applyFont="1" applyBorder="1" applyAlignment="1">
      <alignment vertical="center"/>
    </xf>
    <xf numFmtId="0" fontId="25" fillId="0" borderId="0" xfId="0" applyFont="1" applyAlignment="1">
      <alignment vertical="center"/>
    </xf>
    <xf numFmtId="0" fontId="39" fillId="0" borderId="20" xfId="0" applyFont="1" applyBorder="1" applyAlignment="1">
      <alignment vertical="center"/>
    </xf>
    <xf numFmtId="0" fontId="39" fillId="0" borderId="21" xfId="0" applyFont="1" applyBorder="1" applyAlignment="1">
      <alignment horizontal="left" vertical="center" wrapText="1"/>
    </xf>
    <xf numFmtId="0" fontId="39" fillId="0" borderId="41" xfId="0" applyFont="1" applyBorder="1" applyAlignment="1">
      <alignment horizontal="left" vertical="center"/>
    </xf>
    <xf numFmtId="0" fontId="39" fillId="0" borderId="24" xfId="0" applyFont="1" applyBorder="1" applyAlignment="1">
      <alignment horizontal="left" vertical="center"/>
    </xf>
    <xf numFmtId="0" fontId="11" fillId="4" borderId="20" xfId="0" applyFont="1" applyFill="1" applyBorder="1" applyAlignment="1">
      <alignment horizontal="center" vertical="center" wrapText="1"/>
    </xf>
    <xf numFmtId="0" fontId="11" fillId="4" borderId="21" xfId="0" applyFont="1" applyFill="1" applyBorder="1" applyAlignment="1">
      <alignment horizontal="center" vertical="center" wrapText="1"/>
    </xf>
    <xf numFmtId="0" fontId="11" fillId="4" borderId="22" xfId="0" applyFont="1" applyFill="1" applyBorder="1" applyAlignment="1">
      <alignment horizontal="center" vertical="center" wrapText="1"/>
    </xf>
    <xf numFmtId="0" fontId="11" fillId="4" borderId="30" xfId="0" applyFont="1" applyFill="1" applyBorder="1" applyAlignment="1">
      <alignment horizontal="center" vertical="center" wrapText="1"/>
    </xf>
    <xf numFmtId="0" fontId="67" fillId="0" borderId="0" xfId="18" applyFont="1" applyAlignment="1">
      <alignment vertical="center"/>
    </xf>
    <xf numFmtId="0" fontId="66" fillId="0" borderId="0" xfId="18" applyAlignment="1">
      <alignment horizontal="left" vertical="center" wrapText="1"/>
    </xf>
    <xf numFmtId="3" fontId="67" fillId="0" borderId="0" xfId="18" applyNumberFormat="1" applyFont="1" applyAlignment="1">
      <alignment horizontal="left" vertical="center" wrapText="1"/>
    </xf>
    <xf numFmtId="0" fontId="18" fillId="0" borderId="0" xfId="0" applyFont="1"/>
    <xf numFmtId="0" fontId="11" fillId="0" borderId="0" xfId="0" applyFont="1" applyAlignment="1">
      <alignment vertical="center"/>
    </xf>
    <xf numFmtId="0" fontId="11" fillId="0" borderId="0" xfId="0" applyFont="1" applyAlignment="1">
      <alignment horizontal="left"/>
    </xf>
    <xf numFmtId="0" fontId="4" fillId="0" borderId="0" xfId="0" applyFont="1"/>
    <xf numFmtId="3" fontId="25" fillId="6" borderId="42" xfId="0" applyNumberFormat="1" applyFont="1" applyFill="1" applyBorder="1" applyAlignment="1" applyProtection="1">
      <alignment horizontal="right" vertical="center" wrapText="1"/>
      <protection locked="0"/>
    </xf>
    <xf numFmtId="3" fontId="25" fillId="0" borderId="4" xfId="0" applyNumberFormat="1" applyFont="1" applyBorder="1" applyAlignment="1">
      <alignment horizontal="right" vertical="center" wrapText="1"/>
    </xf>
    <xf numFmtId="2" fontId="39" fillId="6" borderId="40" xfId="0" applyNumberFormat="1" applyFont="1" applyFill="1" applyBorder="1" applyAlignment="1" applyProtection="1">
      <alignment horizontal="right" vertical="center" wrapText="1"/>
      <protection locked="0"/>
    </xf>
    <xf numFmtId="2" fontId="39" fillId="0" borderId="43" xfId="0" applyNumberFormat="1" applyFont="1" applyBorder="1" applyAlignment="1">
      <alignment vertical="center"/>
    </xf>
    <xf numFmtId="2" fontId="39" fillId="0" borderId="31" xfId="0" applyNumberFormat="1" applyFont="1" applyBorder="1" applyAlignment="1">
      <alignment vertical="center"/>
    </xf>
    <xf numFmtId="2" fontId="39" fillId="0" borderId="42" xfId="0" applyNumberFormat="1" applyFont="1" applyBorder="1" applyAlignment="1">
      <alignment vertical="center"/>
    </xf>
    <xf numFmtId="2" fontId="39" fillId="0" borderId="25" xfId="0" applyNumberFormat="1" applyFont="1" applyBorder="1" applyAlignment="1">
      <alignment vertical="center"/>
    </xf>
    <xf numFmtId="0" fontId="4" fillId="0" borderId="0" xfId="0" applyFont="1" applyAlignment="1">
      <alignment horizontal="center" vertical="center"/>
    </xf>
    <xf numFmtId="0" fontId="39" fillId="0" borderId="0" xfId="0" applyFont="1"/>
    <xf numFmtId="0" fontId="70" fillId="0" borderId="0" xfId="0" applyFont="1" applyAlignment="1">
      <alignment vertical="top" wrapText="1"/>
    </xf>
    <xf numFmtId="0" fontId="39" fillId="5" borderId="0" xfId="0" applyFont="1" applyFill="1" applyAlignment="1">
      <alignment horizontal="left" vertical="top" wrapText="1"/>
    </xf>
    <xf numFmtId="0" fontId="70" fillId="0" borderId="0" xfId="0" applyFont="1" applyAlignment="1">
      <alignment horizontal="left" vertical="top"/>
    </xf>
    <xf numFmtId="0" fontId="39" fillId="0" borderId="0" xfId="0" applyFont="1" applyAlignment="1">
      <alignment horizontal="center" wrapText="1"/>
    </xf>
    <xf numFmtId="0" fontId="39" fillId="0" borderId="0" xfId="0" applyFont="1" applyAlignment="1">
      <alignment horizontal="center" vertical="center"/>
    </xf>
    <xf numFmtId="0" fontId="39" fillId="0" borderId="4" xfId="0" applyFont="1" applyBorder="1" applyAlignment="1">
      <alignment horizontal="left" vertical="center" indent="1"/>
    </xf>
    <xf numFmtId="0" fontId="39" fillId="6" borderId="42" xfId="0" applyFont="1" applyFill="1" applyBorder="1" applyAlignment="1" applyProtection="1">
      <alignment horizontal="center" vertical="center" wrapText="1"/>
      <protection locked="0"/>
    </xf>
    <xf numFmtId="4" fontId="39" fillId="6" borderId="41" xfId="0" applyNumberFormat="1" applyFont="1" applyFill="1" applyBorder="1" applyAlignment="1" applyProtection="1">
      <alignment horizontal="right" vertical="center" wrapText="1"/>
      <protection locked="0"/>
    </xf>
    <xf numFmtId="0" fontId="39" fillId="8" borderId="18" xfId="0" applyFont="1" applyFill="1" applyBorder="1" applyAlignment="1">
      <alignment vertical="center" wrapText="1"/>
    </xf>
    <xf numFmtId="0" fontId="39" fillId="6" borderId="40" xfId="0" applyFont="1" applyFill="1" applyBorder="1" applyAlignment="1" applyProtection="1">
      <alignment horizontal="right" vertical="center" wrapText="1"/>
      <protection locked="0"/>
    </xf>
    <xf numFmtId="1" fontId="39" fillId="6" borderId="41" xfId="0" applyNumberFormat="1" applyFont="1" applyFill="1" applyBorder="1" applyAlignment="1" applyProtection="1">
      <alignment horizontal="right" vertical="center" wrapText="1"/>
      <protection locked="0"/>
    </xf>
    <xf numFmtId="0" fontId="39" fillId="6" borderId="41" xfId="0" applyFont="1" applyFill="1" applyBorder="1" applyAlignment="1" applyProtection="1">
      <alignment horizontal="right" vertical="center" wrapText="1"/>
      <protection locked="0"/>
    </xf>
    <xf numFmtId="0" fontId="39" fillId="6" borderId="68" xfId="0" applyFont="1" applyFill="1" applyBorder="1" applyAlignment="1" applyProtection="1">
      <alignment horizontal="left" vertical="center" wrapText="1"/>
      <protection locked="0"/>
    </xf>
    <xf numFmtId="0" fontId="39" fillId="6" borderId="69" xfId="0" applyFont="1" applyFill="1" applyBorder="1" applyAlignment="1" applyProtection="1">
      <alignment horizontal="left" vertical="center" wrapText="1"/>
      <protection locked="0"/>
    </xf>
    <xf numFmtId="0" fontId="39" fillId="6" borderId="70" xfId="0" applyFont="1" applyFill="1" applyBorder="1" applyAlignment="1" applyProtection="1">
      <alignment horizontal="left" vertical="center" wrapText="1"/>
      <protection locked="0"/>
    </xf>
    <xf numFmtId="0" fontId="39" fillId="6" borderId="50" xfId="0" applyFont="1" applyFill="1" applyBorder="1" applyAlignment="1" applyProtection="1">
      <alignment vertical="center" wrapText="1"/>
      <protection locked="0"/>
    </xf>
    <xf numFmtId="0" fontId="39" fillId="6" borderId="51" xfId="0" applyFont="1" applyFill="1" applyBorder="1" applyAlignment="1" applyProtection="1">
      <alignment vertical="center" wrapText="1"/>
      <protection locked="0"/>
    </xf>
    <xf numFmtId="0" fontId="39" fillId="6" borderId="107" xfId="0" applyFont="1" applyFill="1" applyBorder="1" applyAlignment="1" applyProtection="1">
      <alignment vertical="center" wrapText="1"/>
      <protection locked="0"/>
    </xf>
    <xf numFmtId="0" fontId="24" fillId="8" borderId="6" xfId="0" applyFont="1" applyFill="1" applyBorder="1" applyAlignment="1">
      <alignment horizontal="center" vertical="center"/>
    </xf>
    <xf numFmtId="0" fontId="24" fillId="8" borderId="6" xfId="0" applyFont="1" applyFill="1" applyBorder="1" applyAlignment="1">
      <alignment horizontal="center" vertical="center" wrapText="1"/>
    </xf>
    <xf numFmtId="0" fontId="24" fillId="8" borderId="4" xfId="0" applyFont="1" applyFill="1" applyBorder="1" applyAlignment="1">
      <alignment horizontal="center" vertical="center" wrapText="1"/>
    </xf>
    <xf numFmtId="0" fontId="10" fillId="8" borderId="5" xfId="0" applyFont="1" applyFill="1" applyBorder="1" applyAlignment="1">
      <alignment horizontal="left" vertical="center" wrapText="1" indent="1"/>
    </xf>
    <xf numFmtId="0" fontId="39" fillId="8" borderId="5" xfId="0" applyFont="1" applyFill="1" applyBorder="1" applyAlignment="1">
      <alignment horizontal="left" vertical="center" wrapText="1" indent="1"/>
    </xf>
    <xf numFmtId="0" fontId="10" fillId="8" borderId="5" xfId="0" applyFont="1" applyFill="1" applyBorder="1" applyAlignment="1">
      <alignment horizontal="left" vertical="center" wrapText="1"/>
    </xf>
    <xf numFmtId="0" fontId="39" fillId="8" borderId="5" xfId="0" applyFont="1" applyFill="1" applyBorder="1" applyAlignment="1">
      <alignment horizontal="left" vertical="center" wrapText="1"/>
    </xf>
    <xf numFmtId="0" fontId="10" fillId="8" borderId="45" xfId="0" applyFont="1" applyFill="1" applyBorder="1" applyAlignment="1">
      <alignment horizontal="left" vertical="center" wrapText="1"/>
    </xf>
    <xf numFmtId="0" fontId="39" fillId="8" borderId="45" xfId="0" applyFont="1" applyFill="1" applyBorder="1" applyAlignment="1">
      <alignment horizontal="left" vertical="center" wrapText="1"/>
    </xf>
    <xf numFmtId="0" fontId="10" fillId="0" borderId="71" xfId="0" applyFont="1" applyBorder="1" applyAlignment="1">
      <alignment horizontal="left" vertical="center" wrapText="1" indent="1"/>
    </xf>
    <xf numFmtId="0" fontId="10" fillId="0" borderId="66" xfId="0" applyFont="1" applyBorder="1" applyAlignment="1">
      <alignment horizontal="left" vertical="center" wrapText="1" indent="1"/>
    </xf>
    <xf numFmtId="0" fontId="10" fillId="0" borderId="67" xfId="0" applyFont="1" applyBorder="1" applyAlignment="1">
      <alignment horizontal="left" vertical="center" wrapText="1" indent="1"/>
    </xf>
    <xf numFmtId="0" fontId="11" fillId="0" borderId="0" xfId="0" applyFont="1" applyAlignment="1">
      <alignment horizontal="left" vertical="center"/>
    </xf>
    <xf numFmtId="0" fontId="10" fillId="0" borderId="0" xfId="0" applyFont="1" applyAlignment="1">
      <alignment horizontal="left" vertical="center"/>
    </xf>
    <xf numFmtId="0" fontId="4" fillId="0" borderId="66" xfId="0" applyFont="1" applyBorder="1" applyAlignment="1">
      <alignment horizontal="left" vertical="center" wrapText="1" indent="1"/>
    </xf>
    <xf numFmtId="0" fontId="4" fillId="0" borderId="67" xfId="0" applyFont="1" applyBorder="1" applyAlignment="1">
      <alignment horizontal="left" vertical="center" wrapText="1" indent="1"/>
    </xf>
    <xf numFmtId="0" fontId="10" fillId="5" borderId="71" xfId="0" applyFont="1" applyFill="1" applyBorder="1" applyAlignment="1">
      <alignment horizontal="left" vertical="center" wrapText="1" indent="1"/>
    </xf>
    <xf numFmtId="0" fontId="10" fillId="5" borderId="66" xfId="0" applyFont="1" applyFill="1" applyBorder="1" applyAlignment="1">
      <alignment horizontal="left" vertical="center" wrapText="1" indent="1"/>
    </xf>
    <xf numFmtId="0" fontId="10" fillId="5" borderId="67" xfId="0" applyFont="1" applyFill="1" applyBorder="1" applyAlignment="1">
      <alignment horizontal="left" vertical="center" wrapText="1" indent="1"/>
    </xf>
    <xf numFmtId="0" fontId="39" fillId="6" borderId="51" xfId="0" applyFont="1" applyFill="1" applyBorder="1" applyAlignment="1" applyProtection="1">
      <alignment horizontal="center" vertical="center" wrapText="1"/>
      <protection locked="0"/>
    </xf>
    <xf numFmtId="0" fontId="4" fillId="0" borderId="0" xfId="0" applyFont="1" applyAlignment="1">
      <alignment vertical="center" wrapText="1"/>
    </xf>
    <xf numFmtId="0" fontId="34" fillId="4" borderId="6" xfId="0" applyFont="1" applyFill="1" applyBorder="1" applyAlignment="1">
      <alignment horizontal="center" vertical="center" wrapText="1"/>
    </xf>
    <xf numFmtId="0" fontId="28" fillId="0" borderId="4" xfId="0" applyFont="1" applyBorder="1" applyAlignment="1">
      <alignment vertical="center"/>
    </xf>
    <xf numFmtId="0" fontId="4" fillId="4" borderId="6" xfId="0" applyFont="1" applyFill="1" applyBorder="1" applyAlignment="1">
      <alignment horizontal="left" vertical="center" wrapText="1" indent="1"/>
    </xf>
    <xf numFmtId="0" fontId="10" fillId="4" borderId="6" xfId="0" applyFont="1" applyFill="1" applyBorder="1" applyAlignment="1">
      <alignment horizontal="left" vertical="center" wrapText="1" indent="1"/>
    </xf>
    <xf numFmtId="0" fontId="4" fillId="8" borderId="25" xfId="0" applyFont="1" applyFill="1" applyBorder="1" applyAlignment="1">
      <alignment horizontal="center" vertical="center" wrapText="1"/>
    </xf>
    <xf numFmtId="0" fontId="39" fillId="0" borderId="50" xfId="0" applyFont="1" applyBorder="1" applyAlignment="1">
      <alignment horizontal="left" vertical="top" wrapText="1"/>
    </xf>
    <xf numFmtId="0" fontId="39" fillId="0" borderId="20" xfId="0" applyFont="1" applyBorder="1" applyAlignment="1">
      <alignment horizontal="left" vertical="top" wrapText="1"/>
    </xf>
    <xf numFmtId="0" fontId="39" fillId="0" borderId="22" xfId="0" applyFont="1" applyBorder="1" applyAlignment="1">
      <alignment horizontal="left" vertical="top" wrapText="1"/>
    </xf>
    <xf numFmtId="0" fontId="39" fillId="0" borderId="51" xfId="0" applyFont="1" applyBorder="1" applyAlignment="1">
      <alignment horizontal="left" vertical="top" wrapText="1"/>
    </xf>
    <xf numFmtId="0" fontId="39" fillId="0" borderId="51" xfId="0" applyFont="1" applyBorder="1" applyAlignment="1">
      <alignment horizontal="left" vertical="top"/>
    </xf>
    <xf numFmtId="0" fontId="39" fillId="0" borderId="40" xfId="0" applyFont="1" applyBorder="1" applyAlignment="1">
      <alignment horizontal="left" vertical="top" wrapText="1"/>
    </xf>
    <xf numFmtId="0" fontId="39" fillId="0" borderId="42" xfId="0" applyFont="1" applyBorder="1" applyAlignment="1">
      <alignment horizontal="left" vertical="top" wrapText="1"/>
    </xf>
    <xf numFmtId="0" fontId="39" fillId="0" borderId="40" xfId="0" applyFont="1" applyBorder="1" applyAlignment="1">
      <alignment horizontal="right" vertical="center"/>
    </xf>
    <xf numFmtId="0" fontId="39" fillId="0" borderId="107" xfId="0" applyFont="1" applyBorder="1" applyAlignment="1">
      <alignment horizontal="left" vertical="top" wrapText="1"/>
    </xf>
    <xf numFmtId="0" fontId="39" fillId="0" borderId="107" xfId="0" applyFont="1" applyBorder="1" applyAlignment="1">
      <alignment horizontal="left" vertical="top"/>
    </xf>
    <xf numFmtId="0" fontId="4" fillId="8" borderId="23" xfId="0" applyFont="1" applyFill="1" applyBorder="1" applyAlignment="1">
      <alignment horizontal="center" vertical="center" wrapText="1"/>
    </xf>
    <xf numFmtId="0" fontId="39" fillId="0" borderId="33" xfId="0" applyFont="1" applyBorder="1" applyAlignment="1">
      <alignment vertical="center"/>
    </xf>
    <xf numFmtId="0" fontId="39" fillId="0" borderId="44" xfId="0" applyFont="1" applyBorder="1" applyAlignment="1">
      <alignment vertical="center"/>
    </xf>
    <xf numFmtId="0" fontId="39" fillId="0" borderId="34" xfId="0" applyFont="1" applyBorder="1" applyAlignment="1">
      <alignment vertical="center"/>
    </xf>
    <xf numFmtId="0" fontId="39" fillId="0" borderId="30" xfId="0" applyFont="1" applyBorder="1" applyAlignment="1">
      <alignment vertical="center"/>
    </xf>
    <xf numFmtId="0" fontId="39" fillId="0" borderId="43" xfId="0" applyFont="1" applyBorder="1" applyAlignment="1">
      <alignment vertical="center"/>
    </xf>
    <xf numFmtId="0" fontId="39" fillId="0" borderId="31" xfId="0" applyFont="1" applyBorder="1" applyAlignment="1">
      <alignment vertical="center"/>
    </xf>
    <xf numFmtId="0" fontId="39" fillId="0" borderId="42" xfId="0" applyFont="1" applyBorder="1" applyAlignment="1">
      <alignment horizontal="right" vertical="center"/>
    </xf>
    <xf numFmtId="168" fontId="39" fillId="0" borderId="51" xfId="9" applyNumberFormat="1" applyFont="1" applyBorder="1" applyAlignment="1">
      <alignment horizontal="right" vertical="center"/>
    </xf>
    <xf numFmtId="0" fontId="39" fillId="0" borderId="106" xfId="0" applyFont="1" applyBorder="1" applyAlignment="1">
      <alignment horizontal="right" vertical="center"/>
    </xf>
    <xf numFmtId="168" fontId="39" fillId="0" borderId="106" xfId="9" applyNumberFormat="1" applyFont="1" applyBorder="1" applyAlignment="1">
      <alignment horizontal="right" vertical="center"/>
    </xf>
    <xf numFmtId="0" fontId="39" fillId="0" borderId="36" xfId="0" applyFont="1" applyBorder="1" applyAlignment="1">
      <alignment horizontal="right" vertical="center"/>
    </xf>
    <xf numFmtId="0" fontId="39" fillId="0" borderId="64" xfId="0" applyFont="1" applyBorder="1" applyAlignment="1">
      <alignment horizontal="right" vertical="center"/>
    </xf>
    <xf numFmtId="0" fontId="11" fillId="0" borderId="18" xfId="2" applyBorder="1" applyAlignment="1">
      <alignment horizontal="left" vertical="center"/>
    </xf>
    <xf numFmtId="0" fontId="10" fillId="0" borderId="50" xfId="0" applyFont="1" applyBorder="1" applyAlignment="1">
      <alignment horizontal="left" vertical="center" wrapText="1" indent="1"/>
    </xf>
    <xf numFmtId="0" fontId="10" fillId="0" borderId="51" xfId="0" applyFont="1" applyBorder="1" applyAlignment="1">
      <alignment horizontal="left" vertical="center" wrapText="1" indent="1"/>
    </xf>
    <xf numFmtId="0" fontId="4" fillId="0" borderId="51" xfId="0" applyFont="1" applyBorder="1" applyAlignment="1">
      <alignment horizontal="left" vertical="center" wrapText="1" indent="1"/>
    </xf>
    <xf numFmtId="0" fontId="10" fillId="0" borderId="107" xfId="0" applyFont="1" applyBorder="1" applyAlignment="1">
      <alignment horizontal="left" vertical="center" wrapText="1" indent="1"/>
    </xf>
    <xf numFmtId="0" fontId="39" fillId="0" borderId="55" xfId="0" applyFont="1" applyBorder="1" applyAlignment="1">
      <alignment horizontal="right" vertical="center"/>
    </xf>
    <xf numFmtId="0" fontId="39" fillId="0" borderId="37" xfId="0" applyFont="1" applyBorder="1" applyAlignment="1">
      <alignment horizontal="right" vertical="center"/>
    </xf>
    <xf numFmtId="168" fontId="39" fillId="0" borderId="52" xfId="9" applyNumberFormat="1" applyFont="1" applyBorder="1" applyAlignment="1">
      <alignment horizontal="right" vertical="center"/>
    </xf>
    <xf numFmtId="0" fontId="4" fillId="5" borderId="0" xfId="0" applyFont="1" applyFill="1" applyAlignment="1">
      <alignment horizontal="left" vertical="top" wrapText="1"/>
    </xf>
    <xf numFmtId="0" fontId="28" fillId="5" borderId="0" xfId="0" applyFont="1" applyFill="1"/>
    <xf numFmtId="0" fontId="28" fillId="5" borderId="0" xfId="0" applyFont="1" applyFill="1" applyAlignment="1">
      <alignment horizontal="left" vertical="center" wrapText="1" indent="1"/>
    </xf>
    <xf numFmtId="3" fontId="39" fillId="5" borderId="0" xfId="0" applyNumberFormat="1" applyFont="1" applyFill="1" applyAlignment="1">
      <alignment horizontal="right" vertical="center" wrapText="1"/>
    </xf>
    <xf numFmtId="0" fontId="11" fillId="5" borderId="0" xfId="0" applyFont="1" applyFill="1" applyAlignment="1">
      <alignment horizontal="center" vertical="center"/>
    </xf>
    <xf numFmtId="0" fontId="11" fillId="5" borderId="0" xfId="0" applyFont="1" applyFill="1"/>
    <xf numFmtId="0" fontId="11" fillId="4" borderId="56" xfId="0" applyFont="1" applyFill="1" applyBorder="1" applyAlignment="1">
      <alignment horizontal="center" vertical="center" wrapText="1"/>
    </xf>
    <xf numFmtId="0" fontId="25" fillId="0" borderId="36" xfId="0" applyFont="1" applyBorder="1" applyAlignment="1">
      <alignment vertical="center"/>
    </xf>
    <xf numFmtId="0" fontId="39" fillId="0" borderId="64" xfId="0" applyFont="1" applyBorder="1" applyAlignment="1">
      <alignment vertical="center"/>
    </xf>
    <xf numFmtId="0" fontId="39" fillId="0" borderId="63" xfId="0" applyFont="1" applyBorder="1" applyAlignment="1">
      <alignment vertical="center"/>
    </xf>
    <xf numFmtId="2" fontId="39" fillId="0" borderId="63" xfId="0" applyNumberFormat="1" applyFont="1" applyBorder="1" applyAlignment="1">
      <alignment vertical="center"/>
    </xf>
    <xf numFmtId="2" fontId="39" fillId="0" borderId="32" xfId="0" applyNumberFormat="1" applyFont="1" applyBorder="1" applyAlignment="1">
      <alignment vertical="center"/>
    </xf>
    <xf numFmtId="0" fontId="39" fillId="0" borderId="36" xfId="0" applyFont="1" applyBorder="1" applyAlignment="1">
      <alignment vertical="center"/>
    </xf>
    <xf numFmtId="2" fontId="39" fillId="0" borderId="64" xfId="0" applyNumberFormat="1" applyFont="1" applyBorder="1" applyAlignment="1">
      <alignment vertical="center"/>
    </xf>
    <xf numFmtId="0" fontId="28" fillId="0" borderId="0" xfId="0" applyFont="1" applyAlignment="1">
      <alignment vertical="top" wrapText="1"/>
    </xf>
    <xf numFmtId="0" fontId="0" fillId="0" borderId="0" xfId="0" applyAlignment="1">
      <alignment vertical="center" wrapText="1"/>
    </xf>
    <xf numFmtId="0" fontId="0" fillId="0" borderId="0" xfId="0" applyAlignment="1">
      <alignment horizontal="centerContinuous" vertical="top" wrapText="1"/>
    </xf>
    <xf numFmtId="0" fontId="17" fillId="3" borderId="4" xfId="14" applyFont="1" applyFill="1" applyBorder="1" applyAlignment="1">
      <alignment horizontal="center" vertical="center" wrapText="1"/>
    </xf>
    <xf numFmtId="0" fontId="16" fillId="0" borderId="3" xfId="14" applyFont="1" applyBorder="1" applyAlignment="1">
      <alignment horizontal="center" vertical="center" wrapText="1"/>
    </xf>
    <xf numFmtId="168" fontId="11" fillId="0" borderId="0" xfId="10" applyNumberFormat="1" applyFont="1" applyFill="1" applyBorder="1" applyAlignment="1">
      <alignment horizontal="center" vertical="center" wrapText="1"/>
    </xf>
    <xf numFmtId="9" fontId="0" fillId="0" borderId="0" xfId="10" applyFont="1"/>
    <xf numFmtId="9" fontId="11" fillId="0" borderId="0" xfId="13" applyNumberFormat="1"/>
    <xf numFmtId="168" fontId="11" fillId="42" borderId="0" xfId="10" applyNumberFormat="1" applyFont="1" applyFill="1"/>
    <xf numFmtId="168" fontId="11" fillId="0" borderId="0" xfId="13" applyNumberFormat="1"/>
    <xf numFmtId="0" fontId="39" fillId="6" borderId="41" xfId="0" applyFont="1" applyFill="1" applyBorder="1" applyAlignment="1" applyProtection="1">
      <alignment horizontal="left" vertical="center" wrapText="1"/>
      <protection locked="0"/>
    </xf>
    <xf numFmtId="0" fontId="11" fillId="0" borderId="0" xfId="2" applyAlignment="1">
      <alignment vertical="center"/>
    </xf>
    <xf numFmtId="190" fontId="11" fillId="0" borderId="0" xfId="13" applyNumberFormat="1"/>
    <xf numFmtId="0" fontId="39" fillId="6" borderId="42" xfId="0" applyFont="1" applyFill="1" applyBorder="1" applyAlignment="1" applyProtection="1">
      <alignment horizontal="left" vertical="center" wrapText="1"/>
      <protection locked="0"/>
    </xf>
    <xf numFmtId="0" fontId="11" fillId="0" borderId="28" xfId="0" applyFont="1" applyBorder="1" applyAlignment="1">
      <alignment horizontal="left" vertical="center" wrapText="1" indent="1"/>
    </xf>
    <xf numFmtId="0" fontId="4" fillId="8" borderId="20" xfId="0" applyFont="1" applyFill="1" applyBorder="1" applyAlignment="1">
      <alignment horizontal="center" vertical="center" wrapText="1"/>
    </xf>
    <xf numFmtId="0" fontId="63" fillId="0" borderId="4" xfId="0" applyFont="1" applyBorder="1" applyAlignment="1">
      <alignment horizontal="center" vertical="center"/>
    </xf>
    <xf numFmtId="0" fontId="39" fillId="0" borderId="20" xfId="0" applyFont="1" applyBorder="1" applyAlignment="1">
      <alignment horizontal="center" vertical="top" wrapText="1"/>
    </xf>
    <xf numFmtId="0" fontId="39" fillId="0" borderId="40" xfId="0" applyFont="1" applyBorder="1" applyAlignment="1">
      <alignment horizontal="center" vertical="top" wrapText="1"/>
    </xf>
    <xf numFmtId="0" fontId="4" fillId="0" borderId="0" xfId="0" applyFont="1" applyAlignment="1">
      <alignment vertical="center"/>
    </xf>
    <xf numFmtId="0" fontId="25" fillId="0" borderId="118" xfId="0" applyFont="1" applyBorder="1" applyAlignment="1">
      <alignment horizontal="left" vertical="center" wrapText="1"/>
    </xf>
    <xf numFmtId="0" fontId="63" fillId="0" borderId="5" xfId="0" applyFont="1" applyBorder="1" applyAlignment="1">
      <alignment horizontal="center" vertical="center"/>
    </xf>
    <xf numFmtId="0" fontId="10" fillId="0" borderId="48" xfId="0" applyFont="1" applyBorder="1" applyAlignment="1">
      <alignment horizontal="left" vertical="center" indent="1"/>
    </xf>
    <xf numFmtId="0" fontId="39" fillId="4" borderId="65" xfId="0" applyFont="1" applyFill="1" applyBorder="1" applyAlignment="1">
      <alignment vertical="center"/>
    </xf>
    <xf numFmtId="0" fontId="39" fillId="4" borderId="101" xfId="0" applyFont="1" applyFill="1" applyBorder="1" applyAlignment="1">
      <alignment vertical="center"/>
    </xf>
    <xf numFmtId="3" fontId="39" fillId="6" borderId="100" xfId="0" applyNumberFormat="1" applyFont="1" applyFill="1" applyBorder="1" applyAlignment="1" applyProtection="1">
      <alignment horizontal="right" vertical="center" wrapText="1"/>
      <protection locked="0"/>
    </xf>
    <xf numFmtId="0" fontId="63" fillId="0" borderId="6" xfId="0" applyFont="1" applyBorder="1" applyAlignment="1">
      <alignment horizontal="center" vertical="center"/>
    </xf>
    <xf numFmtId="172" fontId="39" fillId="5" borderId="28" xfId="0" applyNumberFormat="1" applyFont="1" applyFill="1" applyBorder="1" applyAlignment="1">
      <alignment horizontal="right" vertical="center" wrapText="1"/>
    </xf>
    <xf numFmtId="3" fontId="39" fillId="5" borderId="24" xfId="0" applyNumberFormat="1" applyFont="1" applyFill="1" applyBorder="1" applyAlignment="1" applyProtection="1">
      <alignment horizontal="right" vertical="center" wrapText="1"/>
      <protection locked="0"/>
    </xf>
    <xf numFmtId="178" fontId="39" fillId="0" borderId="106" xfId="1" applyNumberFormat="1" applyFont="1" applyBorder="1" applyAlignment="1">
      <alignment horizontal="right" vertical="center"/>
    </xf>
    <xf numFmtId="0" fontId="11" fillId="0" borderId="1" xfId="0" applyFont="1" applyBorder="1" applyAlignment="1">
      <alignment vertical="center"/>
    </xf>
    <xf numFmtId="0" fontId="8" fillId="0" borderId="0" xfId="0" applyFont="1" applyAlignment="1">
      <alignment horizontal="right" vertical="center" wrapText="1" indent="2"/>
    </xf>
    <xf numFmtId="0" fontId="8" fillId="0" borderId="0" xfId="0" applyFont="1" applyAlignment="1">
      <alignment horizontal="right" vertical="top"/>
    </xf>
    <xf numFmtId="2" fontId="25" fillId="0" borderId="42" xfId="0" applyNumberFormat="1" applyFont="1" applyBorder="1" applyAlignment="1">
      <alignment vertical="center" wrapText="1"/>
    </xf>
    <xf numFmtId="0" fontId="11" fillId="5" borderId="0" xfId="2" applyFill="1" applyAlignment="1">
      <alignment horizontal="left" vertical="center"/>
    </xf>
    <xf numFmtId="0" fontId="11" fillId="0" borderId="0" xfId="2" applyAlignment="1">
      <alignment horizontal="left" vertical="center"/>
    </xf>
    <xf numFmtId="0" fontId="11" fillId="9" borderId="0" xfId="2" applyFill="1" applyAlignment="1">
      <alignment horizontal="left" vertical="center"/>
    </xf>
    <xf numFmtId="0" fontId="11" fillId="9" borderId="0" xfId="2" applyFill="1" applyAlignment="1">
      <alignment vertical="center"/>
    </xf>
    <xf numFmtId="3" fontId="11" fillId="9" borderId="0" xfId="2" applyNumberFormat="1" applyFill="1" applyAlignment="1">
      <alignment horizontal="left" vertical="center" wrapText="1"/>
    </xf>
    <xf numFmtId="0" fontId="11" fillId="0" borderId="0" xfId="2" applyAlignment="1">
      <alignment horizontal="right" vertical="center"/>
    </xf>
    <xf numFmtId="0" fontId="11" fillId="9" borderId="0" xfId="2" applyFill="1" applyAlignment="1">
      <alignment horizontal="center" vertical="center" wrapText="1"/>
    </xf>
    <xf numFmtId="0" fontId="11" fillId="0" borderId="0" xfId="2" applyAlignment="1">
      <alignment horizontal="center" vertical="center" wrapText="1"/>
    </xf>
    <xf numFmtId="171" fontId="11" fillId="0" borderId="0" xfId="12" applyNumberFormat="1" applyFont="1" applyFill="1" applyBorder="1" applyAlignment="1">
      <alignment horizontal="right" vertical="top"/>
    </xf>
    <xf numFmtId="174" fontId="11" fillId="0" borderId="0" xfId="11" applyNumberFormat="1" applyFont="1" applyFill="1" applyBorder="1" applyAlignment="1">
      <alignment horizontal="right" vertical="top"/>
    </xf>
    <xf numFmtId="181" fontId="11" fillId="0" borderId="0" xfId="2" applyNumberFormat="1" applyAlignment="1">
      <alignment vertical="center"/>
    </xf>
    <xf numFmtId="165" fontId="11" fillId="5" borderId="0" xfId="2" applyNumberFormat="1" applyFill="1" applyAlignment="1">
      <alignment horizontal="center" vertical="center" wrapText="1"/>
    </xf>
    <xf numFmtId="168" fontId="11" fillId="9" borderId="0" xfId="10" applyNumberFormat="1" applyFont="1" applyFill="1" applyBorder="1" applyAlignment="1">
      <alignment vertical="center" wrapText="1"/>
    </xf>
    <xf numFmtId="175" fontId="11" fillId="0" borderId="0" xfId="12" applyNumberFormat="1" applyFont="1" applyFill="1" applyBorder="1" applyAlignment="1">
      <alignment horizontal="right" vertical="top"/>
    </xf>
    <xf numFmtId="188" fontId="11" fillId="5" borderId="0" xfId="2" applyNumberFormat="1" applyFill="1" applyAlignment="1">
      <alignment horizontal="center" vertical="center" wrapText="1"/>
    </xf>
    <xf numFmtId="167" fontId="11" fillId="5" borderId="0" xfId="12" applyFont="1" applyFill="1" applyBorder="1" applyAlignment="1">
      <alignment horizontal="right" vertical="top"/>
    </xf>
    <xf numFmtId="166" fontId="11" fillId="5" borderId="0" xfId="11" applyFont="1" applyFill="1" applyBorder="1" applyAlignment="1">
      <alignment horizontal="center" vertical="center" wrapText="1"/>
    </xf>
    <xf numFmtId="49" fontId="11" fillId="5" borderId="0" xfId="2" applyNumberFormat="1" applyFill="1" applyAlignment="1">
      <alignment horizontal="left" vertical="center"/>
    </xf>
    <xf numFmtId="49" fontId="24" fillId="0" borderId="0" xfId="2" applyNumberFormat="1" applyFont="1" applyAlignment="1">
      <alignment horizontal="left" vertical="center"/>
    </xf>
    <xf numFmtId="0" fontId="11" fillId="0" borderId="0" xfId="2" applyAlignment="1">
      <alignment horizontal="left" vertical="center" wrapText="1"/>
    </xf>
    <xf numFmtId="0" fontId="24" fillId="9" borderId="0" xfId="2" applyFont="1" applyFill="1" applyAlignment="1">
      <alignment vertical="center"/>
    </xf>
    <xf numFmtId="177" fontId="11" fillId="0" borderId="0" xfId="2" applyNumberFormat="1" applyAlignment="1">
      <alignment vertical="center"/>
    </xf>
    <xf numFmtId="0" fontId="11" fillId="5" borderId="0" xfId="2" applyFill="1" applyAlignment="1">
      <alignment horizontal="left" vertical="center" wrapText="1"/>
    </xf>
    <xf numFmtId="49" fontId="11" fillId="0" borderId="0" xfId="2" applyNumberFormat="1" applyAlignment="1">
      <alignment horizontal="left" vertical="center" wrapText="1"/>
    </xf>
    <xf numFmtId="3" fontId="11" fillId="0" borderId="0" xfId="2" applyNumberFormat="1" applyAlignment="1">
      <alignment horizontal="left" vertical="top"/>
    </xf>
    <xf numFmtId="176" fontId="11" fillId="0" borderId="0" xfId="11" applyNumberFormat="1" applyFont="1" applyAlignment="1">
      <alignment vertical="center"/>
    </xf>
    <xf numFmtId="166" fontId="11" fillId="0" borderId="0" xfId="11" applyFont="1" applyAlignment="1">
      <alignment vertical="center"/>
    </xf>
    <xf numFmtId="191" fontId="11" fillId="0" borderId="0" xfId="96" applyNumberFormat="1" applyFont="1" applyAlignment="1">
      <alignment vertical="center"/>
    </xf>
    <xf numFmtId="176" fontId="11" fillId="0" borderId="0" xfId="11" applyNumberFormat="1" applyFont="1" applyBorder="1" applyAlignment="1">
      <alignment vertical="center"/>
    </xf>
    <xf numFmtId="166" fontId="11" fillId="0" borderId="0" xfId="11" applyFont="1" applyBorder="1" applyAlignment="1">
      <alignment vertical="center"/>
    </xf>
    <xf numFmtId="0" fontId="11" fillId="0" borderId="0" xfId="2" applyAlignment="1">
      <alignment vertical="center" wrapText="1"/>
    </xf>
    <xf numFmtId="189" fontId="11" fillId="0" borderId="0" xfId="2" applyNumberFormat="1" applyAlignment="1">
      <alignment vertical="center"/>
    </xf>
    <xf numFmtId="168" fontId="11" fillId="5" borderId="0" xfId="10" applyNumberFormat="1" applyFont="1" applyFill="1" applyBorder="1" applyAlignment="1">
      <alignment vertical="center" wrapText="1"/>
    </xf>
    <xf numFmtId="3" fontId="11" fillId="9" borderId="0" xfId="2" applyNumberFormat="1" applyFill="1" applyAlignment="1">
      <alignment horizontal="left" vertical="center"/>
    </xf>
    <xf numFmtId="0" fontId="11" fillId="7" borderId="0" xfId="0" applyFont="1" applyFill="1" applyAlignment="1">
      <alignment horizontal="center" vertical="center" wrapText="1"/>
    </xf>
    <xf numFmtId="180" fontId="11" fillId="0" borderId="0" xfId="12" applyNumberFormat="1" applyFont="1" applyFill="1" applyBorder="1" applyAlignment="1">
      <alignment horizontal="right" vertical="center" wrapText="1"/>
    </xf>
    <xf numFmtId="180" fontId="11" fillId="0" borderId="0" xfId="12" applyNumberFormat="1" applyFont="1" applyFill="1" applyBorder="1" applyAlignment="1">
      <alignment vertical="center" wrapText="1"/>
    </xf>
    <xf numFmtId="180" fontId="11" fillId="0" borderId="0" xfId="2" applyNumberFormat="1" applyAlignment="1">
      <alignment vertical="center"/>
    </xf>
    <xf numFmtId="0" fontId="11" fillId="7" borderId="0" xfId="0" applyFont="1" applyFill="1" applyAlignment="1">
      <alignment vertical="center"/>
    </xf>
    <xf numFmtId="49" fontId="11" fillId="0" borderId="0" xfId="2" applyNumberFormat="1" applyAlignment="1">
      <alignment horizontal="left" vertical="center"/>
    </xf>
    <xf numFmtId="49" fontId="11" fillId="9" borderId="0" xfId="2" applyNumberFormat="1" applyFill="1" applyAlignment="1">
      <alignment horizontal="center" vertical="center" wrapText="1"/>
    </xf>
    <xf numFmtId="49" fontId="11" fillId="5" borderId="0" xfId="2" applyNumberFormat="1" applyFill="1" applyAlignment="1">
      <alignment horizontal="center" vertical="center" wrapText="1"/>
    </xf>
    <xf numFmtId="166" fontId="11" fillId="5" borderId="0" xfId="11" applyFont="1" applyFill="1" applyBorder="1" applyAlignment="1">
      <alignment horizontal="right" vertical="top"/>
    </xf>
    <xf numFmtId="0" fontId="22" fillId="0" borderId="0" xfId="2" applyFont="1" applyAlignment="1">
      <alignment vertical="center"/>
    </xf>
    <xf numFmtId="0" fontId="22" fillId="5" borderId="0" xfId="2" applyFont="1" applyFill="1" applyAlignment="1">
      <alignment vertical="center"/>
    </xf>
    <xf numFmtId="0" fontId="24" fillId="0" borderId="0" xfId="2" applyFont="1" applyAlignment="1">
      <alignment vertical="top"/>
    </xf>
    <xf numFmtId="0" fontId="48" fillId="0" borderId="0" xfId="2" applyFont="1" applyAlignment="1">
      <alignment vertical="center"/>
    </xf>
    <xf numFmtId="176" fontId="11" fillId="0" borderId="0" xfId="11" applyNumberFormat="1" applyFont="1" applyFill="1" applyBorder="1" applyAlignment="1">
      <alignment vertical="center"/>
    </xf>
    <xf numFmtId="166" fontId="11" fillId="0" borderId="0" xfId="11" applyFont="1" applyFill="1" applyBorder="1" applyAlignment="1">
      <alignment vertical="center"/>
    </xf>
    <xf numFmtId="0" fontId="11" fillId="5" borderId="0" xfId="2" applyFill="1"/>
    <xf numFmtId="3" fontId="11" fillId="5" borderId="0" xfId="2" applyNumberFormat="1" applyFill="1" applyAlignment="1">
      <alignment horizontal="left" vertical="center"/>
    </xf>
    <xf numFmtId="168" fontId="11" fillId="0" borderId="0" xfId="10" applyNumberFormat="1" applyFont="1" applyFill="1" applyBorder="1" applyAlignment="1">
      <alignment horizontal="center" vertical="center"/>
    </xf>
    <xf numFmtId="165" fontId="11" fillId="0" borderId="0" xfId="2" applyNumberFormat="1" applyAlignment="1">
      <alignment horizontal="center" vertical="center" wrapText="1"/>
    </xf>
    <xf numFmtId="49" fontId="11" fillId="0" borderId="0" xfId="2" applyNumberFormat="1" applyAlignment="1">
      <alignment horizontal="center" vertical="center" wrapText="1"/>
    </xf>
    <xf numFmtId="175" fontId="11" fillId="0" borderId="0" xfId="2" applyNumberFormat="1" applyAlignment="1">
      <alignment vertical="center"/>
    </xf>
    <xf numFmtId="167" fontId="11" fillId="0" borderId="0" xfId="2" applyNumberFormat="1" applyAlignment="1">
      <alignment vertical="center"/>
    </xf>
    <xf numFmtId="167" fontId="11" fillId="0" borderId="0" xfId="1" applyFont="1" applyFill="1" applyBorder="1" applyAlignment="1">
      <alignment horizontal="center" vertical="center" wrapText="1"/>
    </xf>
    <xf numFmtId="0" fontId="11" fillId="0" borderId="0" xfId="2" applyAlignment="1">
      <alignment horizontal="right" vertical="top"/>
    </xf>
    <xf numFmtId="0" fontId="11" fillId="5" borderId="0" xfId="0" applyFont="1" applyFill="1" applyAlignment="1">
      <alignment horizontal="center" vertical="center" wrapText="1"/>
    </xf>
    <xf numFmtId="179" fontId="11" fillId="0" borderId="0" xfId="2" applyNumberFormat="1" applyAlignment="1">
      <alignment vertical="center"/>
    </xf>
    <xf numFmtId="0" fontId="14" fillId="0" borderId="0" xfId="0" applyFont="1"/>
    <xf numFmtId="0" fontId="39" fillId="6" borderId="28" xfId="0" applyFont="1" applyFill="1" applyBorder="1" applyAlignment="1" applyProtection="1">
      <alignment horizontal="left" vertical="center" wrapText="1"/>
      <protection locked="0"/>
    </xf>
    <xf numFmtId="4" fontId="39" fillId="0" borderId="41" xfId="0" applyNumberFormat="1" applyFont="1" applyBorder="1" applyAlignment="1">
      <alignment horizontal="right" vertical="center" wrapText="1"/>
    </xf>
    <xf numFmtId="0" fontId="0" fillId="5" borderId="0" xfId="15" applyFont="1" applyFill="1"/>
    <xf numFmtId="194" fontId="11" fillId="9" borderId="0" xfId="96" applyNumberFormat="1" applyFont="1" applyFill="1" applyBorder="1" applyAlignment="1">
      <alignment vertical="center"/>
    </xf>
    <xf numFmtId="0" fontId="44" fillId="0" borderId="0" xfId="0" applyFont="1" applyAlignment="1">
      <alignment vertical="center" wrapText="1"/>
    </xf>
    <xf numFmtId="0" fontId="84" fillId="0" borderId="0" xfId="0" applyFont="1" applyAlignment="1">
      <alignment vertical="top"/>
    </xf>
    <xf numFmtId="0" fontId="84" fillId="0" borderId="0" xfId="0" applyFont="1"/>
    <xf numFmtId="0" fontId="44" fillId="0" borderId="0" xfId="0" applyFont="1"/>
    <xf numFmtId="0" fontId="44" fillId="0" borderId="0" xfId="0" applyFont="1" applyAlignment="1">
      <alignment wrapText="1"/>
    </xf>
    <xf numFmtId="0" fontId="44" fillId="0" borderId="0" xfId="0" applyFont="1" applyAlignment="1">
      <alignment horizontal="center" vertical="center"/>
    </xf>
    <xf numFmtId="0" fontId="0" fillId="0" borderId="0" xfId="0" applyProtection="1">
      <protection locked="0"/>
    </xf>
    <xf numFmtId="0" fontId="39" fillId="6" borderId="21" xfId="0" applyFont="1" applyFill="1" applyBorder="1" applyAlignment="1" applyProtection="1">
      <alignment horizontal="center" vertical="center" wrapText="1"/>
      <protection locked="0"/>
    </xf>
    <xf numFmtId="0" fontId="11" fillId="5" borderId="0" xfId="2" applyFill="1" applyAlignment="1">
      <alignment wrapText="1"/>
    </xf>
    <xf numFmtId="0" fontId="3" fillId="6" borderId="0" xfId="14" applyFont="1" applyFill="1" applyAlignment="1">
      <alignment vertical="center"/>
    </xf>
    <xf numFmtId="0" fontId="3" fillId="5" borderId="1" xfId="14" applyFont="1" applyFill="1" applyBorder="1" applyAlignment="1">
      <alignment vertical="center"/>
    </xf>
    <xf numFmtId="0" fontId="34" fillId="5" borderId="0" xfId="14" applyFont="1" applyFill="1" applyAlignment="1">
      <alignment horizontal="left" vertical="center"/>
    </xf>
    <xf numFmtId="0" fontId="11" fillId="5" borderId="0" xfId="298" applyFill="1" applyAlignment="1">
      <alignment vertical="center" wrapText="1"/>
    </xf>
    <xf numFmtId="0" fontId="25" fillId="5" borderId="0" xfId="298" applyFont="1" applyFill="1" applyAlignment="1">
      <alignment vertical="center"/>
    </xf>
    <xf numFmtId="0" fontId="3" fillId="5" borderId="18" xfId="14" applyFont="1" applyFill="1" applyBorder="1" applyAlignment="1">
      <alignment vertical="center"/>
    </xf>
    <xf numFmtId="0" fontId="3" fillId="6" borderId="0" xfId="0" applyFont="1" applyFill="1" applyAlignment="1">
      <alignment vertical="center"/>
    </xf>
    <xf numFmtId="0" fontId="3" fillId="0" borderId="0" xfId="0" applyFont="1"/>
    <xf numFmtId="0" fontId="39" fillId="0" borderId="0" xfId="0" applyFont="1" applyAlignment="1">
      <alignment vertical="top"/>
    </xf>
    <xf numFmtId="2" fontId="25" fillId="0" borderId="21" xfId="0" applyNumberFormat="1" applyFont="1" applyBorder="1" applyAlignment="1">
      <alignment horizontal="right" vertical="center"/>
    </xf>
    <xf numFmtId="2" fontId="25" fillId="0" borderId="22" xfId="0" applyNumberFormat="1" applyFont="1" applyBorder="1" applyAlignment="1">
      <alignment horizontal="right" vertical="center"/>
    </xf>
    <xf numFmtId="2" fontId="25" fillId="0" borderId="41" xfId="0" applyNumberFormat="1" applyFont="1" applyBorder="1" applyAlignment="1">
      <alignment horizontal="right" vertical="center"/>
    </xf>
    <xf numFmtId="2" fontId="25" fillId="0" borderId="42" xfId="0" applyNumberFormat="1" applyFont="1" applyBorder="1" applyAlignment="1">
      <alignment horizontal="right" vertical="center"/>
    </xf>
    <xf numFmtId="0" fontId="39" fillId="0" borderId="24" xfId="0" applyFont="1" applyBorder="1" applyAlignment="1">
      <alignment horizontal="right" vertical="center"/>
    </xf>
    <xf numFmtId="2" fontId="25" fillId="0" borderId="25" xfId="0" applyNumberFormat="1" applyFont="1" applyBorder="1" applyAlignment="1">
      <alignment horizontal="right" vertical="center"/>
    </xf>
    <xf numFmtId="0" fontId="25" fillId="0" borderId="20" xfId="0" applyFont="1" applyBorder="1" applyAlignment="1">
      <alignment horizontal="left" vertical="center"/>
    </xf>
    <xf numFmtId="0" fontId="39" fillId="0" borderId="40" xfId="0" applyFont="1" applyBorder="1" applyAlignment="1">
      <alignment horizontal="left" vertical="center"/>
    </xf>
    <xf numFmtId="0" fontId="39" fillId="0" borderId="23" xfId="0" applyFont="1" applyBorder="1" applyAlignment="1">
      <alignment horizontal="left" vertical="center"/>
    </xf>
    <xf numFmtId="0" fontId="91" fillId="0" borderId="27" xfId="0" applyFont="1" applyBorder="1" applyAlignment="1">
      <alignment horizontal="left" vertical="center" wrapText="1"/>
    </xf>
    <xf numFmtId="0" fontId="91" fillId="0" borderId="28" xfId="0" applyFont="1" applyBorder="1" applyAlignment="1">
      <alignment horizontal="left" vertical="center" wrapText="1"/>
    </xf>
    <xf numFmtId="0" fontId="91" fillId="0" borderId="29" xfId="0" applyFont="1" applyBorder="1" applyAlignment="1">
      <alignment horizontal="left" vertical="center" wrapText="1"/>
    </xf>
    <xf numFmtId="0" fontId="91" fillId="0" borderId="129" xfId="0" applyFont="1" applyBorder="1" applyAlignment="1">
      <alignment horizontal="left" vertical="center" wrapText="1"/>
    </xf>
    <xf numFmtId="0" fontId="34" fillId="0" borderId="0" xfId="0" applyFont="1" applyAlignment="1">
      <alignment horizontal="left" vertical="center"/>
    </xf>
    <xf numFmtId="0" fontId="39" fillId="0" borderId="52" xfId="0" applyFont="1" applyBorder="1" applyAlignment="1">
      <alignment horizontal="center" vertical="center" wrapText="1"/>
    </xf>
    <xf numFmtId="0" fontId="39" fillId="0" borderId="51" xfId="0" applyFont="1" applyBorder="1" applyAlignment="1">
      <alignment horizontal="center" vertical="center" wrapText="1"/>
    </xf>
    <xf numFmtId="0" fontId="39" fillId="0" borderId="50" xfId="0" applyFont="1" applyBorder="1" applyAlignment="1">
      <alignment horizontal="center" vertical="center" wrapText="1"/>
    </xf>
    <xf numFmtId="0" fontId="22" fillId="0" borderId="0" xfId="2" applyFont="1" applyAlignment="1">
      <alignment vertical="top"/>
    </xf>
    <xf numFmtId="0" fontId="11" fillId="0" borderId="0" xfId="2" applyAlignment="1">
      <alignment horizontal="left" vertical="top" indent="4"/>
    </xf>
    <xf numFmtId="0" fontId="22" fillId="5" borderId="0" xfId="2" applyFont="1" applyFill="1" applyAlignment="1">
      <alignment vertical="top"/>
    </xf>
    <xf numFmtId="0" fontId="11" fillId="0" borderId="0" xfId="2" applyAlignment="1">
      <alignment horizontal="left" vertical="top" indent="3"/>
    </xf>
    <xf numFmtId="0" fontId="11" fillId="5" borderId="0" xfId="2" applyFill="1" applyAlignment="1">
      <alignment horizontal="left" vertical="top" wrapText="1" indent="4"/>
    </xf>
    <xf numFmtId="0" fontId="11" fillId="9" borderId="0" xfId="2" applyFill="1" applyAlignment="1">
      <alignment horizontal="left" vertical="top" indent="4"/>
    </xf>
    <xf numFmtId="0" fontId="0" fillId="6" borderId="0" xfId="0" applyFill="1"/>
    <xf numFmtId="0" fontId="11" fillId="6" borderId="0" xfId="298" applyFill="1" applyAlignment="1">
      <alignment vertical="center"/>
    </xf>
    <xf numFmtId="0" fontId="11" fillId="6" borderId="0" xfId="2" applyFill="1" applyAlignment="1">
      <alignment vertical="center"/>
    </xf>
    <xf numFmtId="0" fontId="11" fillId="0" borderId="12" xfId="298" applyBorder="1" applyAlignment="1">
      <alignment vertical="center"/>
    </xf>
    <xf numFmtId="0" fontId="11" fillId="0" borderId="2" xfId="298" applyBorder="1" applyAlignment="1">
      <alignment vertical="center"/>
    </xf>
    <xf numFmtId="0" fontId="11" fillId="0" borderId="17" xfId="298" applyBorder="1" applyAlignment="1">
      <alignment vertical="center"/>
    </xf>
    <xf numFmtId="0" fontId="11" fillId="0" borderId="1" xfId="298" applyBorder="1" applyAlignment="1">
      <alignment vertical="center"/>
    </xf>
    <xf numFmtId="0" fontId="92" fillId="0" borderId="0" xfId="298" applyFont="1" applyAlignment="1">
      <alignment horizontal="left" vertical="center"/>
    </xf>
    <xf numFmtId="0" fontId="11" fillId="0" borderId="0" xfId="298" applyAlignment="1">
      <alignment vertical="center"/>
    </xf>
    <xf numFmtId="0" fontId="24" fillId="0" borderId="18" xfId="298" applyFont="1" applyBorder="1" applyAlignment="1">
      <alignment vertical="center"/>
    </xf>
    <xf numFmtId="49" fontId="21" fillId="0" borderId="0" xfId="298" applyNumberFormat="1" applyFont="1" applyAlignment="1">
      <alignment vertical="center"/>
    </xf>
    <xf numFmtId="0" fontId="11" fillId="0" borderId="18" xfId="298" applyBorder="1" applyAlignment="1">
      <alignment vertical="center"/>
    </xf>
    <xf numFmtId="49" fontId="27" fillId="0" borderId="0" xfId="298" applyNumberFormat="1" applyFont="1" applyAlignment="1">
      <alignment vertical="center" wrapText="1"/>
    </xf>
    <xf numFmtId="49" fontId="27" fillId="0" borderId="0" xfId="298" applyNumberFormat="1" applyFont="1" applyAlignment="1">
      <alignment vertical="center"/>
    </xf>
    <xf numFmtId="0" fontId="24" fillId="0" borderId="0" xfId="298" applyFont="1" applyAlignment="1">
      <alignment vertical="center"/>
    </xf>
    <xf numFmtId="0" fontId="11" fillId="0" borderId="18" xfId="298" applyBorder="1" applyAlignment="1">
      <alignment horizontal="left" vertical="center" wrapText="1"/>
    </xf>
    <xf numFmtId="0" fontId="11" fillId="0" borderId="1" xfId="2" applyBorder="1" applyAlignment="1">
      <alignment vertical="center"/>
    </xf>
    <xf numFmtId="0" fontId="11" fillId="0" borderId="18" xfId="2" applyBorder="1" applyAlignment="1">
      <alignment vertical="center"/>
    </xf>
    <xf numFmtId="39" fontId="25" fillId="0" borderId="0" xfId="298" applyNumberFormat="1" applyFont="1" applyAlignment="1">
      <alignment horizontal="right" vertical="center"/>
    </xf>
    <xf numFmtId="0" fontId="11" fillId="6" borderId="0" xfId="2" applyFill="1" applyAlignment="1">
      <alignment horizontal="center"/>
    </xf>
    <xf numFmtId="168" fontId="11" fillId="6" borderId="0" xfId="10" applyNumberFormat="1" applyFont="1" applyFill="1" applyBorder="1" applyAlignment="1">
      <alignment horizontal="center"/>
    </xf>
    <xf numFmtId="39" fontId="39" fillId="6" borderId="4" xfId="1" applyNumberFormat="1" applyFont="1" applyFill="1" applyBorder="1" applyAlignment="1" applyProtection="1">
      <alignment horizontal="right" vertical="center"/>
      <protection locked="0"/>
    </xf>
    <xf numFmtId="0" fontId="11" fillId="8" borderId="23" xfId="0" applyFont="1" applyFill="1" applyBorder="1" applyAlignment="1">
      <alignment horizontal="center" vertical="center" wrapText="1"/>
    </xf>
    <xf numFmtId="0" fontId="25" fillId="0" borderId="29" xfId="2" applyFont="1" applyBorder="1" applyAlignment="1">
      <alignment horizontal="center" vertical="center"/>
    </xf>
    <xf numFmtId="9" fontId="25" fillId="8" borderId="25" xfId="10" applyFont="1" applyFill="1" applyBorder="1" applyAlignment="1">
      <alignment horizontal="center" vertical="center"/>
    </xf>
    <xf numFmtId="49" fontId="27" fillId="0" borderId="2" xfId="298" applyNumberFormat="1" applyFont="1" applyBorder="1" applyAlignment="1">
      <alignment vertical="center" wrapText="1"/>
    </xf>
    <xf numFmtId="49" fontId="27" fillId="0" borderId="2" xfId="298" applyNumberFormat="1" applyFont="1" applyBorder="1" applyAlignment="1">
      <alignment vertical="center"/>
    </xf>
    <xf numFmtId="0" fontId="93" fillId="0" borderId="2" xfId="298" applyFont="1" applyBorder="1" applyAlignment="1">
      <alignment vertical="center" wrapText="1"/>
    </xf>
    <xf numFmtId="0" fontId="11" fillId="0" borderId="1" xfId="2" applyBorder="1"/>
    <xf numFmtId="0" fontId="11" fillId="0" borderId="18" xfId="2" applyBorder="1"/>
    <xf numFmtId="0" fontId="11" fillId="0" borderId="13" xfId="2" applyBorder="1"/>
    <xf numFmtId="0" fontId="11" fillId="0" borderId="14" xfId="2" applyBorder="1"/>
    <xf numFmtId="168" fontId="11" fillId="0" borderId="14" xfId="2" applyNumberFormat="1" applyBorder="1" applyAlignment="1">
      <alignment horizontal="center"/>
    </xf>
    <xf numFmtId="0" fontId="11" fillId="0" borderId="14" xfId="2" applyBorder="1" applyAlignment="1">
      <alignment horizontal="center"/>
    </xf>
    <xf numFmtId="174" fontId="11" fillId="0" borderId="14" xfId="11" applyNumberFormat="1" applyFont="1" applyFill="1" applyBorder="1" applyAlignment="1"/>
    <xf numFmtId="0" fontId="11" fillId="0" borderId="19" xfId="2" applyBorder="1"/>
    <xf numFmtId="0" fontId="93" fillId="0" borderId="0" xfId="298" applyFont="1" applyAlignment="1">
      <alignment vertical="center" wrapText="1"/>
    </xf>
    <xf numFmtId="49" fontId="90" fillId="0" borderId="0" xfId="298" applyNumberFormat="1" applyFont="1" applyAlignment="1">
      <alignment vertical="center" wrapText="1"/>
    </xf>
    <xf numFmtId="0" fontId="25" fillId="0" borderId="130" xfId="0" applyFont="1" applyBorder="1" applyAlignment="1">
      <alignment vertical="center" wrapText="1"/>
    </xf>
    <xf numFmtId="0" fontId="11" fillId="0" borderId="130" xfId="0" applyFont="1" applyBorder="1" applyAlignment="1">
      <alignment vertical="center" wrapText="1"/>
    </xf>
    <xf numFmtId="0" fontId="32" fillId="0" borderId="0" xfId="0" applyFont="1" applyAlignment="1">
      <alignment vertical="top"/>
    </xf>
    <xf numFmtId="3" fontId="39" fillId="6" borderId="21" xfId="0" applyNumberFormat="1" applyFont="1" applyFill="1" applyBorder="1" applyAlignment="1" applyProtection="1">
      <alignment horizontal="center" vertical="center" wrapText="1"/>
      <protection locked="0"/>
    </xf>
    <xf numFmtId="0" fontId="39" fillId="6" borderId="41" xfId="0" applyFont="1" applyFill="1" applyBorder="1" applyAlignment="1" applyProtection="1">
      <alignment horizontal="center" vertical="center" wrapText="1"/>
      <protection locked="0"/>
    </xf>
    <xf numFmtId="0" fontId="39" fillId="6" borderId="24" xfId="0" applyFont="1" applyFill="1" applyBorder="1" applyAlignment="1" applyProtection="1">
      <alignment horizontal="center" vertical="center" wrapText="1"/>
      <protection locked="0"/>
    </xf>
    <xf numFmtId="0" fontId="39" fillId="5" borderId="28" xfId="0" applyFont="1" applyFill="1" applyBorder="1" applyAlignment="1">
      <alignment horizontal="center" vertical="center" wrapText="1"/>
    </xf>
    <xf numFmtId="3" fontId="39" fillId="0" borderId="28" xfId="0" applyNumberFormat="1" applyFont="1" applyBorder="1" applyAlignment="1">
      <alignment horizontal="center" vertical="center" wrapText="1"/>
    </xf>
    <xf numFmtId="0" fontId="39" fillId="6" borderId="28" xfId="0" applyFont="1" applyFill="1" applyBorder="1" applyAlignment="1" applyProtection="1">
      <alignment horizontal="center" vertical="center" wrapText="1"/>
      <protection locked="0"/>
    </xf>
    <xf numFmtId="0" fontId="39" fillId="5" borderId="24" xfId="0" applyFont="1" applyFill="1" applyBorder="1" applyAlignment="1" applyProtection="1">
      <alignment horizontal="center" vertical="center" wrapText="1"/>
      <protection locked="0"/>
    </xf>
    <xf numFmtId="170" fontId="39" fillId="5" borderId="21" xfId="0" applyNumberFormat="1" applyFont="1" applyFill="1" applyBorder="1" applyAlignment="1">
      <alignment horizontal="center" vertical="center" wrapText="1"/>
    </xf>
    <xf numFmtId="170" fontId="39" fillId="5" borderId="41" xfId="0" applyNumberFormat="1" applyFont="1" applyFill="1" applyBorder="1" applyAlignment="1">
      <alignment horizontal="center" vertical="center" wrapText="1"/>
    </xf>
    <xf numFmtId="170" fontId="39" fillId="5" borderId="24" xfId="0" applyNumberFormat="1" applyFont="1" applyFill="1" applyBorder="1" applyAlignment="1">
      <alignment horizontal="center" vertical="center" wrapText="1"/>
    </xf>
    <xf numFmtId="170" fontId="39" fillId="0" borderId="28" xfId="0" applyNumberFormat="1" applyFont="1" applyBorder="1" applyAlignment="1">
      <alignment horizontal="center" vertical="center" wrapText="1"/>
    </xf>
    <xf numFmtId="0" fontId="25" fillId="0" borderId="125" xfId="0" applyFont="1" applyBorder="1" applyAlignment="1">
      <alignment horizontal="center" vertical="center" wrapText="1"/>
    </xf>
    <xf numFmtId="0" fontId="25" fillId="0" borderId="31" xfId="0" applyFont="1" applyBorder="1" applyAlignment="1">
      <alignment horizontal="center" vertical="center" wrapText="1"/>
    </xf>
    <xf numFmtId="0" fontId="11" fillId="0" borderId="0" xfId="2" applyAlignment="1">
      <alignment horizontal="left" vertical="top"/>
    </xf>
    <xf numFmtId="0" fontId="25" fillId="6" borderId="40" xfId="0" applyFont="1" applyFill="1" applyBorder="1" applyAlignment="1" applyProtection="1">
      <alignment horizontal="left" vertical="top" wrapText="1"/>
      <protection locked="0"/>
    </xf>
    <xf numFmtId="0" fontId="25" fillId="5" borderId="38" xfId="0" applyFont="1" applyFill="1" applyBorder="1" applyAlignment="1">
      <alignment vertical="center" wrapText="1"/>
    </xf>
    <xf numFmtId="0" fontId="39" fillId="6" borderId="131" xfId="0" applyFont="1" applyFill="1" applyBorder="1" applyAlignment="1" applyProtection="1">
      <alignment horizontal="left" vertical="center" wrapText="1" indent="1"/>
      <protection locked="0"/>
    </xf>
    <xf numFmtId="0" fontId="39" fillId="6" borderId="60" xfId="0" applyFont="1" applyFill="1" applyBorder="1" applyAlignment="1" applyProtection="1">
      <alignment horizontal="left" vertical="center" wrapText="1" indent="1"/>
      <protection locked="0"/>
    </xf>
    <xf numFmtId="0" fontId="25" fillId="5" borderId="123" xfId="0" applyFont="1" applyFill="1" applyBorder="1" applyAlignment="1">
      <alignment vertical="center" wrapText="1"/>
    </xf>
    <xf numFmtId="3" fontId="39" fillId="6" borderId="129" xfId="0" applyNumberFormat="1" applyFont="1" applyFill="1" applyBorder="1" applyAlignment="1" applyProtection="1">
      <alignment horizontal="right" vertical="center" wrapText="1"/>
      <protection locked="0"/>
    </xf>
    <xf numFmtId="0" fontId="39" fillId="6" borderId="30" xfId="0" applyFont="1" applyFill="1" applyBorder="1" applyAlignment="1" applyProtection="1">
      <alignment horizontal="right" vertical="center" wrapText="1"/>
      <protection locked="0"/>
    </xf>
    <xf numFmtId="0" fontId="39" fillId="6" borderId="43" xfId="0" applyFont="1" applyFill="1" applyBorder="1" applyAlignment="1" applyProtection="1">
      <alignment horizontal="right" vertical="center" wrapText="1"/>
      <protection locked="0"/>
    </xf>
    <xf numFmtId="0" fontId="39" fillId="6" borderId="31" xfId="0" applyFont="1" applyFill="1" applyBorder="1" applyAlignment="1" applyProtection="1">
      <alignment horizontal="right" vertical="center" wrapText="1"/>
      <protection locked="0"/>
    </xf>
    <xf numFmtId="0" fontId="39" fillId="6" borderId="129" xfId="0" applyFont="1" applyFill="1" applyBorder="1" applyAlignment="1" applyProtection="1">
      <alignment vertical="center" wrapText="1"/>
      <protection locked="0"/>
    </xf>
    <xf numFmtId="0" fontId="39" fillId="6" borderId="129" xfId="0" applyFont="1" applyFill="1" applyBorder="1" applyAlignment="1" applyProtection="1">
      <alignment horizontal="left" vertical="center" wrapText="1"/>
      <protection locked="0"/>
    </xf>
    <xf numFmtId="170" fontId="39" fillId="6" borderId="129" xfId="0" applyNumberFormat="1" applyFont="1" applyFill="1" applyBorder="1" applyAlignment="1" applyProtection="1">
      <alignment vertical="center" wrapText="1"/>
      <protection locked="0"/>
    </xf>
    <xf numFmtId="0" fontId="39" fillId="6" borderId="30" xfId="0" applyFont="1" applyFill="1" applyBorder="1" applyAlignment="1" applyProtection="1">
      <alignment horizontal="center" vertical="center" wrapText="1"/>
      <protection locked="0"/>
    </xf>
    <xf numFmtId="169" fontId="39" fillId="6" borderId="30" xfId="0" applyNumberFormat="1" applyFont="1" applyFill="1" applyBorder="1" applyAlignment="1" applyProtection="1">
      <alignment horizontal="right" vertical="center" wrapText="1"/>
      <protection locked="0"/>
    </xf>
    <xf numFmtId="169" fontId="39" fillId="6" borderId="43" xfId="0" applyNumberFormat="1" applyFont="1" applyFill="1" applyBorder="1" applyAlignment="1" applyProtection="1">
      <alignment horizontal="right" vertical="center" wrapText="1"/>
      <protection locked="0"/>
    </xf>
    <xf numFmtId="169" fontId="39" fillId="0" borderId="43" xfId="0" applyNumberFormat="1" applyFont="1" applyBorder="1" applyAlignment="1">
      <alignment horizontal="right" vertical="center" wrapText="1"/>
    </xf>
    <xf numFmtId="169" fontId="39" fillId="5" borderId="31" xfId="0" applyNumberFormat="1" applyFont="1" applyFill="1" applyBorder="1" applyAlignment="1">
      <alignment horizontal="right" vertical="center" wrapText="1"/>
    </xf>
    <xf numFmtId="3" fontId="39" fillId="6" borderId="43" xfId="0" applyNumberFormat="1" applyFont="1" applyFill="1" applyBorder="1" applyAlignment="1" applyProtection="1">
      <alignment horizontal="right" vertical="center" wrapText="1"/>
      <protection locked="0"/>
    </xf>
    <xf numFmtId="4" fontId="39" fillId="0" borderId="43" xfId="0" applyNumberFormat="1" applyFont="1" applyBorder="1" applyAlignment="1">
      <alignment horizontal="right" vertical="center" wrapText="1"/>
    </xf>
    <xf numFmtId="3" fontId="39" fillId="6" borderId="56" xfId="0" applyNumberFormat="1" applyFont="1" applyFill="1" applyBorder="1" applyAlignment="1" applyProtection="1">
      <alignment horizontal="right" vertical="center" wrapText="1"/>
      <protection locked="0"/>
    </xf>
    <xf numFmtId="172" fontId="39" fillId="5" borderId="129" xfId="0" applyNumberFormat="1" applyFont="1" applyFill="1" applyBorder="1" applyAlignment="1">
      <alignment horizontal="right" vertical="center" wrapText="1"/>
    </xf>
    <xf numFmtId="3" fontId="39" fillId="6" borderId="125" xfId="0" applyNumberFormat="1" applyFont="1" applyFill="1" applyBorder="1" applyAlignment="1" applyProtection="1">
      <alignment horizontal="right" vertical="center" wrapText="1"/>
      <protection locked="0"/>
    </xf>
    <xf numFmtId="3" fontId="39" fillId="5" borderId="31" xfId="0" applyNumberFormat="1" applyFont="1" applyFill="1" applyBorder="1" applyAlignment="1" applyProtection="1">
      <alignment horizontal="right" vertical="center" wrapText="1"/>
      <protection locked="0"/>
    </xf>
    <xf numFmtId="0" fontId="34" fillId="8" borderId="6" xfId="0" applyFont="1" applyFill="1" applyBorder="1" applyAlignment="1">
      <alignment horizontal="center" vertical="center"/>
    </xf>
    <xf numFmtId="0" fontId="10" fillId="8" borderId="5" xfId="0" applyFont="1" applyFill="1" applyBorder="1" applyAlignment="1">
      <alignment horizontal="center" vertical="center" wrapText="1"/>
    </xf>
    <xf numFmtId="3" fontId="39" fillId="8" borderId="5" xfId="0" applyNumberFormat="1" applyFont="1" applyFill="1" applyBorder="1" applyAlignment="1">
      <alignment horizontal="center" vertical="center" wrapText="1"/>
    </xf>
    <xf numFmtId="0" fontId="39" fillId="8" borderId="5" xfId="0" applyFont="1" applyFill="1" applyBorder="1" applyAlignment="1">
      <alignment horizontal="center" vertical="center"/>
    </xf>
    <xf numFmtId="0" fontId="39" fillId="8" borderId="5" xfId="0" applyFont="1" applyFill="1" applyBorder="1" applyAlignment="1">
      <alignment horizontal="center" vertical="center" wrapText="1"/>
    </xf>
    <xf numFmtId="170" fontId="39" fillId="8" borderId="5" xfId="0" applyNumberFormat="1" applyFont="1" applyFill="1" applyBorder="1" applyAlignment="1">
      <alignment horizontal="center" vertical="center" wrapText="1"/>
    </xf>
    <xf numFmtId="0" fontId="39" fillId="8" borderId="45" xfId="0" applyFont="1" applyFill="1" applyBorder="1" applyAlignment="1">
      <alignment horizontal="center" vertical="center" wrapText="1"/>
    </xf>
    <xf numFmtId="0" fontId="6" fillId="0" borderId="0" xfId="0" applyFont="1" applyProtection="1">
      <protection locked="0"/>
    </xf>
    <xf numFmtId="0" fontId="95" fillId="7" borderId="0" xfId="0" applyFont="1" applyFill="1" applyAlignment="1">
      <alignment vertical="center" wrapText="1"/>
    </xf>
    <xf numFmtId="3" fontId="25" fillId="6" borderId="64" xfId="0" applyNumberFormat="1" applyFont="1" applyFill="1" applyBorder="1" applyAlignment="1" applyProtection="1">
      <alignment horizontal="right" vertical="center" wrapText="1"/>
      <protection locked="0"/>
    </xf>
    <xf numFmtId="0" fontId="25" fillId="6" borderId="36" xfId="0" applyFont="1" applyFill="1" applyBorder="1" applyAlignment="1" applyProtection="1">
      <alignment horizontal="left" vertical="top" wrapText="1"/>
      <protection locked="0"/>
    </xf>
    <xf numFmtId="168" fontId="11" fillId="0" borderId="0" xfId="10" applyNumberFormat="1" applyFont="1" applyFill="1" applyBorder="1" applyAlignment="1">
      <alignment horizontal="right" vertical="top"/>
    </xf>
    <xf numFmtId="0" fontId="39" fillId="6" borderId="36" xfId="0" applyFont="1" applyFill="1" applyBorder="1" applyAlignment="1" applyProtection="1">
      <alignment horizontal="left" vertical="center" wrapText="1"/>
      <protection locked="0"/>
    </xf>
    <xf numFmtId="0" fontId="39" fillId="6" borderId="63" xfId="0" applyFont="1" applyFill="1" applyBorder="1" applyAlignment="1" applyProtection="1">
      <alignment horizontal="right" vertical="center" wrapText="1"/>
      <protection locked="0"/>
    </xf>
    <xf numFmtId="0" fontId="39" fillId="6" borderId="64" xfId="0" applyFont="1" applyFill="1" applyBorder="1" applyAlignment="1" applyProtection="1">
      <alignment horizontal="right" vertical="center" wrapText="1"/>
      <protection locked="0"/>
    </xf>
    <xf numFmtId="0" fontId="44" fillId="0" borderId="18" xfId="0" applyFont="1" applyBorder="1" applyAlignment="1">
      <alignment horizontal="center" vertical="center"/>
    </xf>
    <xf numFmtId="0" fontId="96" fillId="6" borderId="0" xfId="298" applyFont="1" applyFill="1" applyAlignment="1">
      <alignment horizontal="right" vertical="center"/>
    </xf>
    <xf numFmtId="0" fontId="96" fillId="6" borderId="0" xfId="2" applyFont="1" applyFill="1" applyAlignment="1">
      <alignment horizontal="right" vertical="center"/>
    </xf>
    <xf numFmtId="0" fontId="24" fillId="0" borderId="0" xfId="0" applyFont="1" applyAlignment="1">
      <alignment horizontal="left" vertical="top"/>
    </xf>
    <xf numFmtId="0" fontId="1" fillId="0" borderId="0" xfId="0" applyFont="1" applyAlignment="1">
      <alignment vertical="top"/>
    </xf>
    <xf numFmtId="168" fontId="11" fillId="0" borderId="0" xfId="10" applyNumberFormat="1" applyFont="1" applyFill="1" applyBorder="1" applyAlignment="1" applyProtection="1">
      <alignment horizontal="right" vertical="top"/>
    </xf>
    <xf numFmtId="175" fontId="11" fillId="0" borderId="0" xfId="12" applyNumberFormat="1" applyFont="1" applyFill="1" applyBorder="1" applyAlignment="1" applyProtection="1">
      <alignment horizontal="right" vertical="top"/>
    </xf>
    <xf numFmtId="174" fontId="11" fillId="0" borderId="0" xfId="11" applyNumberFormat="1" applyFont="1" applyFill="1" applyBorder="1" applyAlignment="1" applyProtection="1">
      <alignment horizontal="right" vertical="top"/>
    </xf>
    <xf numFmtId="171" fontId="11" fillId="0" borderId="0" xfId="12" applyNumberFormat="1" applyFont="1" applyFill="1" applyBorder="1" applyAlignment="1" applyProtection="1">
      <alignment horizontal="right" vertical="top"/>
    </xf>
    <xf numFmtId="0" fontId="4" fillId="8" borderId="3" xfId="0" applyFont="1" applyFill="1" applyBorder="1" applyAlignment="1">
      <alignment horizontal="left" vertical="center" wrapText="1" indent="1"/>
    </xf>
    <xf numFmtId="0" fontId="28" fillId="0" borderId="14" xfId="0" applyFont="1" applyBorder="1" applyAlignment="1">
      <alignment horizontal="center" vertical="center"/>
    </xf>
    <xf numFmtId="39" fontId="39" fillId="0" borderId="0" xfId="1" applyNumberFormat="1" applyFont="1" applyFill="1" applyBorder="1" applyAlignment="1" applyProtection="1">
      <alignment horizontal="right" vertical="center"/>
    </xf>
    <xf numFmtId="3" fontId="67" fillId="5" borderId="0" xfId="18" applyNumberFormat="1" applyFont="1" applyFill="1" applyAlignment="1">
      <alignment horizontal="left" vertical="center" wrapText="1"/>
    </xf>
    <xf numFmtId="0" fontId="4" fillId="0" borderId="0" xfId="0" applyFont="1" applyAlignment="1">
      <alignment horizontal="center" wrapText="1"/>
    </xf>
    <xf numFmtId="0" fontId="1" fillId="0" borderId="0" xfId="0" applyFont="1"/>
    <xf numFmtId="0" fontId="1" fillId="0" borderId="0" xfId="13" applyFont="1"/>
    <xf numFmtId="0" fontId="34" fillId="0" borderId="0" xfId="0" applyFont="1" applyAlignment="1">
      <alignment horizontal="left" vertical="top" indent="1"/>
    </xf>
    <xf numFmtId="0" fontId="25" fillId="0" borderId="2" xfId="2" applyFont="1" applyBorder="1" applyAlignment="1">
      <alignment horizontal="left" vertical="center" indent="1"/>
    </xf>
    <xf numFmtId="0" fontId="11" fillId="8" borderId="21" xfId="0" applyFont="1" applyFill="1" applyBorder="1" applyAlignment="1">
      <alignment horizontal="center" vertical="center" wrapText="1"/>
    </xf>
    <xf numFmtId="0" fontId="11" fillId="8" borderId="20" xfId="0" applyFont="1" applyFill="1" applyBorder="1" applyAlignment="1">
      <alignment horizontal="center" vertical="center" wrapText="1"/>
    </xf>
    <xf numFmtId="10" fontId="39" fillId="0" borderId="0" xfId="0" applyNumberFormat="1" applyFont="1" applyAlignment="1">
      <alignment horizontal="right" vertical="center"/>
    </xf>
    <xf numFmtId="0" fontId="11" fillId="5" borderId="0" xfId="2" applyFill="1" applyAlignment="1">
      <alignment vertical="top" wrapText="1"/>
    </xf>
    <xf numFmtId="0" fontId="39" fillId="0" borderId="0" xfId="0" applyFont="1" applyAlignment="1" applyProtection="1">
      <alignment horizontal="left" vertical="center" wrapText="1"/>
      <protection locked="0"/>
    </xf>
    <xf numFmtId="3" fontId="39" fillId="0" borderId="0" xfId="0" applyNumberFormat="1" applyFont="1" applyAlignment="1" applyProtection="1">
      <alignment horizontal="right" vertical="center" wrapText="1"/>
      <protection locked="0"/>
    </xf>
    <xf numFmtId="4" fontId="39" fillId="0" borderId="0" xfId="0" applyNumberFormat="1" applyFont="1" applyAlignment="1" applyProtection="1">
      <alignment horizontal="right" vertical="center" wrapText="1"/>
      <protection locked="0"/>
    </xf>
    <xf numFmtId="0" fontId="39" fillId="0" borderId="0" xfId="0" applyFont="1" applyAlignment="1" applyProtection="1">
      <alignment horizontal="center" vertical="center" wrapText="1"/>
      <protection locked="0"/>
    </xf>
    <xf numFmtId="0" fontId="1" fillId="0" borderId="0" xfId="0" applyFont="1" applyAlignment="1">
      <alignment vertical="center" wrapText="1"/>
    </xf>
    <xf numFmtId="0" fontId="44" fillId="5" borderId="0" xfId="0" applyFont="1" applyFill="1"/>
    <xf numFmtId="0" fontId="30" fillId="5" borderId="0" xfId="0" applyFont="1" applyFill="1" applyAlignment="1">
      <alignment horizontal="left" vertical="center"/>
    </xf>
    <xf numFmtId="9" fontId="39" fillId="5" borderId="0" xfId="0" applyNumberFormat="1" applyFont="1" applyFill="1" applyAlignment="1" applyProtection="1">
      <alignment horizontal="right" vertical="center" wrapText="1"/>
      <protection locked="0"/>
    </xf>
    <xf numFmtId="0" fontId="34" fillId="5" borderId="0" xfId="0" applyFont="1" applyFill="1" applyAlignment="1">
      <alignment horizontal="left" vertical="top"/>
    </xf>
    <xf numFmtId="0" fontId="1" fillId="5" borderId="0" xfId="0" applyFont="1" applyFill="1" applyAlignment="1">
      <alignment vertical="center" wrapText="1"/>
    </xf>
    <xf numFmtId="0" fontId="1" fillId="0" borderId="0" xfId="0" applyFont="1" applyAlignment="1">
      <alignment horizontal="left" vertical="center"/>
    </xf>
    <xf numFmtId="0" fontId="1" fillId="0" borderId="0" xfId="0" applyFont="1" applyAlignment="1">
      <alignment wrapText="1"/>
    </xf>
    <xf numFmtId="0" fontId="1" fillId="5" borderId="0" xfId="0" applyFont="1" applyFill="1" applyAlignment="1">
      <alignment horizontal="center" vertical="center" wrapText="1"/>
    </xf>
    <xf numFmtId="0" fontId="0" fillId="5" borderId="0" xfId="0" applyFill="1"/>
    <xf numFmtId="0" fontId="25" fillId="0" borderId="2" xfId="2" applyFont="1" applyBorder="1" applyAlignment="1">
      <alignment horizontal="center" vertical="center"/>
    </xf>
    <xf numFmtId="1" fontId="25" fillId="0" borderId="2" xfId="10" applyNumberFormat="1" applyFont="1" applyFill="1" applyBorder="1" applyAlignment="1">
      <alignment horizontal="center" vertical="center"/>
    </xf>
    <xf numFmtId="0" fontId="11" fillId="8" borderId="30" xfId="0" applyFont="1" applyFill="1" applyBorder="1" applyAlignment="1">
      <alignment vertical="center" wrapText="1"/>
    </xf>
    <xf numFmtId="0" fontId="11" fillId="8" borderId="39" xfId="0" applyFont="1" applyFill="1" applyBorder="1" applyAlignment="1">
      <alignment vertical="center" wrapText="1"/>
    </xf>
    <xf numFmtId="0" fontId="29" fillId="5" borderId="0" xfId="0" applyFont="1" applyFill="1" applyAlignment="1">
      <alignment vertical="top"/>
    </xf>
    <xf numFmtId="3" fontId="0" fillId="5" borderId="0" xfId="0" applyNumberFormat="1" applyFill="1"/>
    <xf numFmtId="4" fontId="0" fillId="5" borderId="0" xfId="0" applyNumberFormat="1" applyFill="1"/>
    <xf numFmtId="173" fontId="39" fillId="5" borderId="0" xfId="1" applyNumberFormat="1" applyFont="1" applyFill="1" applyBorder="1" applyAlignment="1">
      <alignment vertical="center"/>
    </xf>
    <xf numFmtId="0" fontId="28" fillId="5" borderId="0" xfId="0" applyFont="1" applyFill="1" applyAlignment="1">
      <alignment horizontal="left" vertical="center" indent="1"/>
    </xf>
    <xf numFmtId="0" fontId="11" fillId="5" borderId="0" xfId="2" applyFill="1" applyAlignment="1">
      <alignment horizontal="left" vertical="top" wrapText="1"/>
    </xf>
    <xf numFmtId="0" fontId="11" fillId="5" borderId="0" xfId="0" applyFont="1" applyFill="1" applyAlignment="1">
      <alignment horizontal="left" vertical="center" wrapText="1" indent="1"/>
    </xf>
    <xf numFmtId="3" fontId="25" fillId="5" borderId="0" xfId="0" applyNumberFormat="1" applyFont="1" applyFill="1" applyAlignment="1">
      <alignment horizontal="right" vertical="center" wrapText="1"/>
    </xf>
    <xf numFmtId="3" fontId="26" fillId="5" borderId="0" xfId="0" applyNumberFormat="1" applyFont="1" applyFill="1" applyAlignment="1">
      <alignment horizontal="center" vertical="center" wrapText="1"/>
    </xf>
    <xf numFmtId="2" fontId="25" fillId="5" borderId="0" xfId="0" applyNumberFormat="1" applyFont="1" applyFill="1" applyAlignment="1">
      <alignment horizontal="right" vertical="center" wrapText="1"/>
    </xf>
    <xf numFmtId="2" fontId="39" fillId="5" borderId="0" xfId="0" applyNumberFormat="1" applyFont="1" applyFill="1" applyAlignment="1">
      <alignment horizontal="right" vertical="center" wrapText="1"/>
    </xf>
    <xf numFmtId="0" fontId="68" fillId="5" borderId="0" xfId="0" applyFont="1" applyFill="1" applyAlignment="1">
      <alignment horizontal="left" vertical="center" wrapText="1"/>
    </xf>
    <xf numFmtId="9" fontId="68" fillId="5" borderId="0" xfId="0" applyNumberFormat="1" applyFont="1" applyFill="1" applyAlignment="1">
      <alignment horizontal="center" vertical="center" wrapText="1"/>
    </xf>
    <xf numFmtId="0" fontId="1" fillId="7" borderId="0" xfId="0" applyFont="1" applyFill="1" applyAlignment="1">
      <alignment horizontal="center" vertical="center" wrapText="1"/>
    </xf>
    <xf numFmtId="0" fontId="1" fillId="7" borderId="0" xfId="0" applyFont="1" applyFill="1" applyAlignment="1">
      <alignment vertical="center" wrapText="1"/>
    </xf>
    <xf numFmtId="0" fontId="0" fillId="5" borderId="0" xfId="0" applyFill="1" applyAlignment="1">
      <alignment horizontal="left"/>
    </xf>
    <xf numFmtId="0" fontId="11" fillId="5" borderId="0" xfId="2" applyFill="1" applyAlignment="1">
      <alignment horizontal="left" vertical="top"/>
    </xf>
    <xf numFmtId="0" fontId="82" fillId="5" borderId="0" xfId="0" applyFont="1" applyFill="1"/>
    <xf numFmtId="0" fontId="25" fillId="5" borderId="4" xfId="2" applyFont="1" applyFill="1" applyBorder="1" applyAlignment="1">
      <alignment vertical="center"/>
    </xf>
    <xf numFmtId="0" fontId="0" fillId="5" borderId="1" xfId="0" applyFill="1" applyBorder="1" applyAlignment="1">
      <alignment horizontal="centerContinuous"/>
    </xf>
    <xf numFmtId="0" fontId="0" fillId="5" borderId="0" xfId="0" applyFill="1" applyAlignment="1">
      <alignment horizontal="center"/>
    </xf>
    <xf numFmtId="0" fontId="11" fillId="8" borderId="3" xfId="2" applyFill="1" applyBorder="1" applyAlignment="1">
      <alignment horizontal="centerContinuous" vertical="center" wrapText="1"/>
    </xf>
    <xf numFmtId="0" fontId="11" fillId="8" borderId="15" xfId="2" applyFill="1" applyBorder="1" applyAlignment="1">
      <alignment horizontal="centerContinuous" vertical="center" wrapText="1"/>
    </xf>
    <xf numFmtId="0" fontId="11" fillId="8" borderId="16" xfId="2" applyFill="1" applyBorder="1" applyAlignment="1">
      <alignment horizontal="centerContinuous" vertical="center" wrapText="1"/>
    </xf>
    <xf numFmtId="0" fontId="25" fillId="5" borderId="0" xfId="2" applyFont="1" applyFill="1" applyAlignment="1">
      <alignment horizontal="left" vertical="center" indent="1"/>
    </xf>
    <xf numFmtId="0" fontId="24" fillId="8" borderId="12" xfId="2" applyFont="1" applyFill="1" applyBorder="1" applyAlignment="1">
      <alignment horizontal="center" vertical="center" wrapText="1"/>
    </xf>
    <xf numFmtId="0" fontId="24" fillId="8" borderId="12" xfId="2" applyFont="1" applyFill="1" applyBorder="1" applyAlignment="1">
      <alignment horizontal="centerContinuous" vertical="center" wrapText="1"/>
    </xf>
    <xf numFmtId="0" fontId="24" fillId="8" borderId="6" xfId="2" applyFont="1" applyFill="1" applyBorder="1" applyAlignment="1">
      <alignment horizontal="center" vertical="center" wrapText="1"/>
    </xf>
    <xf numFmtId="0" fontId="11" fillId="8" borderId="28" xfId="0" applyFont="1" applyFill="1" applyBorder="1" applyAlignment="1">
      <alignment horizontal="center" vertical="center" wrapText="1"/>
    </xf>
    <xf numFmtId="0" fontId="11" fillId="8" borderId="17" xfId="0" applyFont="1" applyFill="1" applyBorder="1" applyAlignment="1">
      <alignment horizontal="center" vertical="center" wrapText="1"/>
    </xf>
    <xf numFmtId="0" fontId="11" fillId="8" borderId="18" xfId="0" applyFont="1" applyFill="1" applyBorder="1" applyAlignment="1">
      <alignment horizontal="center" vertical="center" wrapText="1"/>
    </xf>
    <xf numFmtId="0" fontId="34" fillId="5" borderId="14" xfId="0" applyFont="1" applyFill="1" applyBorder="1" applyAlignment="1">
      <alignment horizontal="left" vertical="top" wrapText="1"/>
    </xf>
    <xf numFmtId="0" fontId="5" fillId="5" borderId="14" xfId="0" applyFont="1" applyFill="1" applyBorder="1" applyAlignment="1">
      <alignment horizontal="center" vertical="center" wrapText="1"/>
    </xf>
    <xf numFmtId="0" fontId="5" fillId="4" borderId="18" xfId="0" applyFont="1" applyFill="1" applyBorder="1" applyAlignment="1">
      <alignment horizontal="center" vertical="center" wrapText="1"/>
    </xf>
    <xf numFmtId="0" fontId="11" fillId="8" borderId="4" xfId="2" applyFill="1" applyBorder="1" applyAlignment="1">
      <alignment horizontal="centerContinuous" vertical="center" wrapText="1"/>
    </xf>
    <xf numFmtId="2" fontId="39" fillId="5" borderId="0" xfId="0" applyNumberFormat="1" applyFont="1" applyFill="1" applyAlignment="1">
      <alignment horizontal="left" vertical="center" wrapText="1"/>
    </xf>
    <xf numFmtId="0" fontId="11" fillId="5" borderId="12" xfId="2" applyFill="1" applyBorder="1" applyAlignment="1">
      <alignment horizontal="centerContinuous" vertical="center"/>
    </xf>
    <xf numFmtId="3" fontId="11" fillId="5" borderId="15" xfId="1" applyNumberFormat="1" applyFont="1" applyFill="1" applyBorder="1" applyAlignment="1" applyProtection="1">
      <alignment horizontal="right" vertical="center"/>
    </xf>
    <xf numFmtId="4" fontId="11" fillId="5" borderId="15" xfId="2" applyNumberFormat="1" applyFill="1" applyBorder="1" applyAlignment="1">
      <alignment horizontal="right" vertical="center"/>
    </xf>
    <xf numFmtId="3" fontId="1" fillId="5" borderId="15" xfId="2" applyNumberFormat="1" applyFont="1" applyFill="1" applyBorder="1" applyAlignment="1">
      <alignment horizontal="right" vertical="center"/>
    </xf>
    <xf numFmtId="0" fontId="1" fillId="5" borderId="3" xfId="0" applyFont="1" applyFill="1" applyBorder="1"/>
    <xf numFmtId="0" fontId="1" fillId="4" borderId="4" xfId="0" applyFont="1" applyFill="1" applyBorder="1" applyAlignment="1">
      <alignment vertical="center"/>
    </xf>
    <xf numFmtId="3" fontId="39" fillId="5" borderId="4" xfId="0" applyNumberFormat="1" applyFont="1" applyFill="1" applyBorder="1" applyAlignment="1">
      <alignment horizontal="left" vertical="center" wrapText="1"/>
    </xf>
    <xf numFmtId="0" fontId="0" fillId="5" borderId="0" xfId="0" applyFill="1" applyAlignment="1">
      <alignment horizontal="left" vertical="top" wrapText="1"/>
    </xf>
    <xf numFmtId="0" fontId="34" fillId="4" borderId="45" xfId="0" applyFont="1" applyFill="1" applyBorder="1" applyAlignment="1">
      <alignment wrapText="1"/>
    </xf>
    <xf numFmtId="0" fontId="34" fillId="4" borderId="4" xfId="0" applyFont="1" applyFill="1" applyBorder="1" applyAlignment="1">
      <alignment horizontal="center" wrapText="1"/>
    </xf>
    <xf numFmtId="0" fontId="34" fillId="4" borderId="4" xfId="0" applyFont="1" applyFill="1" applyBorder="1" applyAlignment="1">
      <alignment wrapText="1"/>
    </xf>
    <xf numFmtId="0" fontId="24" fillId="4" borderId="45" xfId="0" applyFont="1" applyFill="1" applyBorder="1" applyAlignment="1">
      <alignment horizontal="center" vertical="center" wrapText="1"/>
    </xf>
    <xf numFmtId="0" fontId="34" fillId="4" borderId="45" xfId="0" applyFont="1" applyFill="1" applyBorder="1" applyAlignment="1">
      <alignment horizontal="center" wrapText="1"/>
    </xf>
    <xf numFmtId="170" fontId="39" fillId="5" borderId="0" xfId="0" applyNumberFormat="1" applyFont="1" applyFill="1" applyAlignment="1">
      <alignment horizontal="left" vertical="center" wrapText="1"/>
    </xf>
    <xf numFmtId="0" fontId="24" fillId="8" borderId="4" xfId="2" applyFont="1" applyFill="1" applyBorder="1" applyAlignment="1">
      <alignment horizontal="center" vertical="center" wrapText="1"/>
    </xf>
    <xf numFmtId="0" fontId="24" fillId="8" borderId="4" xfId="0" applyFont="1" applyFill="1" applyBorder="1" applyAlignment="1">
      <alignment horizontal="left" vertical="center" wrapText="1"/>
    </xf>
    <xf numFmtId="0" fontId="24" fillId="4" borderId="4" xfId="0" applyFont="1" applyFill="1" applyBorder="1" applyAlignment="1">
      <alignment horizontal="left" vertical="center" wrapText="1"/>
    </xf>
    <xf numFmtId="0" fontId="14" fillId="8" borderId="4" xfId="0" applyFont="1" applyFill="1" applyBorder="1" applyAlignment="1">
      <alignment horizontal="left" vertical="center" wrapText="1"/>
    </xf>
    <xf numFmtId="2" fontId="39" fillId="5" borderId="4" xfId="0" applyNumberFormat="1" applyFont="1" applyFill="1" applyBorder="1" applyAlignment="1">
      <alignment horizontal="center" vertical="center" wrapText="1"/>
    </xf>
    <xf numFmtId="4" fontId="39" fillId="5" borderId="4" xfId="0" applyNumberFormat="1" applyFont="1" applyFill="1" applyBorder="1" applyAlignment="1">
      <alignment horizontal="center" vertical="center" wrapText="1"/>
    </xf>
    <xf numFmtId="0" fontId="34" fillId="4" borderId="45" xfId="0" applyFont="1" applyFill="1" applyBorder="1"/>
    <xf numFmtId="0" fontId="34" fillId="4" borderId="4" xfId="0" applyFont="1" applyFill="1" applyBorder="1"/>
    <xf numFmtId="0" fontId="34" fillId="0" borderId="14" xfId="0" applyFont="1" applyBorder="1" applyAlignment="1">
      <alignment horizontal="left" vertical="top" wrapText="1"/>
    </xf>
    <xf numFmtId="0" fontId="93" fillId="0" borderId="0" xfId="0" applyFont="1" applyAlignment="1">
      <alignment horizontal="left" vertical="top" wrapText="1"/>
    </xf>
    <xf numFmtId="3" fontId="25" fillId="5" borderId="4" xfId="2" applyNumberFormat="1" applyFont="1" applyFill="1" applyBorder="1" applyAlignment="1">
      <alignment horizontal="left" vertical="center"/>
    </xf>
    <xf numFmtId="3" fontId="39" fillId="5" borderId="4" xfId="0" applyNumberFormat="1" applyFont="1" applyFill="1" applyBorder="1" applyAlignment="1">
      <alignment horizontal="center" vertical="center" wrapText="1"/>
    </xf>
    <xf numFmtId="0" fontId="34" fillId="8" borderId="4" xfId="0" applyFont="1" applyFill="1" applyBorder="1"/>
    <xf numFmtId="0" fontId="34" fillId="8" borderId="4" xfId="0" applyFont="1" applyFill="1" applyBorder="1" applyAlignment="1">
      <alignment wrapText="1"/>
    </xf>
    <xf numFmtId="0" fontId="34" fillId="8" borderId="4" xfId="0" applyFont="1" applyFill="1" applyBorder="1" applyAlignment="1">
      <alignment horizontal="center" vertical="center" wrapText="1"/>
    </xf>
    <xf numFmtId="0" fontId="24" fillId="4" borderId="17" xfId="0" applyFont="1" applyFill="1" applyBorder="1" applyAlignment="1">
      <alignment vertical="center" wrapText="1"/>
    </xf>
    <xf numFmtId="0" fontId="11" fillId="4" borderId="18" xfId="0" applyFont="1" applyFill="1" applyBorder="1" applyAlignment="1">
      <alignment vertical="center" wrapText="1"/>
    </xf>
    <xf numFmtId="0" fontId="5" fillId="4" borderId="18" xfId="0" applyFont="1" applyFill="1" applyBorder="1" applyAlignment="1">
      <alignment vertical="center" wrapText="1"/>
    </xf>
    <xf numFmtId="0" fontId="5" fillId="4" borderId="19" xfId="0" applyFont="1" applyFill="1" applyBorder="1" applyAlignment="1">
      <alignment horizontal="center" vertical="center" wrapText="1"/>
    </xf>
    <xf numFmtId="0" fontId="34" fillId="8" borderId="17" xfId="0" applyFont="1" applyFill="1" applyBorder="1" applyAlignment="1">
      <alignment vertical="center"/>
    </xf>
    <xf numFmtId="0" fontId="34" fillId="8" borderId="18" xfId="0" applyFont="1" applyFill="1" applyBorder="1" applyAlignment="1">
      <alignment vertical="center"/>
    </xf>
    <xf numFmtId="0" fontId="44" fillId="5" borderId="0" xfId="2" applyFont="1" applyFill="1"/>
    <xf numFmtId="0" fontId="44" fillId="5" borderId="0" xfId="2" applyFont="1" applyFill="1" applyAlignment="1">
      <alignment horizontal="center" vertical="center" wrapText="1"/>
    </xf>
    <xf numFmtId="0" fontId="84" fillId="5" borderId="0" xfId="0" applyFont="1" applyFill="1"/>
    <xf numFmtId="0" fontId="34" fillId="4" borderId="45" xfId="0" applyFont="1" applyFill="1" applyBorder="1" applyAlignment="1">
      <alignment vertical="center"/>
    </xf>
    <xf numFmtId="0" fontId="5" fillId="5" borderId="0" xfId="0" applyFont="1" applyFill="1" applyAlignment="1">
      <alignment vertical="center" wrapText="1"/>
    </xf>
    <xf numFmtId="0" fontId="5" fillId="5" borderId="0" xfId="0" applyFont="1" applyFill="1" applyAlignment="1" applyProtection="1">
      <alignment vertical="center" wrapText="1"/>
      <protection locked="0"/>
    </xf>
    <xf numFmtId="0" fontId="5" fillId="6" borderId="4" xfId="0" applyFont="1" applyFill="1" applyBorder="1" applyAlignment="1" applyProtection="1">
      <alignment vertical="center" wrapText="1"/>
      <protection locked="0"/>
    </xf>
    <xf numFmtId="0" fontId="5" fillId="4" borderId="6" xfId="0" applyFont="1" applyFill="1" applyBorder="1" applyAlignment="1">
      <alignment vertical="center" wrapText="1"/>
    </xf>
    <xf numFmtId="0" fontId="5" fillId="4" borderId="5" xfId="0" applyFont="1" applyFill="1" applyBorder="1" applyAlignment="1">
      <alignment vertical="center" wrapText="1"/>
    </xf>
    <xf numFmtId="0" fontId="5" fillId="4" borderId="45" xfId="0" applyFont="1" applyFill="1" applyBorder="1" applyAlignment="1">
      <alignment vertical="center" wrapText="1"/>
    </xf>
    <xf numFmtId="0" fontId="1" fillId="5" borderId="0" xfId="0" applyFont="1" applyFill="1" applyAlignment="1">
      <alignment horizontal="left" vertical="center" wrapText="1"/>
    </xf>
    <xf numFmtId="0" fontId="5" fillId="5" borderId="0" xfId="0" applyFont="1" applyFill="1" applyAlignment="1">
      <alignment horizontal="center" vertical="center" wrapText="1"/>
    </xf>
    <xf numFmtId="0" fontId="33" fillId="5" borderId="0" xfId="0" applyFont="1" applyFill="1" applyAlignment="1">
      <alignment vertical="center"/>
    </xf>
    <xf numFmtId="0" fontId="5" fillId="5" borderId="0" xfId="0" applyFont="1" applyFill="1"/>
    <xf numFmtId="0" fontId="24" fillId="4" borderId="6" xfId="0" applyFont="1" applyFill="1" applyBorder="1" applyAlignment="1">
      <alignment vertical="center" wrapText="1"/>
    </xf>
    <xf numFmtId="0" fontId="25" fillId="5" borderId="41" xfId="0" applyFont="1" applyFill="1" applyBorder="1" applyAlignment="1">
      <alignment horizontal="left" vertical="center" wrapText="1"/>
    </xf>
    <xf numFmtId="2" fontId="25" fillId="0" borderId="40" xfId="0" applyNumberFormat="1" applyFont="1" applyBorder="1" applyAlignment="1" applyProtection="1">
      <alignment vertical="center" wrapText="1"/>
      <protection hidden="1"/>
    </xf>
    <xf numFmtId="0" fontId="30" fillId="5" borderId="0" xfId="0" applyFont="1" applyFill="1" applyAlignment="1">
      <alignment horizontal="left" vertical="top" wrapText="1"/>
    </xf>
    <xf numFmtId="0" fontId="39" fillId="0" borderId="0" xfId="0" applyFont="1" applyAlignment="1">
      <alignment horizontal="left" vertical="center" indent="1"/>
    </xf>
    <xf numFmtId="0" fontId="39" fillId="0" borderId="0" xfId="0" applyFont="1" applyAlignment="1" applyProtection="1">
      <alignment vertical="center" wrapText="1"/>
      <protection locked="0"/>
    </xf>
    <xf numFmtId="0" fontId="39" fillId="0" borderId="0" xfId="0" applyFont="1" applyAlignment="1">
      <alignment horizontal="left" vertical="center" wrapText="1" indent="1"/>
    </xf>
    <xf numFmtId="0" fontId="39" fillId="0" borderId="0" xfId="0" applyFont="1" applyAlignment="1">
      <alignment horizontal="left" vertical="top" wrapText="1"/>
    </xf>
    <xf numFmtId="0" fontId="39" fillId="0" borderId="0" xfId="0" applyFont="1" applyAlignment="1" applyProtection="1">
      <alignment vertical="center"/>
      <protection locked="0"/>
    </xf>
    <xf numFmtId="0" fontId="39" fillId="6" borderId="40" xfId="0" applyFont="1" applyFill="1" applyBorder="1" applyAlignment="1" applyProtection="1">
      <alignment vertical="center"/>
      <protection locked="0"/>
    </xf>
    <xf numFmtId="0" fontId="11" fillId="5" borderId="0" xfId="0" applyFont="1" applyFill="1" applyAlignment="1">
      <alignment vertical="center" wrapText="1"/>
    </xf>
    <xf numFmtId="0" fontId="39" fillId="5" borderId="0" xfId="0" applyFont="1" applyFill="1" applyAlignment="1" applyProtection="1">
      <alignment vertical="center"/>
      <protection locked="0"/>
    </xf>
    <xf numFmtId="0" fontId="69" fillId="6" borderId="41" xfId="0" applyFont="1" applyFill="1" applyBorder="1" applyAlignment="1" applyProtection="1">
      <alignment horizontal="center" vertical="center" wrapText="1"/>
      <protection locked="0"/>
    </xf>
    <xf numFmtId="9" fontId="25" fillId="8" borderId="23" xfId="10" applyFont="1" applyFill="1" applyBorder="1" applyAlignment="1" applyProtection="1">
      <alignment horizontal="center" vertical="center"/>
    </xf>
    <xf numFmtId="9" fontId="25" fillId="8" borderId="24" xfId="10" applyFont="1" applyFill="1" applyBorder="1" applyAlignment="1" applyProtection="1">
      <alignment horizontal="center" vertical="center"/>
    </xf>
    <xf numFmtId="1" fontId="25" fillId="0" borderId="28" xfId="10" applyNumberFormat="1" applyFont="1" applyFill="1" applyBorder="1" applyAlignment="1" applyProtection="1">
      <alignment horizontal="center" vertical="center"/>
    </xf>
    <xf numFmtId="0" fontId="1" fillId="5" borderId="12" xfId="0" applyFont="1" applyFill="1" applyBorder="1" applyAlignment="1">
      <alignment horizontal="center" vertical="center"/>
    </xf>
    <xf numFmtId="0" fontId="1" fillId="8" borderId="5" xfId="0" applyFont="1" applyFill="1" applyBorder="1" applyAlignment="1">
      <alignment horizontal="center" vertical="center"/>
    </xf>
    <xf numFmtId="0" fontId="11" fillId="5" borderId="50" xfId="0" applyFont="1" applyFill="1" applyBorder="1" applyAlignment="1">
      <alignment horizontal="center" vertical="center" wrapText="1"/>
    </xf>
    <xf numFmtId="0" fontId="24" fillId="5" borderId="45" xfId="0" applyFont="1" applyFill="1" applyBorder="1" applyAlignment="1">
      <alignment horizontal="center" vertical="center" wrapText="1"/>
    </xf>
    <xf numFmtId="0" fontId="24" fillId="6" borderId="45" xfId="0" applyFont="1" applyFill="1" applyBorder="1" applyAlignment="1" applyProtection="1">
      <alignment horizontal="center" vertical="center" wrapText="1"/>
      <protection locked="0"/>
    </xf>
    <xf numFmtId="0" fontId="4" fillId="5" borderId="0" xfId="0" applyFont="1" applyFill="1" applyAlignment="1">
      <alignment horizontal="left" vertical="center" wrapText="1" indent="1"/>
    </xf>
    <xf numFmtId="0" fontId="39" fillId="5" borderId="0" xfId="0" applyFont="1" applyFill="1" applyAlignment="1" applyProtection="1">
      <alignment horizontal="center" vertical="center"/>
      <protection locked="0"/>
    </xf>
    <xf numFmtId="2" fontId="25" fillId="5" borderId="0" xfId="0" applyNumberFormat="1" applyFont="1" applyFill="1" applyAlignment="1">
      <alignment vertical="center" wrapText="1"/>
    </xf>
    <xf numFmtId="9" fontId="68" fillId="5" borderId="0" xfId="0" applyNumberFormat="1" applyFont="1" applyFill="1" applyAlignment="1">
      <alignment vertical="center" wrapText="1"/>
    </xf>
    <xf numFmtId="9" fontId="97" fillId="5" borderId="0" xfId="0" applyNumberFormat="1" applyFont="1" applyFill="1" applyAlignment="1">
      <alignment vertical="center" wrapText="1"/>
    </xf>
    <xf numFmtId="0" fontId="11" fillId="8" borderId="22" xfId="0" applyFont="1" applyFill="1" applyBorder="1" applyAlignment="1">
      <alignment horizontal="center" vertical="center" wrapText="1"/>
    </xf>
    <xf numFmtId="0" fontId="95" fillId="5" borderId="0" xfId="0" applyFont="1" applyFill="1"/>
    <xf numFmtId="0" fontId="11" fillId="8" borderId="4" xfId="0" applyFont="1" applyFill="1" applyBorder="1" applyAlignment="1">
      <alignment horizontal="center" vertical="center" wrapText="1"/>
    </xf>
    <xf numFmtId="196" fontId="39" fillId="5" borderId="0" xfId="0" applyNumberFormat="1" applyFont="1" applyFill="1" applyAlignment="1">
      <alignment horizontal="right" vertical="center" wrapText="1"/>
    </xf>
    <xf numFmtId="0" fontId="39" fillId="5" borderId="40" xfId="0" applyFont="1" applyFill="1" applyBorder="1" applyAlignment="1">
      <alignment horizontal="left" vertical="center" wrapText="1"/>
    </xf>
    <xf numFmtId="0" fontId="1" fillId="0" borderId="0" xfId="0" applyFont="1" applyAlignment="1">
      <alignment horizontal="center" vertical="center"/>
    </xf>
    <xf numFmtId="0" fontId="1" fillId="0" borderId="4" xfId="0" applyFont="1" applyBorder="1" applyAlignment="1">
      <alignment horizontal="center" vertical="center"/>
    </xf>
    <xf numFmtId="0" fontId="90" fillId="0" borderId="0" xfId="0" applyFont="1" applyAlignment="1">
      <alignment vertical="center"/>
    </xf>
    <xf numFmtId="39" fontId="39" fillId="5" borderId="4" xfId="1" applyNumberFormat="1" applyFont="1" applyFill="1" applyBorder="1" applyAlignment="1">
      <alignment horizontal="center" vertical="center"/>
    </xf>
    <xf numFmtId="0" fontId="24" fillId="8" borderId="132" xfId="2" applyFont="1" applyFill="1" applyBorder="1" applyAlignment="1">
      <alignment horizontal="center" vertical="center" wrapText="1"/>
    </xf>
    <xf numFmtId="0" fontId="28" fillId="5" borderId="0" xfId="0" applyFont="1" applyFill="1" applyAlignment="1">
      <alignment vertical="center" wrapText="1"/>
    </xf>
    <xf numFmtId="0" fontId="1" fillId="5" borderId="0" xfId="0" applyFont="1" applyFill="1"/>
    <xf numFmtId="0" fontId="32" fillId="8" borderId="18" xfId="0" applyFont="1" applyFill="1" applyBorder="1" applyAlignment="1">
      <alignment horizontal="center" vertical="center" wrapText="1"/>
    </xf>
    <xf numFmtId="0" fontId="34" fillId="8" borderId="18" xfId="0" applyFont="1" applyFill="1" applyBorder="1" applyAlignment="1">
      <alignment horizontal="center" vertical="center" wrapText="1"/>
    </xf>
    <xf numFmtId="0" fontId="34" fillId="8" borderId="125" xfId="0" applyFont="1" applyFill="1" applyBorder="1" applyAlignment="1">
      <alignment horizontal="center" vertical="center" wrapText="1"/>
    </xf>
    <xf numFmtId="9" fontId="1" fillId="8" borderId="0" xfId="0" applyNumberFormat="1" applyFont="1" applyFill="1" applyAlignment="1">
      <alignment horizontal="center" vertical="center" wrapText="1"/>
    </xf>
    <xf numFmtId="0" fontId="32" fillId="8" borderId="0" xfId="0" applyFont="1" applyFill="1" applyAlignment="1">
      <alignment horizontal="center" vertical="center" wrapText="1"/>
    </xf>
    <xf numFmtId="0" fontId="32" fillId="8" borderId="42" xfId="0" applyFont="1" applyFill="1" applyBorder="1" applyAlignment="1">
      <alignment horizontal="center" vertical="center" wrapText="1"/>
    </xf>
    <xf numFmtId="0" fontId="32" fillId="8" borderId="41" xfId="0" applyFont="1" applyFill="1" applyBorder="1" applyAlignment="1">
      <alignment horizontal="center" vertical="center" wrapText="1"/>
    </xf>
    <xf numFmtId="0" fontId="32" fillId="8" borderId="44" xfId="0" applyFont="1" applyFill="1" applyBorder="1" applyAlignment="1">
      <alignment horizontal="center" vertical="center" wrapText="1"/>
    </xf>
    <xf numFmtId="0" fontId="32" fillId="8" borderId="40" xfId="0" applyFont="1" applyFill="1" applyBorder="1" applyAlignment="1">
      <alignment horizontal="center" vertical="center" wrapText="1"/>
    </xf>
    <xf numFmtId="0" fontId="34" fillId="8" borderId="5" xfId="0" applyFont="1" applyFill="1" applyBorder="1" applyAlignment="1">
      <alignment horizontal="center" vertical="center" wrapText="1"/>
    </xf>
    <xf numFmtId="0" fontId="1" fillId="8" borderId="42" xfId="0" applyFont="1" applyFill="1" applyBorder="1" applyAlignment="1">
      <alignment horizontal="center" vertical="center" wrapText="1"/>
    </xf>
    <xf numFmtId="0" fontId="1" fillId="8" borderId="41" xfId="0" applyFont="1" applyFill="1" applyBorder="1" applyAlignment="1">
      <alignment horizontal="center" vertical="center" wrapText="1"/>
    </xf>
    <xf numFmtId="0" fontId="1" fillId="8" borderId="44" xfId="0" applyFont="1" applyFill="1" applyBorder="1" applyAlignment="1">
      <alignment horizontal="center" vertical="center" wrapText="1"/>
    </xf>
    <xf numFmtId="0" fontId="1" fillId="8" borderId="40" xfId="0" applyFont="1" applyFill="1" applyBorder="1" applyAlignment="1">
      <alignment horizontal="center" vertical="center" wrapText="1"/>
    </xf>
    <xf numFmtId="0" fontId="34" fillId="8" borderId="17" xfId="0" applyFont="1" applyFill="1" applyBorder="1" applyAlignment="1">
      <alignment horizontal="center" vertical="center" wrapText="1"/>
    </xf>
    <xf numFmtId="0" fontId="39" fillId="5" borderId="14" xfId="0" applyFont="1" applyFill="1" applyBorder="1" applyAlignment="1" applyProtection="1">
      <alignment horizontal="center" vertical="center" wrapText="1"/>
      <protection locked="0"/>
    </xf>
    <xf numFmtId="0" fontId="0" fillId="0" borderId="0" xfId="0" applyAlignment="1">
      <alignment wrapText="1"/>
    </xf>
    <xf numFmtId="0" fontId="1" fillId="5" borderId="0" xfId="2" applyFont="1" applyFill="1" applyAlignment="1">
      <alignment vertical="top" wrapText="1"/>
    </xf>
    <xf numFmtId="2" fontId="1" fillId="0" borderId="0" xfId="13" applyNumberFormat="1" applyFont="1"/>
    <xf numFmtId="49" fontId="1" fillId="0" borderId="0" xfId="13" applyNumberFormat="1" applyFont="1" applyAlignment="1">
      <alignment horizontal="right"/>
    </xf>
    <xf numFmtId="0" fontId="1" fillId="0" borderId="0" xfId="0" applyFont="1" applyAlignment="1">
      <alignment horizontal="center" vertical="center" wrapText="1"/>
    </xf>
    <xf numFmtId="170" fontId="1" fillId="0" borderId="0" xfId="0" applyNumberFormat="1" applyFont="1" applyAlignment="1">
      <alignment horizontal="center" vertical="center"/>
    </xf>
    <xf numFmtId="0" fontId="39" fillId="6" borderId="44" xfId="0" applyFont="1" applyFill="1" applyBorder="1" applyAlignment="1" applyProtection="1">
      <alignment horizontal="left" vertical="center" wrapText="1"/>
      <protection locked="0"/>
    </xf>
    <xf numFmtId="9" fontId="39" fillId="6" borderId="42" xfId="0" applyNumberFormat="1" applyFont="1" applyFill="1" applyBorder="1" applyAlignment="1" applyProtection="1">
      <alignment horizontal="right" vertical="center" wrapText="1"/>
      <protection locked="0"/>
    </xf>
    <xf numFmtId="0" fontId="24" fillId="8" borderId="140" xfId="2" applyFont="1" applyFill="1" applyBorder="1" applyAlignment="1">
      <alignment horizontal="center" vertical="center" wrapText="1"/>
    </xf>
    <xf numFmtId="0" fontId="105" fillId="0" borderId="0" xfId="0" applyFont="1"/>
    <xf numFmtId="0" fontId="106" fillId="5" borderId="0" xfId="0" applyFont="1" applyFill="1"/>
    <xf numFmtId="0" fontId="1" fillId="0" borderId="0" xfId="0" applyFont="1" applyAlignment="1">
      <alignment horizontal="left" vertical="center" wrapText="1"/>
    </xf>
    <xf numFmtId="0" fontId="1" fillId="8" borderId="0" xfId="0" applyFont="1" applyFill="1" applyAlignment="1">
      <alignment horizontal="center" vertical="center" wrapText="1"/>
    </xf>
    <xf numFmtId="0" fontId="1" fillId="0" borderId="0" xfId="0" applyFont="1" applyAlignment="1">
      <alignment vertical="center"/>
    </xf>
    <xf numFmtId="0" fontId="24" fillId="8" borderId="5" xfId="0" applyFont="1" applyFill="1" applyBorder="1" applyAlignment="1">
      <alignment horizontal="center" vertical="center"/>
    </xf>
    <xf numFmtId="0" fontId="24" fillId="5" borderId="4" xfId="0" applyFont="1" applyFill="1" applyBorder="1" applyAlignment="1">
      <alignment horizontal="center" vertical="center" wrapText="1"/>
    </xf>
    <xf numFmtId="0" fontId="24" fillId="5" borderId="15" xfId="0" applyFont="1" applyFill="1" applyBorder="1" applyAlignment="1">
      <alignment horizontal="center" vertical="center" wrapText="1"/>
    </xf>
    <xf numFmtId="0" fontId="39" fillId="6" borderId="50" xfId="0" applyFont="1" applyFill="1" applyBorder="1" applyAlignment="1" applyProtection="1">
      <alignment horizontal="right" vertical="center" wrapText="1"/>
      <protection locked="0"/>
    </xf>
    <xf numFmtId="0" fontId="39" fillId="6" borderId="141" xfId="0" applyFont="1" applyFill="1" applyBorder="1" applyAlignment="1" applyProtection="1">
      <alignment vertical="center" wrapText="1"/>
      <protection locked="0"/>
    </xf>
    <xf numFmtId="0" fontId="24" fillId="5" borderId="50" xfId="0" applyFont="1" applyFill="1" applyBorder="1" applyAlignment="1">
      <alignment horizontal="center" vertical="center" wrapText="1"/>
    </xf>
    <xf numFmtId="0" fontId="39" fillId="6" borderId="51" xfId="0" applyFont="1" applyFill="1" applyBorder="1" applyAlignment="1" applyProtection="1">
      <alignment horizontal="left" vertical="center" wrapText="1"/>
      <protection locked="0"/>
    </xf>
    <xf numFmtId="0" fontId="24" fillId="4" borderId="12" xfId="0" applyFont="1" applyFill="1" applyBorder="1" applyAlignment="1">
      <alignment horizontal="center" vertical="center" wrapText="1"/>
    </xf>
    <xf numFmtId="0" fontId="24" fillId="4" borderId="17" xfId="0" applyFont="1" applyFill="1" applyBorder="1" applyAlignment="1">
      <alignment horizontal="center" vertical="center" wrapText="1"/>
    </xf>
    <xf numFmtId="0" fontId="39" fillId="4" borderId="1" xfId="0" applyFont="1" applyFill="1" applyBorder="1" applyAlignment="1" applyProtection="1">
      <alignment vertical="center" wrapText="1"/>
      <protection locked="0"/>
    </xf>
    <xf numFmtId="0" fontId="39" fillId="4" borderId="18" xfId="0" applyFont="1" applyFill="1" applyBorder="1" applyAlignment="1">
      <alignment vertical="center" wrapText="1"/>
    </xf>
    <xf numFmtId="0" fontId="39" fillId="4" borderId="1" xfId="0" applyFont="1" applyFill="1" applyBorder="1" applyAlignment="1" applyProtection="1">
      <alignment horizontal="right" vertical="center" wrapText="1"/>
      <protection locked="0"/>
    </xf>
    <xf numFmtId="0" fontId="39" fillId="4" borderId="18" xfId="0" applyFont="1" applyFill="1" applyBorder="1" applyAlignment="1">
      <alignment horizontal="right" vertical="center" wrapText="1"/>
    </xf>
    <xf numFmtId="0" fontId="39" fillId="4" borderId="1" xfId="0" applyFont="1" applyFill="1" applyBorder="1" applyAlignment="1" applyProtection="1">
      <alignment horizontal="center" vertical="center" wrapText="1"/>
      <protection locked="0"/>
    </xf>
    <xf numFmtId="0" fontId="39" fillId="4" borderId="18" xfId="0" applyFont="1" applyFill="1" applyBorder="1" applyAlignment="1">
      <alignment horizontal="center" vertical="center" wrapText="1"/>
    </xf>
    <xf numFmtId="0" fontId="39" fillId="4" borderId="13" xfId="0" applyFont="1" applyFill="1" applyBorder="1" applyAlignment="1" applyProtection="1">
      <alignment vertical="center" wrapText="1"/>
      <protection locked="0"/>
    </xf>
    <xf numFmtId="0" fontId="39" fillId="4" borderId="19" xfId="0" applyFont="1" applyFill="1" applyBorder="1" applyAlignment="1">
      <alignment vertical="center" wrapText="1"/>
    </xf>
    <xf numFmtId="0" fontId="10" fillId="4" borderId="6" xfId="0" applyFont="1" applyFill="1" applyBorder="1" applyAlignment="1">
      <alignment horizontal="center" vertical="center"/>
    </xf>
    <xf numFmtId="0" fontId="10" fillId="4" borderId="5" xfId="0" applyFont="1" applyFill="1" applyBorder="1" applyAlignment="1">
      <alignment horizontal="center" vertical="center"/>
    </xf>
    <xf numFmtId="0" fontId="10" fillId="4" borderId="45" xfId="0" applyFont="1" applyFill="1" applyBorder="1" applyAlignment="1">
      <alignment horizontal="center" vertical="center"/>
    </xf>
    <xf numFmtId="0" fontId="39" fillId="4" borderId="18" xfId="0" applyFont="1" applyFill="1" applyBorder="1" applyAlignment="1">
      <alignment horizontal="left" vertical="center" wrapText="1"/>
    </xf>
    <xf numFmtId="0" fontId="39" fillId="4" borderId="1" xfId="0" applyFont="1" applyFill="1" applyBorder="1" applyAlignment="1" applyProtection="1">
      <alignment horizontal="left" vertical="center" wrapText="1"/>
      <protection locked="0"/>
    </xf>
    <xf numFmtId="0" fontId="10" fillId="4" borderId="5" xfId="0" applyFont="1" applyFill="1" applyBorder="1" applyAlignment="1">
      <alignment horizontal="left" vertical="center"/>
    </xf>
    <xf numFmtId="0" fontId="63" fillId="4" borderId="18" xfId="0" applyFont="1" applyFill="1" applyBorder="1" applyAlignment="1">
      <alignment horizontal="center" vertical="center"/>
    </xf>
    <xf numFmtId="0" fontId="63" fillId="4" borderId="19" xfId="0" applyFont="1" applyFill="1" applyBorder="1" applyAlignment="1">
      <alignment horizontal="center" vertical="center"/>
    </xf>
    <xf numFmtId="0" fontId="63" fillId="4" borderId="1" xfId="0" applyFont="1" applyFill="1" applyBorder="1" applyAlignment="1">
      <alignment horizontal="center" vertical="center"/>
    </xf>
    <xf numFmtId="0" fontId="63" fillId="4" borderId="13" xfId="0" applyFont="1" applyFill="1" applyBorder="1" applyAlignment="1">
      <alignment horizontal="center" vertical="center"/>
    </xf>
    <xf numFmtId="0" fontId="39" fillId="4" borderId="18" xfId="0" applyFont="1" applyFill="1" applyBorder="1" applyAlignment="1" applyProtection="1">
      <alignment vertical="center" wrapText="1"/>
      <protection locked="0"/>
    </xf>
    <xf numFmtId="0" fontId="39" fillId="4" borderId="19" xfId="0" applyFont="1" applyFill="1" applyBorder="1" applyAlignment="1" applyProtection="1">
      <alignment vertical="center" wrapText="1"/>
      <protection locked="0"/>
    </xf>
    <xf numFmtId="0" fontId="39" fillId="5" borderId="0" xfId="0" applyFont="1" applyFill="1" applyAlignment="1" applyProtection="1">
      <alignment horizontal="left" vertical="top"/>
      <protection locked="0"/>
    </xf>
    <xf numFmtId="3" fontId="25" fillId="5" borderId="4" xfId="2" applyNumberFormat="1" applyFont="1" applyFill="1" applyBorder="1" applyAlignment="1">
      <alignment vertical="center"/>
    </xf>
    <xf numFmtId="0" fontId="24" fillId="8" borderId="5" xfId="0" applyFont="1" applyFill="1" applyBorder="1" applyAlignment="1">
      <alignment horizontal="center" vertical="center" wrapText="1"/>
    </xf>
    <xf numFmtId="0" fontId="24" fillId="4" borderId="36" xfId="0" applyFont="1" applyFill="1" applyBorder="1" applyAlignment="1">
      <alignment horizontal="center" vertical="center" wrapText="1"/>
    </xf>
    <xf numFmtId="0" fontId="24" fillId="4" borderId="74" xfId="0" applyFont="1" applyFill="1" applyBorder="1" applyAlignment="1">
      <alignment horizontal="center" vertical="center" wrapText="1"/>
    </xf>
    <xf numFmtId="0" fontId="24" fillId="4" borderId="64" xfId="0" applyFont="1" applyFill="1" applyBorder="1" applyAlignment="1">
      <alignment horizontal="center" vertical="center" wrapText="1"/>
    </xf>
    <xf numFmtId="0" fontId="39" fillId="44" borderId="41" xfId="0" applyFont="1" applyFill="1" applyBorder="1" applyAlignment="1">
      <alignment horizontal="left" vertical="center" wrapText="1"/>
    </xf>
    <xf numFmtId="0" fontId="39" fillId="44" borderId="42" xfId="0" applyFont="1" applyFill="1" applyBorder="1" applyAlignment="1">
      <alignment horizontal="right" vertical="center" wrapText="1"/>
    </xf>
    <xf numFmtId="0" fontId="11" fillId="8" borderId="0" xfId="0" applyFont="1" applyFill="1" applyAlignment="1">
      <alignment horizontal="center" vertical="center" wrapText="1"/>
    </xf>
    <xf numFmtId="0" fontId="0" fillId="5" borderId="0" xfId="0" applyFill="1" applyAlignment="1">
      <alignment wrapText="1"/>
    </xf>
    <xf numFmtId="49" fontId="24" fillId="0" borderId="0" xfId="2" applyNumberFormat="1" applyFont="1" applyAlignment="1">
      <alignment horizontal="left" vertical="top"/>
    </xf>
    <xf numFmtId="0" fontId="24" fillId="0" borderId="0" xfId="2" applyFont="1" applyAlignment="1">
      <alignment horizontal="left" vertical="top"/>
    </xf>
    <xf numFmtId="3" fontId="11" fillId="0" borderId="0" xfId="2" applyNumberFormat="1" applyAlignment="1">
      <alignment horizontal="left" vertical="center" wrapText="1"/>
    </xf>
    <xf numFmtId="3" fontId="11" fillId="5" borderId="0" xfId="2" applyNumberFormat="1" applyFill="1" applyAlignment="1">
      <alignment horizontal="left" vertical="center" wrapText="1"/>
    </xf>
    <xf numFmtId="0" fontId="11" fillId="0" borderId="0" xfId="2" applyAlignment="1">
      <alignment horizontal="center" vertical="center"/>
    </xf>
    <xf numFmtId="0" fontId="11" fillId="5" borderId="0" xfId="2" applyFill="1" applyAlignment="1">
      <alignment horizontal="center" vertical="center" wrapText="1"/>
    </xf>
    <xf numFmtId="0" fontId="11" fillId="5" borderId="0" xfId="2" applyFill="1" applyAlignment="1">
      <alignment vertical="center" wrapText="1"/>
    </xf>
    <xf numFmtId="0" fontId="24" fillId="4" borderId="18" xfId="0" applyFont="1" applyFill="1" applyBorder="1" applyAlignment="1">
      <alignment vertical="center" wrapText="1"/>
    </xf>
    <xf numFmtId="0" fontId="21" fillId="45" borderId="41" xfId="0" applyFont="1" applyFill="1" applyBorder="1" applyAlignment="1">
      <alignment horizontal="left" vertical="top" wrapText="1"/>
    </xf>
    <xf numFmtId="0" fontId="21" fillId="45" borderId="60" xfId="0" applyFont="1" applyFill="1" applyBorder="1" applyAlignment="1">
      <alignment vertical="center" wrapText="1"/>
    </xf>
    <xf numFmtId="49" fontId="11" fillId="4" borderId="119" xfId="2" applyNumberFormat="1" applyFill="1" applyBorder="1" applyAlignment="1">
      <alignment horizontal="center" vertical="center" wrapText="1"/>
    </xf>
    <xf numFmtId="0" fontId="8" fillId="5" borderId="0" xfId="0" applyFont="1" applyFill="1" applyAlignment="1">
      <alignment horizontal="center" vertical="center" wrapText="1"/>
    </xf>
    <xf numFmtId="0" fontId="35" fillId="5" borderId="0" xfId="0" applyFont="1" applyFill="1" applyAlignment="1">
      <alignment vertical="center"/>
    </xf>
    <xf numFmtId="0" fontId="107" fillId="5" borderId="0" xfId="0" applyFont="1" applyFill="1"/>
    <xf numFmtId="0" fontId="44" fillId="5" borderId="0" xfId="0" applyFont="1" applyFill="1" applyAlignment="1">
      <alignment wrapText="1"/>
    </xf>
    <xf numFmtId="0" fontId="110" fillId="5" borderId="0" xfId="0" applyFont="1" applyFill="1"/>
    <xf numFmtId="0" fontId="25" fillId="5" borderId="12" xfId="2" applyFont="1" applyFill="1" applyBorder="1" applyAlignment="1">
      <alignment horizontal="centerContinuous" vertical="center"/>
    </xf>
    <xf numFmtId="0" fontId="25" fillId="5" borderId="4" xfId="2" applyFont="1" applyFill="1" applyBorder="1" applyAlignment="1">
      <alignment horizontal="centerContinuous" vertical="center"/>
    </xf>
    <xf numFmtId="0" fontId="25" fillId="5" borderId="3" xfId="2" applyFont="1" applyFill="1" applyBorder="1" applyAlignment="1">
      <alignment horizontal="centerContinuous" vertical="center"/>
    </xf>
    <xf numFmtId="0" fontId="25" fillId="5" borderId="15" xfId="2" applyFont="1" applyFill="1" applyBorder="1" applyAlignment="1">
      <alignment horizontal="centerContinuous" vertical="center"/>
    </xf>
    <xf numFmtId="0" fontId="25" fillId="5" borderId="16" xfId="2" applyFont="1" applyFill="1" applyBorder="1" applyAlignment="1">
      <alignment horizontal="centerContinuous" vertical="center"/>
    </xf>
    <xf numFmtId="2" fontId="25" fillId="5" borderId="3" xfId="2" applyNumberFormat="1" applyFont="1" applyFill="1" applyBorder="1" applyAlignment="1">
      <alignment horizontal="centerContinuous" vertical="center"/>
    </xf>
    <xf numFmtId="0" fontId="19" fillId="0" borderId="4" xfId="0" applyFont="1" applyBorder="1"/>
    <xf numFmtId="0" fontId="25" fillId="4" borderId="4" xfId="0" applyFont="1" applyFill="1" applyBorder="1" applyAlignment="1">
      <alignment horizontal="left" vertical="center" wrapText="1"/>
    </xf>
    <xf numFmtId="2" fontId="25" fillId="5" borderId="4" xfId="0" applyNumberFormat="1" applyFont="1" applyFill="1" applyBorder="1" applyAlignment="1">
      <alignment horizontal="center" vertical="center" wrapText="1"/>
    </xf>
    <xf numFmtId="2" fontId="19" fillId="5" borderId="4" xfId="0" applyNumberFormat="1" applyFont="1" applyFill="1" applyBorder="1" applyAlignment="1">
      <alignment horizontal="center"/>
    </xf>
    <xf numFmtId="4" fontId="19" fillId="5" borderId="4" xfId="0" applyNumberFormat="1" applyFont="1" applyFill="1" applyBorder="1" applyAlignment="1">
      <alignment horizontal="center"/>
    </xf>
    <xf numFmtId="4" fontId="25" fillId="5" borderId="4" xfId="0" applyNumberFormat="1" applyFont="1" applyFill="1" applyBorder="1" applyAlignment="1">
      <alignment horizontal="center" vertical="center" wrapText="1"/>
    </xf>
    <xf numFmtId="0" fontId="25" fillId="5" borderId="4" xfId="0" applyFont="1" applyFill="1" applyBorder="1" applyAlignment="1">
      <alignment horizontal="left" vertical="center" wrapText="1"/>
    </xf>
    <xf numFmtId="0" fontId="39" fillId="0" borderId="45" xfId="0" applyFont="1" applyBorder="1"/>
    <xf numFmtId="0" fontId="19" fillId="8" borderId="4" xfId="0" applyFont="1" applyFill="1" applyBorder="1"/>
    <xf numFmtId="3" fontId="19" fillId="5" borderId="4" xfId="0" applyNumberFormat="1" applyFont="1" applyFill="1" applyBorder="1" applyAlignment="1">
      <alignment horizontal="center"/>
    </xf>
    <xf numFmtId="3" fontId="25" fillId="5" borderId="4" xfId="0" applyNumberFormat="1" applyFont="1" applyFill="1" applyBorder="1" applyAlignment="1">
      <alignment horizontal="center" vertical="center" wrapText="1"/>
    </xf>
    <xf numFmtId="3" fontId="25" fillId="5" borderId="3" xfId="2" applyNumberFormat="1" applyFont="1" applyFill="1" applyBorder="1" applyAlignment="1">
      <alignment horizontal="centerContinuous" vertical="center"/>
    </xf>
    <xf numFmtId="3" fontId="25" fillId="5" borderId="16" xfId="2" applyNumberFormat="1" applyFont="1" applyFill="1" applyBorder="1" applyAlignment="1">
      <alignment horizontal="centerContinuous" vertical="center"/>
    </xf>
    <xf numFmtId="3" fontId="25" fillId="5" borderId="15" xfId="2" applyNumberFormat="1" applyFont="1" applyFill="1" applyBorder="1" applyAlignment="1">
      <alignment horizontal="centerContinuous" vertical="center"/>
    </xf>
    <xf numFmtId="169" fontId="39" fillId="5" borderId="4" xfId="0" applyNumberFormat="1" applyFont="1" applyFill="1" applyBorder="1" applyAlignment="1">
      <alignment horizontal="center"/>
    </xf>
    <xf numFmtId="3" fontId="39" fillId="5" borderId="4" xfId="0" applyNumberFormat="1" applyFont="1" applyFill="1" applyBorder="1" applyAlignment="1">
      <alignment horizontal="center"/>
    </xf>
    <xf numFmtId="3" fontId="39" fillId="5" borderId="4" xfId="0" applyNumberFormat="1" applyFont="1" applyFill="1" applyBorder="1"/>
    <xf numFmtId="170" fontId="39" fillId="5" borderId="4" xfId="0" applyNumberFormat="1" applyFont="1" applyFill="1" applyBorder="1" applyAlignment="1">
      <alignment horizontal="center"/>
    </xf>
    <xf numFmtId="0" fontId="107" fillId="0" borderId="0" xfId="0" applyFont="1"/>
    <xf numFmtId="0" fontId="32" fillId="8" borderId="4" xfId="0" applyFont="1" applyFill="1" applyBorder="1" applyAlignment="1">
      <alignment horizontal="center" vertical="center" wrapText="1"/>
    </xf>
    <xf numFmtId="0" fontId="109" fillId="8" borderId="4" xfId="0" applyFont="1" applyFill="1" applyBorder="1"/>
    <xf numFmtId="0" fontId="111" fillId="8" borderId="4" xfId="0" applyFont="1" applyFill="1" applyBorder="1"/>
    <xf numFmtId="0" fontId="111" fillId="8" borderId="4" xfId="0" applyFont="1" applyFill="1" applyBorder="1" applyAlignment="1">
      <alignment vertical="center"/>
    </xf>
    <xf numFmtId="0" fontId="32" fillId="8" borderId="4" xfId="0" applyFont="1" applyFill="1" applyBorder="1" applyAlignment="1">
      <alignment horizontal="left" vertical="center"/>
    </xf>
    <xf numFmtId="0" fontId="27" fillId="8" borderId="4" xfId="0" applyFont="1" applyFill="1" applyBorder="1" applyAlignment="1">
      <alignment horizontal="center" vertical="center"/>
    </xf>
    <xf numFmtId="0" fontId="27" fillId="8" borderId="4" xfId="0" applyFont="1" applyFill="1" applyBorder="1"/>
    <xf numFmtId="0" fontId="111" fillId="0" borderId="0" xfId="0" applyFont="1"/>
    <xf numFmtId="0" fontId="11" fillId="8" borderId="119" xfId="0" applyFont="1" applyFill="1" applyBorder="1" applyAlignment="1">
      <alignment vertical="center" wrapText="1"/>
    </xf>
    <xf numFmtId="3" fontId="25" fillId="6" borderId="119" xfId="0" applyNumberFormat="1" applyFont="1" applyFill="1" applyBorder="1" applyAlignment="1" applyProtection="1">
      <alignment horizontal="right" vertical="center" wrapText="1"/>
      <protection locked="0"/>
    </xf>
    <xf numFmtId="175" fontId="25" fillId="6" borderId="119" xfId="1" applyNumberFormat="1" applyFont="1" applyFill="1" applyBorder="1" applyAlignment="1" applyProtection="1">
      <alignment horizontal="right" vertical="center"/>
      <protection locked="0"/>
    </xf>
    <xf numFmtId="3" fontId="25" fillId="0" borderId="119" xfId="0" applyNumberFormat="1" applyFont="1" applyBorder="1" applyAlignment="1">
      <alignment horizontal="right" vertical="center" wrapText="1"/>
    </xf>
    <xf numFmtId="172" fontId="39" fillId="0" borderId="119" xfId="1" applyNumberFormat="1" applyFont="1" applyFill="1" applyBorder="1" applyAlignment="1">
      <alignment horizontal="right" vertical="center" wrapText="1"/>
    </xf>
    <xf numFmtId="0" fontId="11" fillId="8" borderId="128" xfId="0" applyFont="1" applyFill="1" applyBorder="1" applyAlignment="1">
      <alignment horizontal="center" vertical="center" wrapText="1"/>
    </xf>
    <xf numFmtId="0" fontId="11" fillId="8" borderId="150" xfId="0" applyFont="1" applyFill="1" applyBorder="1" applyAlignment="1">
      <alignment horizontal="center" vertical="center" wrapText="1"/>
    </xf>
    <xf numFmtId="0" fontId="11" fillId="8" borderId="124" xfId="0" applyFont="1" applyFill="1" applyBorder="1" applyAlignment="1">
      <alignment horizontal="center" vertical="center" wrapText="1"/>
    </xf>
    <xf numFmtId="0" fontId="11" fillId="4" borderId="119" xfId="0" applyFont="1" applyFill="1" applyBorder="1" applyAlignment="1">
      <alignment horizontal="center" vertical="center"/>
    </xf>
    <xf numFmtId="0" fontId="25" fillId="5" borderId="119" xfId="0" applyFont="1" applyFill="1" applyBorder="1" applyAlignment="1">
      <alignment horizontal="left" vertical="center" wrapText="1"/>
    </xf>
    <xf numFmtId="2" fontId="39" fillId="6" borderId="119" xfId="0" applyNumberFormat="1" applyFont="1" applyFill="1" applyBorder="1" applyAlignment="1" applyProtection="1">
      <alignment horizontal="right" vertical="center" wrapText="1"/>
      <protection locked="0"/>
    </xf>
    <xf numFmtId="9" fontId="39" fillId="6" borderId="119" xfId="0" applyNumberFormat="1" applyFont="1" applyFill="1" applyBorder="1" applyAlignment="1" applyProtection="1">
      <alignment horizontal="center" vertical="center" wrapText="1"/>
      <protection locked="0"/>
    </xf>
    <xf numFmtId="2" fontId="39" fillId="0" borderId="119" xfId="0" applyNumberFormat="1" applyFont="1" applyBorder="1" applyAlignment="1">
      <alignment horizontal="right" vertical="center" wrapText="1"/>
    </xf>
    <xf numFmtId="0" fontId="26" fillId="4" borderId="150" xfId="0" applyFont="1" applyFill="1" applyBorder="1" applyAlignment="1">
      <alignment horizontal="center" vertical="center" wrapText="1"/>
    </xf>
    <xf numFmtId="3" fontId="11" fillId="8" borderId="150" xfId="0" applyNumberFormat="1" applyFont="1" applyFill="1" applyBorder="1" applyAlignment="1">
      <alignment horizontal="center" vertical="center" wrapText="1"/>
    </xf>
    <xf numFmtId="0" fontId="34" fillId="4" borderId="119" xfId="0" applyFont="1" applyFill="1" applyBorder="1" applyAlignment="1">
      <alignment horizontal="center" vertical="center" wrapText="1"/>
    </xf>
    <xf numFmtId="0" fontId="28" fillId="4" borderId="119" xfId="0" applyFont="1" applyFill="1" applyBorder="1"/>
    <xf numFmtId="0" fontId="11" fillId="4" borderId="119" xfId="0" applyFont="1" applyFill="1" applyBorder="1"/>
    <xf numFmtId="0" fontId="1" fillId="0" borderId="119" xfId="0" applyFont="1" applyBorder="1" applyAlignment="1">
      <alignment horizontal="center" vertical="center"/>
    </xf>
    <xf numFmtId="0" fontId="32" fillId="4" borderId="119" xfId="0" applyFont="1" applyFill="1" applyBorder="1" applyAlignment="1">
      <alignment horizontal="center" vertical="center" wrapText="1"/>
    </xf>
    <xf numFmtId="0" fontId="111" fillId="4" borderId="119" xfId="0" applyFont="1" applyFill="1" applyBorder="1"/>
    <xf numFmtId="0" fontId="32" fillId="4" borderId="119" xfId="0" applyFont="1" applyFill="1" applyBorder="1" applyAlignment="1">
      <alignment horizontal="centerContinuous" vertical="center" wrapText="1"/>
    </xf>
    <xf numFmtId="0" fontId="27" fillId="4" borderId="119" xfId="0" applyFont="1" applyFill="1" applyBorder="1" applyAlignment="1">
      <alignment horizontal="center" vertical="center"/>
    </xf>
    <xf numFmtId="0" fontId="27" fillId="4" borderId="119" xfId="0" applyFont="1" applyFill="1" applyBorder="1"/>
    <xf numFmtId="0" fontId="1" fillId="4" borderId="119" xfId="0" applyFont="1" applyFill="1" applyBorder="1" applyAlignment="1">
      <alignment vertical="center" wrapText="1"/>
    </xf>
    <xf numFmtId="0" fontId="34" fillId="4" borderId="119" xfId="0" applyFont="1" applyFill="1" applyBorder="1" applyAlignment="1">
      <alignment horizontal="center" vertical="center"/>
    </xf>
    <xf numFmtId="2" fontId="39" fillId="0" borderId="119" xfId="0" applyNumberFormat="1" applyFont="1" applyBorder="1" applyAlignment="1" applyProtection="1">
      <alignment horizontal="right" vertical="center" wrapText="1"/>
      <protection hidden="1"/>
    </xf>
    <xf numFmtId="169" fontId="39" fillId="0" borderId="119" xfId="0" applyNumberFormat="1" applyFont="1" applyBorder="1" applyAlignment="1">
      <alignment horizontal="right" vertical="center" wrapText="1"/>
    </xf>
    <xf numFmtId="1" fontId="39" fillId="0" borderId="119" xfId="0" applyNumberFormat="1" applyFont="1" applyBorder="1" applyAlignment="1">
      <alignment horizontal="right" vertical="center" wrapText="1"/>
    </xf>
    <xf numFmtId="0" fontId="26" fillId="8" borderId="119" xfId="0" applyFont="1" applyFill="1" applyBorder="1" applyAlignment="1">
      <alignment horizontal="center" vertical="center" wrapText="1"/>
    </xf>
    <xf numFmtId="0" fontId="24" fillId="8" borderId="119" xfId="0" applyFont="1" applyFill="1" applyBorder="1" applyAlignment="1">
      <alignment horizontal="center" vertical="center" wrapText="1"/>
    </xf>
    <xf numFmtId="0" fontId="44" fillId="0" borderId="0" xfId="2" applyFont="1" applyAlignment="1">
      <alignment vertical="center"/>
    </xf>
    <xf numFmtId="0" fontId="11" fillId="5" borderId="0" xfId="0" applyFont="1" applyFill="1" applyAlignment="1">
      <alignment horizontal="left" vertical="center" wrapText="1"/>
    </xf>
    <xf numFmtId="0" fontId="24" fillId="5" borderId="118" xfId="2" applyFont="1" applyFill="1" applyBorder="1" applyAlignment="1">
      <alignment horizontal="left" vertical="center"/>
    </xf>
    <xf numFmtId="0" fontId="24" fillId="5" borderId="0" xfId="2" applyFont="1" applyFill="1" applyAlignment="1">
      <alignment horizontal="left" vertical="center"/>
    </xf>
    <xf numFmtId="0" fontId="25" fillId="5" borderId="0" xfId="2" applyFont="1" applyFill="1" applyAlignment="1" applyProtection="1">
      <alignment vertical="center"/>
      <protection locked="0"/>
    </xf>
    <xf numFmtId="0" fontId="25" fillId="0" borderId="0" xfId="2" applyFont="1" applyAlignment="1">
      <alignment vertical="center"/>
    </xf>
    <xf numFmtId="0" fontId="26" fillId="4" borderId="82" xfId="2" applyFont="1" applyFill="1" applyBorder="1" applyAlignment="1">
      <alignment vertical="center"/>
    </xf>
    <xf numFmtId="0" fontId="11" fillId="0" borderId="82" xfId="2" applyBorder="1" applyAlignment="1">
      <alignment vertical="center"/>
    </xf>
    <xf numFmtId="174" fontId="11" fillId="5" borderId="1" xfId="0" applyNumberFormat="1" applyFont="1" applyFill="1" applyBorder="1" applyAlignment="1" applyProtection="1">
      <alignment horizontal="center"/>
      <protection locked="0"/>
    </xf>
    <xf numFmtId="174" fontId="0" fillId="5" borderId="0" xfId="0" applyNumberFormat="1" applyFill="1" applyAlignment="1" applyProtection="1">
      <alignment horizontal="center"/>
      <protection locked="0"/>
    </xf>
    <xf numFmtId="0" fontId="91" fillId="0" borderId="0" xfId="2" applyFont="1" applyAlignment="1">
      <alignment horizontal="left" vertical="center"/>
    </xf>
    <xf numFmtId="0" fontId="25" fillId="0" borderId="0" xfId="2" applyFont="1" applyAlignment="1">
      <alignment horizontal="left" vertical="center"/>
    </xf>
    <xf numFmtId="49" fontId="11" fillId="8" borderId="119" xfId="2" applyNumberFormat="1" applyFill="1" applyBorder="1" applyAlignment="1">
      <alignment horizontal="center" vertical="center" wrapText="1"/>
    </xf>
    <xf numFmtId="0" fontId="11" fillId="8" borderId="119" xfId="2" applyFill="1" applyBorder="1" applyAlignment="1">
      <alignment horizontal="center" vertical="center" wrapText="1"/>
    </xf>
    <xf numFmtId="0" fontId="97" fillId="8" borderId="119" xfId="0" applyFont="1" applyFill="1" applyBorder="1" applyAlignment="1">
      <alignment vertical="center"/>
    </xf>
    <xf numFmtId="0" fontId="112" fillId="8" borderId="119" xfId="0" applyFont="1" applyFill="1" applyBorder="1" applyAlignment="1">
      <alignment vertical="center"/>
    </xf>
    <xf numFmtId="0" fontId="97" fillId="8" borderId="119" xfId="2" applyFont="1" applyFill="1" applyBorder="1" applyAlignment="1">
      <alignment horizontal="center" vertical="center" wrapText="1"/>
    </xf>
    <xf numFmtId="49" fontId="97" fillId="8" borderId="119" xfId="2" applyNumberFormat="1" applyFont="1" applyFill="1" applyBorder="1" applyAlignment="1">
      <alignment horizontal="center" vertical="center" wrapText="1"/>
    </xf>
    <xf numFmtId="49" fontId="25" fillId="0" borderId="0" xfId="2" applyNumberFormat="1" applyFont="1" applyAlignment="1">
      <alignment horizontal="center" vertical="center" wrapText="1"/>
    </xf>
    <xf numFmtId="49" fontId="25" fillId="5" borderId="0" xfId="2" applyNumberFormat="1" applyFont="1" applyFill="1" applyAlignment="1">
      <alignment horizontal="center" vertical="center" wrapText="1"/>
    </xf>
    <xf numFmtId="0" fontId="25" fillId="5" borderId="0" xfId="2" applyFont="1" applyFill="1" applyAlignment="1">
      <alignment vertical="center"/>
    </xf>
    <xf numFmtId="0" fontId="91" fillId="0" borderId="0" xfId="2" applyFont="1" applyAlignment="1">
      <alignment vertical="center"/>
    </xf>
    <xf numFmtId="177" fontId="25" fillId="0" borderId="0" xfId="2" applyNumberFormat="1" applyFont="1" applyAlignment="1">
      <alignment vertical="center"/>
    </xf>
    <xf numFmtId="174" fontId="25" fillId="5" borderId="0" xfId="11" applyNumberFormat="1" applyFont="1" applyFill="1" applyBorder="1" applyAlignment="1" applyProtection="1">
      <alignment horizontal="center" vertical="center" wrapText="1"/>
      <protection locked="0"/>
    </xf>
    <xf numFmtId="171" fontId="25" fillId="0" borderId="0" xfId="12" applyNumberFormat="1" applyFont="1" applyFill="1" applyBorder="1" applyAlignment="1">
      <alignment horizontal="center" vertical="center" wrapText="1"/>
    </xf>
    <xf numFmtId="171" fontId="25" fillId="5" borderId="0" xfId="12" applyNumberFormat="1" applyFont="1" applyFill="1" applyBorder="1" applyAlignment="1">
      <alignment horizontal="center" vertical="center" wrapText="1"/>
    </xf>
    <xf numFmtId="174" fontId="25" fillId="5" borderId="0" xfId="2" applyNumberFormat="1" applyFont="1" applyFill="1" applyAlignment="1">
      <alignment vertical="center"/>
    </xf>
    <xf numFmtId="0" fontId="44" fillId="9" borderId="0" xfId="2" applyFont="1" applyFill="1" applyAlignment="1">
      <alignment vertical="center"/>
    </xf>
    <xf numFmtId="0" fontId="11" fillId="5" borderId="0" xfId="0" applyFont="1" applyFill="1" applyAlignment="1">
      <alignment horizontal="left" vertical="center"/>
    </xf>
    <xf numFmtId="49" fontId="11" fillId="5" borderId="0" xfId="2" applyNumberFormat="1" applyFill="1" applyAlignment="1">
      <alignment horizontal="center" vertical="center"/>
    </xf>
    <xf numFmtId="0" fontId="11" fillId="5" borderId="0" xfId="2" applyFill="1" applyAlignment="1">
      <alignment horizontal="center" vertical="center"/>
    </xf>
    <xf numFmtId="49" fontId="25" fillId="5" borderId="0" xfId="2" applyNumberFormat="1" applyFont="1" applyFill="1" applyAlignment="1">
      <alignment horizontal="center" vertical="center"/>
    </xf>
    <xf numFmtId="172" fontId="11" fillId="0" borderId="0" xfId="2" applyNumberFormat="1" applyAlignment="1">
      <alignment vertical="center"/>
    </xf>
    <xf numFmtId="0" fontId="0" fillId="5" borderId="0" xfId="0" applyFill="1" applyAlignment="1">
      <alignment vertical="center"/>
    </xf>
    <xf numFmtId="171" fontId="11" fillId="5" borderId="0" xfId="12" applyNumberFormat="1" applyFont="1" applyFill="1" applyBorder="1" applyAlignment="1" applyProtection="1">
      <alignment horizontal="left" vertical="center"/>
    </xf>
    <xf numFmtId="171" fontId="11" fillId="5" borderId="0" xfId="12" applyNumberFormat="1" applyFont="1" applyFill="1" applyBorder="1" applyAlignment="1">
      <alignment horizontal="left" vertical="center"/>
    </xf>
    <xf numFmtId="174" fontId="11" fillId="5" borderId="0" xfId="11" applyNumberFormat="1" applyFont="1" applyFill="1" applyBorder="1" applyAlignment="1" applyProtection="1">
      <alignment vertical="center"/>
    </xf>
    <xf numFmtId="174" fontId="0" fillId="5" borderId="0" xfId="0" applyNumberFormat="1" applyFill="1" applyAlignment="1">
      <alignment vertical="center"/>
    </xf>
    <xf numFmtId="0" fontId="11" fillId="5" borderId="0" xfId="0" applyFont="1" applyFill="1" applyAlignment="1">
      <alignment vertical="center"/>
    </xf>
    <xf numFmtId="175" fontId="26" fillId="0" borderId="0" xfId="2" applyNumberFormat="1" applyFont="1" applyAlignment="1">
      <alignment horizontal="left" vertical="center"/>
    </xf>
    <xf numFmtId="0" fontId="26" fillId="0" borderId="0" xfId="2" applyFont="1" applyAlignment="1">
      <alignment horizontal="left" vertical="center"/>
    </xf>
    <xf numFmtId="0" fontId="26" fillId="5" borderId="0" xfId="2" applyFont="1" applyFill="1" applyAlignment="1">
      <alignment horizontal="left" vertical="center"/>
    </xf>
    <xf numFmtId="165" fontId="25" fillId="6" borderId="119" xfId="2" applyNumberFormat="1" applyFont="1" applyFill="1" applyBorder="1" applyAlignment="1" applyProtection="1">
      <alignment horizontal="center" vertical="center" wrapText="1"/>
      <protection locked="0"/>
    </xf>
    <xf numFmtId="177" fontId="11" fillId="5" borderId="0" xfId="2" applyNumberFormat="1" applyFill="1" applyAlignment="1">
      <alignment vertical="center"/>
    </xf>
    <xf numFmtId="176" fontId="11" fillId="5" borderId="0" xfId="11" applyNumberFormat="1" applyFont="1" applyFill="1" applyBorder="1" applyAlignment="1">
      <alignment vertical="center"/>
    </xf>
    <xf numFmtId="166" fontId="11" fillId="5" borderId="0" xfId="11" applyFont="1" applyFill="1" applyBorder="1" applyAlignment="1">
      <alignment vertical="center"/>
    </xf>
    <xf numFmtId="3" fontId="25" fillId="0" borderId="119" xfId="2" applyNumberFormat="1" applyFont="1" applyBorder="1" applyAlignment="1">
      <alignment horizontal="left" vertical="center" wrapText="1" indent="1"/>
    </xf>
    <xf numFmtId="168" fontId="11" fillId="5" borderId="0" xfId="9" applyNumberFormat="1" applyFont="1" applyFill="1" applyBorder="1" applyAlignment="1">
      <alignment vertical="center"/>
    </xf>
    <xf numFmtId="193" fontId="11" fillId="5" borderId="0" xfId="11" applyNumberFormat="1" applyFont="1" applyFill="1" applyBorder="1" applyAlignment="1">
      <alignment vertical="center"/>
    </xf>
    <xf numFmtId="179" fontId="11" fillId="5" borderId="0" xfId="2" applyNumberFormat="1" applyFill="1" applyAlignment="1">
      <alignment vertical="center"/>
    </xf>
    <xf numFmtId="191" fontId="11" fillId="5" borderId="0" xfId="96" applyNumberFormat="1" applyFont="1" applyFill="1" applyBorder="1" applyAlignment="1">
      <alignment vertical="center"/>
    </xf>
    <xf numFmtId="0" fontId="11" fillId="0" borderId="126" xfId="2" applyBorder="1" applyAlignment="1">
      <alignment horizontal="center" vertical="center" wrapText="1"/>
    </xf>
    <xf numFmtId="171" fontId="11" fillId="0" borderId="126" xfId="12" applyNumberFormat="1" applyFont="1" applyFill="1" applyBorder="1" applyAlignment="1">
      <alignment horizontal="right" vertical="top"/>
    </xf>
    <xf numFmtId="165" fontId="11" fillId="0" borderId="126" xfId="2" applyNumberFormat="1" applyBorder="1" applyAlignment="1">
      <alignment horizontal="center" vertical="center" wrapText="1"/>
    </xf>
    <xf numFmtId="168" fontId="11" fillId="0" borderId="126" xfId="10" applyNumberFormat="1" applyFont="1" applyFill="1" applyBorder="1" applyAlignment="1">
      <alignment horizontal="right" vertical="top"/>
    </xf>
    <xf numFmtId="0" fontId="108" fillId="4" borderId="119" xfId="0" applyFont="1" applyFill="1" applyBorder="1" applyAlignment="1">
      <alignment horizontal="left" vertical="center"/>
    </xf>
    <xf numFmtId="0" fontId="26" fillId="4" borderId="119" xfId="2" applyFont="1" applyFill="1" applyBorder="1" applyAlignment="1">
      <alignment horizontal="left" vertical="center"/>
    </xf>
    <xf numFmtId="49" fontId="26" fillId="4" borderId="119" xfId="2" applyNumberFormat="1" applyFont="1" applyFill="1" applyBorder="1" applyAlignment="1">
      <alignment horizontal="left" vertical="center"/>
    </xf>
    <xf numFmtId="49" fontId="26" fillId="0" borderId="0" xfId="2" applyNumberFormat="1" applyFont="1" applyAlignment="1">
      <alignment horizontal="left" vertical="center"/>
    </xf>
    <xf numFmtId="0" fontId="26" fillId="4" borderId="82" xfId="2" applyFont="1" applyFill="1" applyBorder="1" applyAlignment="1">
      <alignment horizontal="left" vertical="center"/>
    </xf>
    <xf numFmtId="194" fontId="11" fillId="46" borderId="82" xfId="96" applyNumberFormat="1" applyFont="1" applyFill="1" applyBorder="1" applyAlignment="1">
      <alignment vertical="center"/>
    </xf>
    <xf numFmtId="194" fontId="11" fillId="0" borderId="82" xfId="96" applyNumberFormat="1" applyFont="1" applyBorder="1" applyAlignment="1">
      <alignment vertical="center"/>
    </xf>
    <xf numFmtId="0" fontId="26" fillId="8" borderId="145" xfId="2" applyFont="1" applyFill="1" applyBorder="1" applyAlignment="1">
      <alignment horizontal="left" vertical="center"/>
    </xf>
    <xf numFmtId="0" fontId="26" fillId="8" borderId="119" xfId="2" applyFont="1" applyFill="1" applyBorder="1" applyAlignment="1">
      <alignment horizontal="left" vertical="center"/>
    </xf>
    <xf numFmtId="49" fontId="26" fillId="8" borderId="119" xfId="2" applyNumberFormat="1" applyFont="1" applyFill="1" applyBorder="1" applyAlignment="1">
      <alignment horizontal="left" vertical="center"/>
    </xf>
    <xf numFmtId="49" fontId="26" fillId="8" borderId="146" xfId="2" applyNumberFormat="1" applyFont="1" applyFill="1" applyBorder="1" applyAlignment="1">
      <alignment horizontal="left" vertical="center"/>
    </xf>
    <xf numFmtId="175" fontId="11" fillId="5" borderId="0" xfId="12" applyNumberFormat="1" applyFont="1" applyFill="1" applyBorder="1" applyAlignment="1" applyProtection="1">
      <alignment horizontal="right" vertical="top"/>
      <protection locked="0"/>
    </xf>
    <xf numFmtId="0" fontId="14" fillId="5" borderId="104" xfId="123" applyFont="1" applyFill="1" applyBorder="1" applyAlignment="1">
      <alignment horizontal="center"/>
    </xf>
    <xf numFmtId="0" fontId="14" fillId="5" borderId="103" xfId="123" applyFont="1" applyFill="1" applyBorder="1"/>
    <xf numFmtId="0" fontId="14" fillId="5" borderId="0" xfId="123" applyFont="1" applyFill="1"/>
    <xf numFmtId="0" fontId="11" fillId="5" borderId="0" xfId="123" applyFill="1"/>
    <xf numFmtId="0" fontId="11" fillId="0" borderId="0" xfId="123"/>
    <xf numFmtId="0" fontId="11" fillId="5" borderId="82" xfId="123" applyFill="1" applyBorder="1"/>
    <xf numFmtId="0" fontId="11" fillId="0" borderId="82" xfId="123" applyBorder="1" applyAlignment="1">
      <alignment wrapText="1"/>
    </xf>
    <xf numFmtId="0" fontId="11" fillId="0" borderId="82" xfId="123" applyBorder="1"/>
    <xf numFmtId="0" fontId="24" fillId="0" borderId="82" xfId="123" applyFont="1" applyBorder="1"/>
    <xf numFmtId="9" fontId="11" fillId="0" borderId="82" xfId="123" applyNumberFormat="1" applyBorder="1"/>
    <xf numFmtId="169" fontId="24" fillId="0" borderId="82" xfId="123" applyNumberFormat="1" applyFont="1" applyBorder="1"/>
    <xf numFmtId="49" fontId="24" fillId="5" borderId="0" xfId="2" applyNumberFormat="1" applyFont="1" applyFill="1" applyAlignment="1">
      <alignment horizontal="left" vertical="center"/>
    </xf>
    <xf numFmtId="0" fontId="11" fillId="4" borderId="119" xfId="2" applyFill="1" applyBorder="1" applyAlignment="1">
      <alignment horizontal="center" vertical="center" wrapText="1"/>
    </xf>
    <xf numFmtId="49" fontId="24" fillId="8" borderId="119" xfId="2" applyNumberFormat="1" applyFont="1" applyFill="1" applyBorder="1" applyAlignment="1">
      <alignment horizontal="left" vertical="center"/>
    </xf>
    <xf numFmtId="0" fontId="24" fillId="8" borderId="119" xfId="2" applyFont="1" applyFill="1" applyBorder="1" applyAlignment="1">
      <alignment horizontal="left" vertical="center"/>
    </xf>
    <xf numFmtId="0" fontId="24" fillId="4" borderId="119" xfId="2" applyFont="1" applyFill="1" applyBorder="1" applyAlignment="1">
      <alignment horizontal="left" vertical="center"/>
    </xf>
    <xf numFmtId="0" fontId="11" fillId="4" borderId="119" xfId="2" applyFill="1" applyBorder="1" applyAlignment="1">
      <alignment vertical="center"/>
    </xf>
    <xf numFmtId="3" fontId="25" fillId="6" borderId="119" xfId="2" applyNumberFormat="1" applyFont="1" applyFill="1" applyBorder="1" applyAlignment="1" applyProtection="1">
      <alignment horizontal="left" vertical="center" wrapText="1"/>
      <protection locked="0"/>
    </xf>
    <xf numFmtId="0" fontId="25" fillId="6" borderId="119" xfId="2" applyFont="1" applyFill="1" applyBorder="1" applyAlignment="1" applyProtection="1">
      <alignment vertical="center"/>
      <protection locked="0"/>
    </xf>
    <xf numFmtId="49" fontId="97" fillId="4" borderId="119" xfId="2" applyNumberFormat="1" applyFont="1" applyFill="1" applyBorder="1" applyAlignment="1">
      <alignment horizontal="center" vertical="center"/>
    </xf>
    <xf numFmtId="0" fontId="97" fillId="4" borderId="119" xfId="2" applyFont="1" applyFill="1" applyBorder="1"/>
    <xf numFmtId="0" fontId="97" fillId="4" borderId="119" xfId="2" applyFont="1" applyFill="1" applyBorder="1" applyAlignment="1">
      <alignment horizontal="center" vertical="center"/>
    </xf>
    <xf numFmtId="0" fontId="97" fillId="4" borderId="119" xfId="0" applyFont="1" applyFill="1" applyBorder="1" applyAlignment="1">
      <alignment vertical="center"/>
    </xf>
    <xf numFmtId="0" fontId="97" fillId="4" borderId="119" xfId="0" applyFont="1" applyFill="1" applyBorder="1" applyAlignment="1">
      <alignment horizontal="center" vertical="center"/>
    </xf>
    <xf numFmtId="0" fontId="97" fillId="4" borderId="119" xfId="0" applyFont="1" applyFill="1" applyBorder="1"/>
    <xf numFmtId="0" fontId="112" fillId="4" borderId="119" xfId="0" applyFont="1" applyFill="1" applyBorder="1"/>
    <xf numFmtId="3" fontId="25" fillId="6" borderId="119" xfId="2" applyNumberFormat="1" applyFont="1" applyFill="1" applyBorder="1" applyAlignment="1" applyProtection="1">
      <alignment horizontal="left" vertical="center"/>
      <protection locked="0"/>
    </xf>
    <xf numFmtId="3" fontId="25" fillId="6" borderId="119" xfId="2" applyNumberFormat="1" applyFont="1" applyFill="1" applyBorder="1" applyAlignment="1" applyProtection="1">
      <alignment horizontal="right" vertical="center" wrapText="1"/>
      <protection locked="0"/>
    </xf>
    <xf numFmtId="0" fontId="25" fillId="9" borderId="119" xfId="2" applyFont="1" applyFill="1" applyBorder="1" applyAlignment="1">
      <alignment vertical="center"/>
    </xf>
    <xf numFmtId="0" fontId="25" fillId="9" borderId="119" xfId="2" applyFont="1" applyFill="1" applyBorder="1" applyAlignment="1">
      <alignment horizontal="left" vertical="center" indent="1"/>
    </xf>
    <xf numFmtId="0" fontId="97" fillId="4" borderId="119" xfId="2" applyFont="1" applyFill="1" applyBorder="1" applyAlignment="1">
      <alignment horizontal="left"/>
    </xf>
    <xf numFmtId="0" fontId="97" fillId="4" borderId="119" xfId="2" applyFont="1" applyFill="1" applyBorder="1" applyAlignment="1">
      <alignment horizontal="left" vertical="center"/>
    </xf>
    <xf numFmtId="49" fontId="97" fillId="4" borderId="119" xfId="2" applyNumberFormat="1" applyFont="1" applyFill="1" applyBorder="1" applyAlignment="1">
      <alignment horizontal="left" vertical="center"/>
    </xf>
    <xf numFmtId="0" fontId="97" fillId="4" borderId="119" xfId="0" applyFont="1" applyFill="1" applyBorder="1" applyAlignment="1">
      <alignment horizontal="left" vertical="center"/>
    </xf>
    <xf numFmtId="0" fontId="97" fillId="4" borderId="119" xfId="0" applyFont="1" applyFill="1" applyBorder="1" applyAlignment="1">
      <alignment horizontal="left"/>
    </xf>
    <xf numFmtId="0" fontId="112" fillId="4" borderId="119" xfId="0" applyFont="1" applyFill="1" applyBorder="1" applyAlignment="1">
      <alignment horizontal="left"/>
    </xf>
    <xf numFmtId="172" fontId="25" fillId="5" borderId="119" xfId="2" applyNumberFormat="1" applyFont="1" applyFill="1" applyBorder="1" applyAlignment="1">
      <alignment horizontal="center" vertical="center"/>
    </xf>
    <xf numFmtId="172" fontId="25" fillId="5" borderId="119" xfId="12" applyNumberFormat="1" applyFont="1" applyFill="1" applyBorder="1" applyAlignment="1">
      <alignment horizontal="center" vertical="center"/>
    </xf>
    <xf numFmtId="172" fontId="19" fillId="0" borderId="119" xfId="0" applyNumberFormat="1" applyFont="1" applyBorder="1" applyAlignment="1">
      <alignment horizontal="center" vertical="center"/>
    </xf>
    <xf numFmtId="172" fontId="25" fillId="0" borderId="119" xfId="0" applyNumberFormat="1" applyFont="1" applyBorder="1" applyAlignment="1">
      <alignment horizontal="center" vertical="center"/>
    </xf>
    <xf numFmtId="0" fontId="97" fillId="8" borderId="119" xfId="0" applyFont="1" applyFill="1" applyBorder="1" applyAlignment="1">
      <alignment horizontal="center" vertical="center" wrapText="1"/>
    </xf>
    <xf numFmtId="171" fontId="25" fillId="6" borderId="119" xfId="12" applyNumberFormat="1" applyFont="1" applyFill="1" applyBorder="1" applyAlignment="1" applyProtection="1">
      <alignment horizontal="left" vertical="center" wrapText="1"/>
      <protection locked="0"/>
    </xf>
    <xf numFmtId="172" fontId="25" fillId="6" borderId="119" xfId="12" applyNumberFormat="1" applyFont="1" applyFill="1" applyBorder="1" applyAlignment="1" applyProtection="1">
      <alignment horizontal="center" vertical="center" wrapText="1"/>
      <protection locked="0"/>
    </xf>
    <xf numFmtId="172" fontId="25" fillId="5" borderId="119" xfId="12" applyNumberFormat="1" applyFont="1" applyFill="1" applyBorder="1" applyAlignment="1" applyProtection="1">
      <alignment horizontal="center" vertical="center" wrapText="1"/>
      <protection locked="0"/>
    </xf>
    <xf numFmtId="49" fontId="11" fillId="4" borderId="119" xfId="2" applyNumberFormat="1" applyFill="1" applyBorder="1" applyAlignment="1">
      <alignment horizontal="left" vertical="center" textRotation="90" wrapText="1"/>
    </xf>
    <xf numFmtId="49" fontId="11" fillId="4" borderId="119" xfId="2" applyNumberFormat="1" applyFill="1" applyBorder="1" applyAlignment="1">
      <alignment horizontal="centerContinuous" vertical="center" wrapText="1"/>
    </xf>
    <xf numFmtId="49" fontId="26" fillId="8" borderId="119" xfId="2" applyNumberFormat="1" applyFont="1" applyFill="1" applyBorder="1" applyAlignment="1">
      <alignment horizontal="left" vertical="center" textRotation="90"/>
    </xf>
    <xf numFmtId="0" fontId="26" fillId="8" borderId="119" xfId="2" applyFont="1" applyFill="1" applyBorder="1" applyAlignment="1">
      <alignment horizontal="center" vertical="center"/>
    </xf>
    <xf numFmtId="0" fontId="108" fillId="8" borderId="119" xfId="0" applyFont="1" applyFill="1" applyBorder="1" applyAlignment="1">
      <alignment horizontal="center" vertical="center"/>
    </xf>
    <xf numFmtId="172" fontId="25" fillId="6" borderId="119" xfId="2" applyNumberFormat="1" applyFont="1" applyFill="1" applyBorder="1" applyAlignment="1" applyProtection="1">
      <alignment horizontal="right" vertical="center"/>
      <protection locked="0"/>
    </xf>
    <xf numFmtId="172" fontId="25" fillId="6" borderId="119" xfId="12" applyNumberFormat="1" applyFont="1" applyFill="1" applyBorder="1" applyAlignment="1" applyProtection="1">
      <alignment horizontal="right" vertical="center" wrapText="1"/>
      <protection locked="0"/>
    </xf>
    <xf numFmtId="3" fontId="25" fillId="0" borderId="119" xfId="2" applyNumberFormat="1" applyFont="1" applyBorder="1" applyAlignment="1">
      <alignment horizontal="left" vertical="center" indent="1"/>
    </xf>
    <xf numFmtId="173" fontId="25" fillId="5" borderId="119" xfId="12" applyNumberFormat="1" applyFont="1" applyFill="1" applyBorder="1" applyAlignment="1">
      <alignment horizontal="right" vertical="center" wrapText="1"/>
    </xf>
    <xf numFmtId="173" fontId="25" fillId="5" borderId="119" xfId="12" applyNumberFormat="1" applyFont="1" applyFill="1" applyBorder="1" applyAlignment="1">
      <alignment horizontal="right" vertical="center"/>
    </xf>
    <xf numFmtId="49" fontId="11" fillId="8" borderId="119" xfId="2" applyNumberFormat="1" applyFill="1" applyBorder="1" applyAlignment="1">
      <alignment horizontal="centerContinuous" vertical="center" wrapText="1"/>
    </xf>
    <xf numFmtId="174" fontId="25" fillId="6" borderId="119" xfId="11" applyNumberFormat="1" applyFont="1" applyFill="1" applyBorder="1" applyAlignment="1" applyProtection="1">
      <alignment horizontal="right" vertical="center"/>
      <protection locked="0"/>
    </xf>
    <xf numFmtId="174" fontId="11" fillId="0" borderId="119" xfId="11" applyNumberFormat="1" applyFont="1" applyFill="1" applyBorder="1" applyAlignment="1" applyProtection="1">
      <alignment horizontal="right" vertical="center"/>
    </xf>
    <xf numFmtId="192" fontId="25" fillId="6" borderId="119" xfId="2" applyNumberFormat="1" applyFont="1" applyFill="1" applyBorder="1" applyAlignment="1" applyProtection="1">
      <alignment horizontal="right" vertical="center"/>
      <protection locked="0"/>
    </xf>
    <xf numFmtId="172" fontId="25" fillId="0" borderId="119" xfId="12" applyNumberFormat="1" applyFont="1" applyFill="1" applyBorder="1" applyAlignment="1">
      <alignment horizontal="right" vertical="center"/>
    </xf>
    <xf numFmtId="174" fontId="25" fillId="6" borderId="119" xfId="11" applyNumberFormat="1" applyFont="1" applyFill="1" applyBorder="1" applyAlignment="1" applyProtection="1">
      <alignment horizontal="center" vertical="center" wrapText="1"/>
      <protection locked="0"/>
    </xf>
    <xf numFmtId="168" fontId="25" fillId="0" borderId="119" xfId="10" applyNumberFormat="1" applyFont="1" applyFill="1" applyBorder="1" applyAlignment="1">
      <alignment horizontal="center" vertical="center"/>
    </xf>
    <xf numFmtId="165" fontId="25" fillId="0" borderId="119" xfId="2" applyNumberFormat="1" applyFont="1" applyBorder="1" applyAlignment="1">
      <alignment horizontal="center" vertical="center" wrapText="1"/>
    </xf>
    <xf numFmtId="0" fontId="108" fillId="4" borderId="119" xfId="0" applyFont="1" applyFill="1" applyBorder="1" applyAlignment="1">
      <alignment horizontal="left"/>
    </xf>
    <xf numFmtId="0" fontId="11" fillId="0" borderId="130" xfId="2" applyBorder="1" applyAlignment="1">
      <alignment horizontal="center" vertical="center" wrapText="1"/>
    </xf>
    <xf numFmtId="49" fontId="11" fillId="0" borderId="130" xfId="2" applyNumberFormat="1" applyBorder="1" applyAlignment="1">
      <alignment horizontal="center" vertical="center" wrapText="1"/>
    </xf>
    <xf numFmtId="0" fontId="11" fillId="0" borderId="130" xfId="2" applyBorder="1" applyAlignment="1">
      <alignment vertical="center"/>
    </xf>
    <xf numFmtId="171" fontId="11" fillId="8" borderId="119" xfId="12" applyNumberFormat="1" applyFont="1" applyFill="1" applyBorder="1" applyAlignment="1">
      <alignment horizontal="right" vertical="top"/>
    </xf>
    <xf numFmtId="165" fontId="11" fillId="8" borderId="119" xfId="2" applyNumberFormat="1" applyFill="1" applyBorder="1" applyAlignment="1">
      <alignment horizontal="center" vertical="center" wrapText="1"/>
    </xf>
    <xf numFmtId="167" fontId="25" fillId="0" borderId="119" xfId="12" applyFont="1" applyFill="1" applyBorder="1" applyAlignment="1">
      <alignment horizontal="right" vertical="center"/>
    </xf>
    <xf numFmtId="171" fontId="25" fillId="0" borderId="119" xfId="12" applyNumberFormat="1" applyFont="1" applyFill="1" applyBorder="1" applyAlignment="1">
      <alignment horizontal="right" vertical="center"/>
    </xf>
    <xf numFmtId="171" fontId="25" fillId="4" borderId="119" xfId="12" applyNumberFormat="1" applyFont="1" applyFill="1" applyBorder="1" applyAlignment="1">
      <alignment horizontal="right" vertical="center"/>
    </xf>
    <xf numFmtId="165" fontId="25" fillId="4" borderId="119" xfId="2" applyNumberFormat="1" applyFont="1" applyFill="1" applyBorder="1" applyAlignment="1">
      <alignment horizontal="center" vertical="center" wrapText="1"/>
    </xf>
    <xf numFmtId="171" fontId="11" fillId="8" borderId="119" xfId="12" applyNumberFormat="1" applyFont="1" applyFill="1" applyBorder="1" applyAlignment="1">
      <alignment horizontal="left" vertical="top" indent="1"/>
    </xf>
    <xf numFmtId="165" fontId="11" fillId="8" borderId="119" xfId="2" applyNumberFormat="1" applyFill="1" applyBorder="1" applyAlignment="1">
      <alignment horizontal="left" vertical="center" wrapText="1" indent="1"/>
    </xf>
    <xf numFmtId="3" fontId="25" fillId="0" borderId="119" xfId="2" applyNumberFormat="1" applyFont="1" applyBorder="1" applyAlignment="1">
      <alignment horizontal="left" vertical="center" wrapText="1"/>
    </xf>
    <xf numFmtId="0" fontId="11" fillId="5" borderId="0" xfId="2" applyFill="1" applyAlignment="1" applyProtection="1">
      <alignment vertical="center"/>
      <protection locked="0"/>
    </xf>
    <xf numFmtId="168" fontId="11" fillId="5" borderId="0" xfId="10" applyNumberFormat="1" applyFont="1" applyFill="1" applyBorder="1" applyAlignment="1" applyProtection="1">
      <alignment vertical="center"/>
      <protection locked="0"/>
    </xf>
    <xf numFmtId="171" fontId="25" fillId="0" borderId="119" xfId="12" applyNumberFormat="1" applyFont="1" applyFill="1" applyBorder="1" applyAlignment="1" applyProtection="1">
      <alignment horizontal="right" vertical="center"/>
    </xf>
    <xf numFmtId="175" fontId="25" fillId="6" borderId="119" xfId="12" applyNumberFormat="1" applyFont="1" applyFill="1" applyBorder="1" applyAlignment="1" applyProtection="1">
      <alignment horizontal="right" vertical="center"/>
      <protection locked="0"/>
    </xf>
    <xf numFmtId="49" fontId="11" fillId="8" borderId="146" xfId="2" applyNumberFormat="1" applyFill="1" applyBorder="1" applyAlignment="1">
      <alignment horizontal="center" vertical="center" wrapText="1"/>
    </xf>
    <xf numFmtId="169" fontId="25" fillId="0" borderId="148" xfId="12" applyNumberFormat="1" applyFont="1" applyFill="1" applyBorder="1" applyAlignment="1" applyProtection="1">
      <alignment horizontal="right" vertical="center"/>
    </xf>
    <xf numFmtId="169" fontId="25" fillId="0" borderId="148" xfId="12" applyNumberFormat="1" applyFont="1" applyFill="1" applyBorder="1" applyAlignment="1">
      <alignment horizontal="right" vertical="center"/>
    </xf>
    <xf numFmtId="165" fontId="25" fillId="0" borderId="148" xfId="2" applyNumberFormat="1" applyFont="1" applyBorder="1" applyAlignment="1">
      <alignment horizontal="center" vertical="center" wrapText="1"/>
    </xf>
    <xf numFmtId="168" fontId="25" fillId="0" borderId="149" xfId="10" applyNumberFormat="1" applyFont="1" applyFill="1" applyBorder="1" applyAlignment="1">
      <alignment horizontal="center" vertical="center"/>
    </xf>
    <xf numFmtId="168" fontId="25" fillId="5" borderId="119" xfId="10" applyNumberFormat="1" applyFont="1" applyFill="1" applyBorder="1" applyAlignment="1">
      <alignment horizontal="center" vertical="center"/>
    </xf>
    <xf numFmtId="172" fontId="25" fillId="0" borderId="119" xfId="12" applyNumberFormat="1" applyFont="1" applyFill="1" applyBorder="1" applyAlignment="1" applyProtection="1">
      <alignment horizontal="right" vertical="center"/>
    </xf>
    <xf numFmtId="172" fontId="25" fillId="6" borderId="119" xfId="12" applyNumberFormat="1" applyFont="1" applyFill="1" applyBorder="1" applyAlignment="1" applyProtection="1">
      <alignment horizontal="right" vertical="center"/>
      <protection locked="0"/>
    </xf>
    <xf numFmtId="3" fontId="25" fillId="0" borderId="119" xfId="12" applyNumberFormat="1" applyFont="1" applyFill="1" applyBorder="1" applyAlignment="1">
      <alignment horizontal="right" vertical="center"/>
    </xf>
    <xf numFmtId="172" fontId="11" fillId="4" borderId="119" xfId="12" applyNumberFormat="1" applyFont="1" applyFill="1" applyBorder="1" applyAlignment="1">
      <alignment horizontal="right" vertical="top"/>
    </xf>
    <xf numFmtId="3" fontId="11" fillId="4" borderId="119" xfId="12" applyNumberFormat="1" applyFont="1" applyFill="1" applyBorder="1" applyAlignment="1">
      <alignment horizontal="right" vertical="top"/>
    </xf>
    <xf numFmtId="168" fontId="25" fillId="0" borderId="119" xfId="2" applyNumberFormat="1" applyFont="1" applyBorder="1" applyAlignment="1">
      <alignment horizontal="center" vertical="center"/>
    </xf>
    <xf numFmtId="197" fontId="25" fillId="5" borderId="119" xfId="2" applyNumberFormat="1" applyFont="1" applyFill="1" applyBorder="1" applyAlignment="1" applyProtection="1">
      <alignment vertical="center"/>
      <protection locked="0"/>
    </xf>
    <xf numFmtId="192" fontId="25" fillId="5" borderId="0" xfId="2" applyNumberFormat="1" applyFont="1" applyFill="1" applyAlignment="1">
      <alignment horizontal="right" vertical="center"/>
    </xf>
    <xf numFmtId="180" fontId="25" fillId="5" borderId="0" xfId="12" applyNumberFormat="1" applyFont="1" applyFill="1" applyBorder="1" applyAlignment="1">
      <alignment horizontal="right" vertical="center" wrapText="1"/>
    </xf>
    <xf numFmtId="0" fontId="0" fillId="5" borderId="126" xfId="0" applyFill="1" applyBorder="1"/>
    <xf numFmtId="175" fontId="25" fillId="0" borderId="119" xfId="12" applyNumberFormat="1" applyFont="1" applyFill="1" applyBorder="1" applyAlignment="1">
      <alignment horizontal="left" vertical="center"/>
    </xf>
    <xf numFmtId="175" fontId="25" fillId="0" borderId="119" xfId="12" applyNumberFormat="1" applyFont="1" applyFill="1" applyBorder="1" applyAlignment="1" applyProtection="1">
      <alignment horizontal="right" vertical="center"/>
    </xf>
    <xf numFmtId="169" fontId="25" fillId="0" borderId="119" xfId="12" applyNumberFormat="1" applyFont="1" applyFill="1" applyBorder="1" applyAlignment="1" applyProtection="1">
      <alignment horizontal="right" vertical="center"/>
    </xf>
    <xf numFmtId="168" fontId="25" fillId="0" borderId="146" xfId="10" applyNumberFormat="1" applyFont="1" applyFill="1" applyBorder="1" applyAlignment="1" applyProtection="1">
      <alignment horizontal="center" vertical="center"/>
    </xf>
    <xf numFmtId="168" fontId="25" fillId="5" borderId="119" xfId="10" applyNumberFormat="1" applyFont="1" applyFill="1" applyBorder="1" applyAlignment="1" applyProtection="1">
      <alignment horizontal="center" vertical="center"/>
    </xf>
    <xf numFmtId="172" fontId="25" fillId="5" borderId="119" xfId="12" applyNumberFormat="1" applyFont="1" applyFill="1" applyBorder="1" applyAlignment="1" applyProtection="1">
      <alignment horizontal="right" vertical="center"/>
    </xf>
    <xf numFmtId="174" fontId="25" fillId="0" borderId="119" xfId="11" applyNumberFormat="1" applyFont="1" applyFill="1" applyBorder="1" applyAlignment="1" applyProtection="1">
      <alignment horizontal="right" vertical="center"/>
    </xf>
    <xf numFmtId="3" fontId="25" fillId="5" borderId="119" xfId="2" applyNumberFormat="1" applyFont="1" applyFill="1" applyBorder="1" applyAlignment="1" applyProtection="1">
      <alignment horizontal="left" vertical="center" wrapText="1"/>
      <protection locked="0"/>
    </xf>
    <xf numFmtId="0" fontId="25" fillId="5" borderId="119" xfId="2" applyFont="1" applyFill="1" applyBorder="1" applyAlignment="1" applyProtection="1">
      <alignment vertical="center"/>
      <protection locked="0"/>
    </xf>
    <xf numFmtId="0" fontId="25" fillId="0" borderId="0" xfId="0" applyFont="1"/>
    <xf numFmtId="0" fontId="44" fillId="5" borderId="0" xfId="2" applyFont="1" applyFill="1" applyAlignment="1">
      <alignment vertical="center"/>
    </xf>
    <xf numFmtId="0" fontId="24" fillId="8" borderId="0" xfId="0" applyFont="1" applyFill="1" applyAlignment="1">
      <alignment horizontal="center" vertical="center" wrapText="1"/>
    </xf>
    <xf numFmtId="0" fontId="70" fillId="8" borderId="0" xfId="0" applyFont="1" applyFill="1" applyAlignment="1">
      <alignment vertical="center" wrapText="1"/>
    </xf>
    <xf numFmtId="0" fontId="24" fillId="4" borderId="0" xfId="0" applyFont="1" applyFill="1" applyAlignment="1">
      <alignment vertical="center" wrapText="1"/>
    </xf>
    <xf numFmtId="0" fontId="24" fillId="8" borderId="119" xfId="0" applyFont="1" applyFill="1" applyBorder="1" applyAlignment="1">
      <alignment vertical="center" wrapText="1"/>
    </xf>
    <xf numFmtId="0" fontId="24" fillId="8" borderId="150" xfId="0" applyFont="1" applyFill="1" applyBorder="1" applyAlignment="1">
      <alignment horizontal="center" vertical="center" wrapText="1"/>
    </xf>
    <xf numFmtId="3" fontId="25" fillId="5" borderId="119" xfId="2" applyNumberFormat="1" applyFont="1" applyFill="1" applyBorder="1" applyAlignment="1">
      <alignment horizontal="left" vertical="center" wrapText="1" indent="1"/>
    </xf>
    <xf numFmtId="172" fontId="25" fillId="5" borderId="119" xfId="12" applyNumberFormat="1" applyFont="1" applyFill="1" applyBorder="1" applyAlignment="1">
      <alignment horizontal="right" vertical="center"/>
    </xf>
    <xf numFmtId="168" fontId="25" fillId="5" borderId="119" xfId="10" applyNumberFormat="1" applyFont="1" applyFill="1" applyBorder="1" applyAlignment="1">
      <alignment horizontal="right" vertical="center"/>
    </xf>
    <xf numFmtId="192" fontId="25" fillId="44" borderId="119" xfId="2" applyNumberFormat="1" applyFont="1" applyFill="1" applyBorder="1" applyAlignment="1">
      <alignment horizontal="right" vertical="center"/>
    </xf>
    <xf numFmtId="180" fontId="25" fillId="44" borderId="119" xfId="12" applyNumberFormat="1" applyFont="1" applyFill="1" applyBorder="1" applyAlignment="1" applyProtection="1">
      <alignment horizontal="right" vertical="center" wrapText="1"/>
    </xf>
    <xf numFmtId="168" fontId="25" fillId="9" borderId="119" xfId="10" applyNumberFormat="1" applyFont="1" applyFill="1" applyBorder="1" applyAlignment="1" applyProtection="1">
      <alignment vertical="center" wrapText="1"/>
    </xf>
    <xf numFmtId="165" fontId="25" fillId="44" borderId="119" xfId="2" applyNumberFormat="1" applyFont="1" applyFill="1" applyBorder="1" applyAlignment="1">
      <alignment horizontal="center" vertical="center" wrapText="1"/>
    </xf>
    <xf numFmtId="0" fontId="25" fillId="5" borderId="119" xfId="2" applyFont="1" applyFill="1" applyBorder="1" applyAlignment="1">
      <alignment horizontal="left" vertical="center" indent="1"/>
    </xf>
    <xf numFmtId="192" fontId="25" fillId="5" borderId="119" xfId="2" applyNumberFormat="1" applyFont="1" applyFill="1" applyBorder="1" applyAlignment="1" applyProtection="1">
      <alignment horizontal="right" vertical="center"/>
      <protection locked="0"/>
    </xf>
    <xf numFmtId="180" fontId="25" fillId="5" borderId="119" xfId="12" applyNumberFormat="1" applyFont="1" applyFill="1" applyBorder="1" applyAlignment="1" applyProtection="1">
      <alignment horizontal="right" vertical="center" wrapText="1"/>
      <protection locked="0"/>
    </xf>
    <xf numFmtId="168" fontId="25" fillId="5" borderId="119" xfId="10" applyNumberFormat="1" applyFont="1" applyFill="1" applyBorder="1" applyAlignment="1">
      <alignment vertical="center" wrapText="1"/>
    </xf>
    <xf numFmtId="165" fontId="25" fillId="5" borderId="119" xfId="2" applyNumberFormat="1" applyFont="1" applyFill="1" applyBorder="1" applyAlignment="1" applyProtection="1">
      <alignment horizontal="center" vertical="center" wrapText="1"/>
      <protection locked="0"/>
    </xf>
    <xf numFmtId="174" fontId="25" fillId="5" borderId="119" xfId="11" applyNumberFormat="1" applyFont="1" applyFill="1" applyBorder="1" applyAlignment="1" applyProtection="1">
      <alignment horizontal="center" vertical="center" wrapText="1"/>
      <protection locked="0"/>
    </xf>
    <xf numFmtId="0" fontId="91" fillId="5" borderId="0" xfId="2" applyFont="1" applyFill="1" applyAlignment="1">
      <alignment horizontal="left" vertical="center" indent="1"/>
    </xf>
    <xf numFmtId="0" fontId="26" fillId="5" borderId="0" xfId="2" applyFont="1" applyFill="1" applyAlignment="1">
      <alignment vertical="center"/>
    </xf>
    <xf numFmtId="2" fontId="11" fillId="0" borderId="0" xfId="9" applyNumberFormat="1" applyFont="1" applyAlignment="1">
      <alignment horizontal="center" vertical="center"/>
    </xf>
    <xf numFmtId="2" fontId="11" fillId="0" borderId="0" xfId="9" applyNumberFormat="1" applyFont="1" applyAlignment="1">
      <alignment horizontal="centerContinuous" vertical="center"/>
    </xf>
    <xf numFmtId="0" fontId="10" fillId="0" borderId="62" xfId="0" applyFont="1" applyBorder="1" applyAlignment="1">
      <alignment horizontal="left" vertical="center" indent="1"/>
    </xf>
    <xf numFmtId="169" fontId="39" fillId="5" borderId="26" xfId="0" applyNumberFormat="1" applyFont="1" applyFill="1" applyBorder="1" applyAlignment="1">
      <alignment horizontal="right" vertical="center" wrapText="1"/>
    </xf>
    <xf numFmtId="170" fontId="39" fillId="4" borderId="16" xfId="0" applyNumberFormat="1" applyFont="1" applyFill="1" applyBorder="1" applyAlignment="1">
      <alignment horizontal="center" vertical="center" wrapText="1"/>
    </xf>
    <xf numFmtId="0" fontId="39" fillId="4" borderId="16" xfId="0" applyFont="1" applyFill="1" applyBorder="1" applyAlignment="1">
      <alignment vertical="center"/>
    </xf>
    <xf numFmtId="169" fontId="39" fillId="4" borderId="16" xfId="0" applyNumberFormat="1" applyFont="1" applyFill="1" applyBorder="1" applyAlignment="1">
      <alignment horizontal="right" vertical="center" wrapText="1"/>
    </xf>
    <xf numFmtId="0" fontId="39" fillId="4" borderId="16" xfId="0" applyFont="1" applyFill="1" applyBorder="1" applyAlignment="1">
      <alignment horizontal="center" vertical="center"/>
    </xf>
    <xf numFmtId="0" fontId="63" fillId="4" borderId="15" xfId="0" applyFont="1" applyFill="1" applyBorder="1" applyAlignment="1">
      <alignment horizontal="center" vertical="center"/>
    </xf>
    <xf numFmtId="0" fontId="24" fillId="8" borderId="4" xfId="0" applyFont="1" applyFill="1" applyBorder="1" applyAlignment="1">
      <alignment horizontal="center" vertical="center"/>
    </xf>
    <xf numFmtId="0" fontId="1" fillId="0" borderId="22" xfId="0" applyFont="1" applyBorder="1" applyAlignment="1">
      <alignment horizontal="left" vertical="center" wrapText="1" indent="1"/>
    </xf>
    <xf numFmtId="0" fontId="1" fillId="0" borderId="42" xfId="0" applyFont="1" applyBorder="1" applyAlignment="1">
      <alignment horizontal="left" vertical="center" wrapText="1" indent="1"/>
    </xf>
    <xf numFmtId="0" fontId="1" fillId="0" borderId="25" xfId="0" applyFont="1" applyBorder="1" applyAlignment="1">
      <alignment horizontal="left" vertical="center" wrapText="1" indent="1"/>
    </xf>
    <xf numFmtId="0" fontId="10" fillId="8" borderId="18" xfId="0" applyFont="1" applyFill="1" applyBorder="1" applyAlignment="1">
      <alignment horizontal="left" vertical="center" wrapText="1"/>
    </xf>
    <xf numFmtId="0" fontId="10" fillId="8" borderId="19" xfId="0" applyFont="1" applyFill="1" applyBorder="1" applyAlignment="1">
      <alignment horizontal="left" vertical="center" wrapText="1"/>
    </xf>
    <xf numFmtId="0" fontId="11" fillId="0" borderId="0" xfId="2" applyAlignment="1">
      <alignment horizontal="centerContinuous" vertical="center" wrapText="1"/>
    </xf>
    <xf numFmtId="0" fontId="25" fillId="0" borderId="0" xfId="2" applyFont="1" applyAlignment="1">
      <alignment vertical="center" wrapText="1"/>
    </xf>
    <xf numFmtId="0" fontId="25" fillId="5" borderId="0" xfId="2" applyFont="1" applyFill="1" applyAlignment="1">
      <alignment vertical="center" wrapText="1"/>
    </xf>
    <xf numFmtId="0" fontId="44" fillId="0" borderId="0" xfId="2" applyFont="1" applyAlignment="1">
      <alignment horizontal="left" vertical="center" wrapText="1"/>
    </xf>
    <xf numFmtId="0" fontId="25" fillId="0" borderId="0" xfId="2" applyFont="1" applyAlignment="1">
      <alignment vertical="top" wrapText="1"/>
    </xf>
    <xf numFmtId="0" fontId="24" fillId="5" borderId="0" xfId="2" applyFont="1" applyFill="1" applyAlignment="1">
      <alignment horizontal="center" vertical="center" wrapText="1"/>
    </xf>
    <xf numFmtId="0" fontId="24" fillId="5" borderId="0" xfId="2" applyFont="1" applyFill="1" applyAlignment="1">
      <alignment horizontal="left" vertical="center" wrapText="1"/>
    </xf>
    <xf numFmtId="49" fontId="24" fillId="0" borderId="0" xfId="2" applyNumberFormat="1" applyFont="1" applyAlignment="1">
      <alignment vertical="center"/>
    </xf>
    <xf numFmtId="0" fontId="25" fillId="6" borderId="119" xfId="0" applyFont="1" applyFill="1" applyBorder="1" applyAlignment="1" applyProtection="1">
      <alignment horizontal="left" vertical="center"/>
      <protection locked="0"/>
    </xf>
    <xf numFmtId="0" fontId="25" fillId="6" borderId="4" xfId="0" applyFont="1" applyFill="1" applyBorder="1" applyAlignment="1" applyProtection="1">
      <alignment horizontal="center" vertical="center" wrapText="1"/>
      <protection locked="0"/>
    </xf>
    <xf numFmtId="2" fontId="39" fillId="6" borderId="4" xfId="0" applyNumberFormat="1" applyFont="1" applyFill="1" applyBorder="1" applyProtection="1">
      <protection locked="0"/>
    </xf>
    <xf numFmtId="169" fontId="25" fillId="6" borderId="4" xfId="0" applyNumberFormat="1" applyFont="1" applyFill="1" applyBorder="1" applyAlignment="1" applyProtection="1">
      <alignment horizontal="center" vertical="center" wrapText="1"/>
      <protection locked="0"/>
    </xf>
    <xf numFmtId="169" fontId="39" fillId="6" borderId="4" xfId="0" applyNumberFormat="1" applyFont="1" applyFill="1" applyBorder="1" applyAlignment="1" applyProtection="1">
      <alignment horizontal="center"/>
      <protection locked="0"/>
    </xf>
    <xf numFmtId="0" fontId="0" fillId="6" borderId="119" xfId="0" applyFill="1" applyBorder="1" applyProtection="1">
      <protection locked="0"/>
    </xf>
    <xf numFmtId="0" fontId="39" fillId="6" borderId="41" xfId="0" applyFont="1" applyFill="1" applyBorder="1" applyAlignment="1" applyProtection="1">
      <alignment horizontal="left" vertical="center" indent="1"/>
      <protection locked="0"/>
    </xf>
    <xf numFmtId="0" fontId="1" fillId="6" borderId="12" xfId="0" applyFont="1" applyFill="1" applyBorder="1" applyAlignment="1" applyProtection="1">
      <alignment horizontal="center" vertical="center"/>
      <protection locked="0"/>
    </xf>
    <xf numFmtId="0" fontId="11" fillId="6" borderId="50" xfId="0" applyFont="1" applyFill="1" applyBorder="1" applyAlignment="1" applyProtection="1">
      <alignment horizontal="center" vertical="center" wrapText="1"/>
      <protection locked="0"/>
    </xf>
    <xf numFmtId="0" fontId="34" fillId="6" borderId="12" xfId="0" applyFont="1" applyFill="1" applyBorder="1" applyAlignment="1" applyProtection="1">
      <alignment horizontal="center" vertical="center"/>
      <protection locked="0"/>
    </xf>
    <xf numFmtId="0" fontId="39" fillId="5" borderId="0" xfId="0" applyFont="1" applyFill="1" applyAlignment="1" applyProtection="1">
      <alignment horizontal="left"/>
      <protection locked="0"/>
    </xf>
    <xf numFmtId="0" fontId="39" fillId="5" borderId="0" xfId="0" applyFont="1" applyFill="1" applyAlignment="1" applyProtection="1">
      <alignment horizontal="center"/>
      <protection locked="0"/>
    </xf>
    <xf numFmtId="0" fontId="11" fillId="6" borderId="41" xfId="0" applyFont="1" applyFill="1" applyBorder="1" applyProtection="1">
      <protection locked="0"/>
    </xf>
    <xf numFmtId="0" fontId="6" fillId="6" borderId="41" xfId="0" applyFont="1" applyFill="1" applyBorder="1" applyProtection="1">
      <protection locked="0"/>
    </xf>
    <xf numFmtId="0" fontId="8" fillId="6" borderId="41" xfId="0" applyFont="1" applyFill="1" applyBorder="1" applyAlignment="1" applyProtection="1">
      <alignment vertical="center"/>
      <protection locked="0"/>
    </xf>
    <xf numFmtId="0" fontId="6" fillId="6" borderId="41" xfId="0" applyFont="1" applyFill="1" applyBorder="1" applyAlignment="1" applyProtection="1">
      <alignment horizontal="center" vertical="center"/>
      <protection locked="0"/>
    </xf>
    <xf numFmtId="0" fontId="11" fillId="6" borderId="41" xfId="0" applyFont="1" applyFill="1" applyBorder="1" applyAlignment="1" applyProtection="1">
      <alignment horizontal="center" vertical="center" wrapText="1"/>
      <protection locked="0"/>
    </xf>
    <xf numFmtId="0" fontId="11" fillId="6" borderId="41" xfId="2" applyFill="1" applyBorder="1" applyAlignment="1" applyProtection="1">
      <alignment horizontal="center" vertical="center" wrapText="1"/>
      <protection locked="0"/>
    </xf>
    <xf numFmtId="0" fontId="11" fillId="6" borderId="41" xfId="0" applyFont="1" applyFill="1" applyBorder="1" applyAlignment="1" applyProtection="1">
      <alignment horizontal="center" vertical="center"/>
      <protection locked="0"/>
    </xf>
    <xf numFmtId="0" fontId="11" fillId="6" borderId="41" xfId="2" applyFill="1" applyBorder="1" applyAlignment="1" applyProtection="1">
      <alignment horizontal="center" vertical="center"/>
      <protection locked="0"/>
    </xf>
    <xf numFmtId="0" fontId="11" fillId="6" borderId="119" xfId="0" applyFont="1" applyFill="1" applyBorder="1" applyAlignment="1" applyProtection="1">
      <alignment horizontal="center" vertical="center"/>
      <protection locked="0"/>
    </xf>
    <xf numFmtId="0" fontId="21" fillId="6" borderId="119" xfId="0" applyFont="1" applyFill="1" applyBorder="1" applyAlignment="1" applyProtection="1">
      <alignment vertical="center" wrapText="1"/>
      <protection locked="0"/>
    </xf>
    <xf numFmtId="0" fontId="11" fillId="6" borderId="25" xfId="0" applyFont="1" applyFill="1" applyBorder="1" applyAlignment="1" applyProtection="1">
      <alignment horizontal="center" vertical="center" wrapText="1"/>
      <protection locked="0"/>
    </xf>
    <xf numFmtId="0" fontId="5" fillId="6" borderId="0" xfId="0" applyFont="1" applyFill="1" applyAlignment="1" applyProtection="1">
      <alignment vertical="center" wrapText="1"/>
      <protection locked="0"/>
    </xf>
    <xf numFmtId="0" fontId="34" fillId="6" borderId="0" xfId="0" applyFont="1" applyFill="1" applyAlignment="1" applyProtection="1">
      <alignment vertical="top" wrapText="1"/>
      <protection locked="0"/>
    </xf>
    <xf numFmtId="0" fontId="34" fillId="6" borderId="0" xfId="0" applyFont="1" applyFill="1" applyAlignment="1" applyProtection="1">
      <alignment vertical="center" wrapText="1"/>
      <protection locked="0"/>
    </xf>
    <xf numFmtId="0" fontId="11" fillId="42" borderId="82" xfId="0" applyFont="1" applyFill="1" applyBorder="1" applyAlignment="1" applyProtection="1">
      <alignment vertical="center"/>
      <protection locked="0"/>
    </xf>
    <xf numFmtId="0" fontId="4" fillId="6" borderId="82" xfId="0" applyFont="1" applyFill="1" applyBorder="1" applyProtection="1">
      <protection locked="0"/>
    </xf>
    <xf numFmtId="4" fontId="28" fillId="6" borderId="82" xfId="0" applyNumberFormat="1" applyFont="1" applyFill="1" applyBorder="1" applyProtection="1">
      <protection locked="0"/>
    </xf>
    <xf numFmtId="3" fontId="28" fillId="6" borderId="82" xfId="0" applyNumberFormat="1" applyFont="1" applyFill="1" applyBorder="1" applyProtection="1">
      <protection locked="0"/>
    </xf>
    <xf numFmtId="0" fontId="11" fillId="6" borderId="82" xfId="0" applyFont="1" applyFill="1" applyBorder="1" applyProtection="1">
      <protection locked="0"/>
    </xf>
    <xf numFmtId="4" fontId="34" fillId="6" borderId="82" xfId="0" applyNumberFormat="1" applyFont="1" applyFill="1" applyBorder="1" applyProtection="1">
      <protection locked="0"/>
    </xf>
    <xf numFmtId="3" fontId="34" fillId="6" borderId="82" xfId="0" applyNumberFormat="1" applyFont="1" applyFill="1" applyBorder="1" applyProtection="1">
      <protection locked="0"/>
    </xf>
    <xf numFmtId="0" fontId="24" fillId="6" borderId="82" xfId="0" applyFont="1" applyFill="1" applyBorder="1" applyProtection="1">
      <protection locked="0"/>
    </xf>
    <xf numFmtId="0" fontId="34" fillId="6" borderId="82" xfId="0" applyFont="1" applyFill="1" applyBorder="1" applyProtection="1">
      <protection locked="0"/>
    </xf>
    <xf numFmtId="0" fontId="28" fillId="6" borderId="41" xfId="0" applyFont="1" applyFill="1" applyBorder="1" applyAlignment="1" applyProtection="1">
      <alignment horizontal="center" vertical="center"/>
      <protection locked="0"/>
    </xf>
    <xf numFmtId="0" fontId="28" fillId="0" borderId="104" xfId="0" applyFont="1" applyBorder="1" applyAlignment="1">
      <alignment horizontal="center" vertical="center"/>
    </xf>
    <xf numFmtId="0" fontId="28" fillId="6" borderId="82" xfId="0" applyFont="1" applyFill="1" applyBorder="1" applyAlignment="1" applyProtection="1">
      <alignment horizontal="center" vertical="center"/>
      <protection locked="0"/>
    </xf>
    <xf numFmtId="0" fontId="4" fillId="6" borderId="82" xfId="0" applyFont="1" applyFill="1" applyBorder="1" applyAlignment="1" applyProtection="1">
      <alignment vertical="center" wrapText="1"/>
      <protection locked="0"/>
    </xf>
    <xf numFmtId="0" fontId="11" fillId="0" borderId="171" xfId="0" applyFont="1" applyBorder="1" applyAlignment="1">
      <alignment horizontal="center" vertical="center"/>
    </xf>
    <xf numFmtId="0" fontId="11" fillId="0" borderId="172" xfId="0" applyFont="1" applyBorder="1" applyAlignment="1">
      <alignment horizontal="center" vertical="center"/>
    </xf>
    <xf numFmtId="0" fontId="11" fillId="0" borderId="173" xfId="0" applyFont="1" applyBorder="1" applyAlignment="1">
      <alignment horizontal="center" vertical="center"/>
    </xf>
    <xf numFmtId="0" fontId="6" fillId="6" borderId="82" xfId="0" applyFont="1" applyFill="1" applyBorder="1" applyProtection="1">
      <protection locked="0"/>
    </xf>
    <xf numFmtId="0" fontId="11" fillId="6" borderId="82" xfId="0" applyFont="1" applyFill="1" applyBorder="1" applyAlignment="1" applyProtection="1">
      <alignment horizontal="center" vertical="center"/>
      <protection locked="0"/>
    </xf>
    <xf numFmtId="0" fontId="11" fillId="6" borderId="82" xfId="2" applyFill="1" applyBorder="1" applyAlignment="1" applyProtection="1">
      <alignment vertical="center"/>
      <protection locked="0"/>
    </xf>
    <xf numFmtId="0" fontId="26" fillId="4" borderId="104" xfId="2" applyFont="1" applyFill="1" applyBorder="1" applyAlignment="1">
      <alignment vertical="center"/>
    </xf>
    <xf numFmtId="174" fontId="11" fillId="6" borderId="82" xfId="11" applyNumberFormat="1" applyFont="1" applyFill="1" applyBorder="1" applyAlignment="1" applyProtection="1">
      <alignment horizontal="center" vertical="center"/>
      <protection locked="0"/>
    </xf>
    <xf numFmtId="0" fontId="11" fillId="6" borderId="82" xfId="2" applyFill="1" applyBorder="1" applyAlignment="1" applyProtection="1">
      <alignment horizontal="right" vertical="center"/>
      <protection locked="0"/>
    </xf>
    <xf numFmtId="0" fontId="11" fillId="6" borderId="82" xfId="2" applyFill="1" applyBorder="1" applyAlignment="1" applyProtection="1">
      <alignment horizontal="left" vertical="center"/>
      <protection locked="0"/>
    </xf>
    <xf numFmtId="168" fontId="11" fillId="6" borderId="82" xfId="9" applyNumberFormat="1" applyFont="1" applyFill="1" applyBorder="1" applyAlignment="1" applyProtection="1">
      <alignment vertical="center"/>
      <protection locked="0"/>
    </xf>
    <xf numFmtId="0" fontId="25" fillId="6" borderId="82" xfId="2" applyFont="1" applyFill="1" applyBorder="1" applyAlignment="1" applyProtection="1">
      <alignment vertical="center"/>
      <protection locked="0"/>
    </xf>
    <xf numFmtId="174" fontId="25" fillId="6" borderId="82" xfId="11" applyNumberFormat="1" applyFont="1" applyFill="1" applyBorder="1" applyAlignment="1" applyProtection="1">
      <alignment vertical="center" wrapText="1"/>
      <protection locked="0"/>
    </xf>
    <xf numFmtId="0" fontId="26" fillId="6" borderId="82" xfId="2" applyFont="1" applyFill="1" applyBorder="1" applyAlignment="1" applyProtection="1">
      <alignment vertical="center"/>
      <protection locked="0"/>
    </xf>
    <xf numFmtId="181" fontId="11" fillId="6" borderId="82" xfId="2" applyNumberFormat="1" applyFill="1" applyBorder="1" applyAlignment="1" applyProtection="1">
      <alignment vertical="center"/>
      <protection locked="0"/>
    </xf>
    <xf numFmtId="0" fontId="25" fillId="6" borderId="82" xfId="2" applyFont="1" applyFill="1" applyBorder="1" applyAlignment="1" applyProtection="1">
      <alignment horizontal="center" vertical="center" wrapText="1"/>
      <protection locked="0"/>
    </xf>
    <xf numFmtId="49" fontId="94" fillId="6" borderId="82" xfId="2" applyNumberFormat="1" applyFont="1" applyFill="1" applyBorder="1" applyAlignment="1" applyProtection="1">
      <alignment horizontal="center" vertical="center" wrapText="1"/>
      <protection locked="0"/>
    </xf>
    <xf numFmtId="0" fontId="39" fillId="6" borderId="82" xfId="0" applyFont="1" applyFill="1" applyBorder="1" applyAlignment="1" applyProtection="1">
      <alignment horizontal="left" vertical="top" wrapText="1"/>
      <protection locked="0"/>
    </xf>
    <xf numFmtId="0" fontId="23" fillId="0" borderId="0" xfId="18" applyFont="1" applyAlignment="1">
      <alignment horizontal="left" vertical="center" wrapText="1"/>
    </xf>
    <xf numFmtId="0" fontId="25" fillId="0" borderId="0" xfId="2" applyFont="1" applyAlignment="1">
      <alignment horizontal="left" vertical="center" indent="1"/>
    </xf>
    <xf numFmtId="0" fontId="25" fillId="0" borderId="16" xfId="2" applyFont="1" applyBorder="1" applyAlignment="1">
      <alignment horizontal="left" vertical="center" indent="1"/>
    </xf>
    <xf numFmtId="0" fontId="113" fillId="6" borderId="119" xfId="0" applyFont="1" applyFill="1" applyBorder="1" applyAlignment="1" applyProtection="1">
      <alignment horizontal="center" vertical="center"/>
      <protection locked="0"/>
    </xf>
    <xf numFmtId="0" fontId="39" fillId="5" borderId="16" xfId="0" applyFont="1" applyFill="1" applyBorder="1" applyAlignment="1">
      <alignment horizontal="left" vertical="center"/>
    </xf>
    <xf numFmtId="0" fontId="34" fillId="5" borderId="0" xfId="0" applyFont="1" applyFill="1" applyAlignment="1">
      <alignment vertical="top" wrapText="1"/>
    </xf>
    <xf numFmtId="0" fontId="24" fillId="5" borderId="0" xfId="0" applyFont="1" applyFill="1" applyAlignment="1">
      <alignment horizontal="center" vertical="center" wrapText="1"/>
    </xf>
    <xf numFmtId="0" fontId="39" fillId="5" borderId="0" xfId="0" applyFont="1" applyFill="1" applyAlignment="1">
      <alignment horizontal="right" vertical="center" wrapText="1"/>
    </xf>
    <xf numFmtId="0" fontId="34" fillId="8" borderId="5" xfId="0" applyFont="1" applyFill="1" applyBorder="1" applyAlignment="1">
      <alignment horizontal="center" vertical="center"/>
    </xf>
    <xf numFmtId="3" fontId="10" fillId="8" borderId="5" xfId="0" applyNumberFormat="1" applyFont="1" applyFill="1" applyBorder="1" applyAlignment="1">
      <alignment horizontal="center" vertical="center" wrapText="1"/>
    </xf>
    <xf numFmtId="0" fontId="10" fillId="8" borderId="5" xfId="0" applyFont="1" applyFill="1" applyBorder="1" applyAlignment="1">
      <alignment horizontal="center" vertical="center"/>
    </xf>
    <xf numFmtId="170" fontId="10" fillId="8" borderId="5" xfId="0" applyNumberFormat="1" applyFont="1" applyFill="1" applyBorder="1" applyAlignment="1">
      <alignment horizontal="center" vertical="center" wrapText="1"/>
    </xf>
    <xf numFmtId="0" fontId="1" fillId="4" borderId="3" xfId="0" applyFont="1" applyFill="1" applyBorder="1" applyAlignment="1">
      <alignment horizontal="center" vertical="center"/>
    </xf>
    <xf numFmtId="0" fontId="10" fillId="8" borderId="4" xfId="0" applyFont="1" applyFill="1" applyBorder="1" applyAlignment="1">
      <alignment horizontal="center" vertical="center" wrapText="1"/>
    </xf>
    <xf numFmtId="0" fontId="39" fillId="8" borderId="1" xfId="0" applyFont="1" applyFill="1" applyBorder="1" applyAlignment="1">
      <alignment horizontal="center" vertical="center" wrapText="1"/>
    </xf>
    <xf numFmtId="0" fontId="39" fillId="8" borderId="1" xfId="0" applyFont="1" applyFill="1" applyBorder="1" applyAlignment="1">
      <alignment horizontal="left" vertical="center" wrapText="1"/>
    </xf>
    <xf numFmtId="170" fontId="39" fillId="8" borderId="1" xfId="0" applyNumberFormat="1" applyFont="1" applyFill="1" applyBorder="1" applyAlignment="1">
      <alignment horizontal="center" vertical="center" wrapText="1"/>
    </xf>
    <xf numFmtId="0" fontId="39" fillId="8" borderId="4" xfId="0" applyFont="1" applyFill="1" applyBorder="1" applyAlignment="1">
      <alignment horizontal="center" vertical="center" wrapText="1"/>
    </xf>
    <xf numFmtId="0" fontId="39" fillId="8" borderId="6" xfId="0" applyFont="1" applyFill="1" applyBorder="1" applyAlignment="1">
      <alignment horizontal="center" vertical="center" wrapText="1"/>
    </xf>
    <xf numFmtId="0" fontId="39" fillId="8" borderId="107" xfId="0" applyFont="1" applyFill="1" applyBorder="1" applyAlignment="1">
      <alignment horizontal="center" vertical="center" wrapText="1"/>
    </xf>
    <xf numFmtId="0" fontId="39" fillId="8" borderId="18" xfId="0" applyFont="1" applyFill="1" applyBorder="1" applyAlignment="1">
      <alignment horizontal="center" vertical="center" wrapText="1"/>
    </xf>
    <xf numFmtId="0" fontId="39" fillId="8" borderId="18" xfId="0" applyFont="1" applyFill="1" applyBorder="1" applyAlignment="1">
      <alignment horizontal="left" vertical="center" wrapText="1"/>
    </xf>
    <xf numFmtId="170" fontId="39" fillId="8" borderId="18" xfId="0" applyNumberFormat="1" applyFont="1" applyFill="1" applyBorder="1" applyAlignment="1">
      <alignment horizontal="center" vertical="center" wrapText="1"/>
    </xf>
    <xf numFmtId="0" fontId="63" fillId="6" borderId="106" xfId="0" applyFont="1" applyFill="1" applyBorder="1" applyAlignment="1" applyProtection="1">
      <alignment horizontal="center" vertical="center"/>
      <protection locked="0"/>
    </xf>
    <xf numFmtId="0" fontId="63" fillId="6" borderId="107" xfId="0" applyFont="1" applyFill="1" applyBorder="1" applyAlignment="1" applyProtection="1">
      <alignment horizontal="center" vertical="center"/>
      <protection locked="0"/>
    </xf>
    <xf numFmtId="0" fontId="63" fillId="6" borderId="50" xfId="0" applyFont="1" applyFill="1" applyBorder="1" applyAlignment="1" applyProtection="1">
      <alignment horizontal="center" vertical="center"/>
      <protection locked="0"/>
    </xf>
    <xf numFmtId="0" fontId="63" fillId="6" borderId="51" xfId="0" applyFont="1" applyFill="1" applyBorder="1" applyAlignment="1" applyProtection="1">
      <alignment horizontal="center" vertical="center"/>
      <protection locked="0"/>
    </xf>
    <xf numFmtId="0" fontId="33" fillId="0" borderId="0" xfId="0" applyFont="1" applyAlignment="1">
      <alignment horizontal="center" vertical="top"/>
    </xf>
    <xf numFmtId="0" fontId="44" fillId="0" borderId="0" xfId="0" applyFont="1" applyAlignment="1">
      <alignment horizontal="center"/>
    </xf>
    <xf numFmtId="0" fontId="1" fillId="6" borderId="4" xfId="0" applyFont="1" applyFill="1" applyBorder="1" applyAlignment="1" applyProtection="1">
      <alignment horizontal="left" vertical="center" indent="1"/>
      <protection locked="0"/>
    </xf>
    <xf numFmtId="10" fontId="1" fillId="6" borderId="4" xfId="0" applyNumberFormat="1" applyFont="1" applyFill="1" applyBorder="1" applyAlignment="1" applyProtection="1">
      <alignment horizontal="right" vertical="center"/>
      <protection locked="0"/>
    </xf>
    <xf numFmtId="10" fontId="1" fillId="0" borderId="4" xfId="0" applyNumberFormat="1" applyFont="1" applyBorder="1" applyAlignment="1">
      <alignment horizontal="right" vertical="center"/>
    </xf>
    <xf numFmtId="39" fontId="1" fillId="5" borderId="4" xfId="1" applyNumberFormat="1" applyFont="1" applyFill="1" applyBorder="1" applyAlignment="1" applyProtection="1">
      <alignment horizontal="right" vertical="center"/>
      <protection locked="0"/>
    </xf>
    <xf numFmtId="0" fontId="0" fillId="6" borderId="82" xfId="0" applyFill="1" applyBorder="1" applyProtection="1">
      <protection locked="0"/>
    </xf>
    <xf numFmtId="172" fontId="39" fillId="6" borderId="41" xfId="0" applyNumberFormat="1" applyFont="1" applyFill="1" applyBorder="1" applyAlignment="1" applyProtection="1">
      <alignment horizontal="right" vertical="center" wrapText="1"/>
      <protection locked="0"/>
    </xf>
    <xf numFmtId="172" fontId="39" fillId="0" borderId="42" xfId="0" applyNumberFormat="1" applyFont="1" applyBorder="1" applyAlignment="1">
      <alignment horizontal="right" vertical="center" wrapText="1"/>
    </xf>
    <xf numFmtId="0" fontId="6" fillId="5" borderId="0" xfId="0" applyFont="1" applyFill="1" applyAlignment="1">
      <alignment vertical="center" wrapText="1"/>
    </xf>
    <xf numFmtId="39" fontId="1" fillId="5" borderId="0" xfId="1" applyNumberFormat="1" applyFont="1" applyFill="1" applyBorder="1" applyAlignment="1" applyProtection="1">
      <alignment horizontal="right" vertical="center"/>
      <protection locked="0"/>
    </xf>
    <xf numFmtId="0" fontId="25" fillId="6" borderId="119" xfId="2" applyFont="1" applyFill="1" applyBorder="1" applyAlignment="1" applyProtection="1">
      <alignment horizontal="center" vertical="center" wrapText="1"/>
      <protection locked="0"/>
    </xf>
    <xf numFmtId="0" fontId="25" fillId="5" borderId="119" xfId="2" applyFont="1" applyFill="1" applyBorder="1" applyAlignment="1">
      <alignment vertical="center"/>
    </xf>
    <xf numFmtId="0" fontId="25" fillId="5" borderId="119" xfId="2" applyFont="1" applyFill="1" applyBorder="1" applyAlignment="1">
      <alignment horizontal="center" vertical="center"/>
    </xf>
    <xf numFmtId="0" fontId="0" fillId="6" borderId="0" xfId="0" applyFill="1" applyProtection="1">
      <protection locked="0"/>
    </xf>
    <xf numFmtId="0" fontId="39" fillId="0" borderId="43" xfId="0" applyFont="1" applyBorder="1" applyAlignment="1">
      <alignment horizontal="right" vertical="center" wrapText="1"/>
    </xf>
    <xf numFmtId="0" fontId="24" fillId="45" borderId="131" xfId="0" applyFont="1" applyFill="1" applyBorder="1" applyAlignment="1">
      <alignment horizontal="center" vertical="center" wrapText="1"/>
    </xf>
    <xf numFmtId="0" fontId="39" fillId="6" borderId="82" xfId="0" applyFont="1" applyFill="1" applyBorder="1" applyAlignment="1" applyProtection="1">
      <alignment vertical="center" wrapText="1"/>
      <protection locked="0"/>
    </xf>
    <xf numFmtId="0" fontId="8" fillId="6" borderId="82" xfId="0" applyFont="1" applyFill="1" applyBorder="1" applyAlignment="1" applyProtection="1">
      <alignment vertical="center" wrapText="1"/>
      <protection locked="0"/>
    </xf>
    <xf numFmtId="0" fontId="114" fillId="45" borderId="131" xfId="0" applyFont="1" applyFill="1" applyBorder="1" applyAlignment="1">
      <alignment horizontal="center" vertical="center" wrapText="1"/>
    </xf>
    <xf numFmtId="0" fontId="5" fillId="6" borderId="82" xfId="0" applyFont="1" applyFill="1" applyBorder="1" applyAlignment="1" applyProtection="1">
      <alignment vertical="center" wrapText="1"/>
      <protection locked="0"/>
    </xf>
    <xf numFmtId="0" fontId="24" fillId="4" borderId="0" xfId="2" applyFont="1" applyFill="1" applyAlignment="1">
      <alignment vertical="center" wrapText="1"/>
    </xf>
    <xf numFmtId="3" fontId="25" fillId="5" borderId="119" xfId="2" applyNumberFormat="1" applyFont="1" applyFill="1" applyBorder="1" applyAlignment="1">
      <alignment horizontal="left" vertical="center" wrapText="1"/>
    </xf>
    <xf numFmtId="168" fontId="25" fillId="9" borderId="119" xfId="10" applyNumberFormat="1" applyFont="1" applyFill="1" applyBorder="1" applyAlignment="1" applyProtection="1">
      <alignment horizontal="right" vertical="center"/>
    </xf>
    <xf numFmtId="168" fontId="25" fillId="0" borderId="119" xfId="10" applyNumberFormat="1" applyFont="1" applyFill="1" applyBorder="1" applyAlignment="1" applyProtection="1">
      <alignment horizontal="center" vertical="center"/>
    </xf>
    <xf numFmtId="2" fontId="39" fillId="6" borderId="138" xfId="0" applyNumberFormat="1" applyFont="1" applyFill="1" applyBorder="1" applyAlignment="1" applyProtection="1">
      <alignment horizontal="right" vertical="center" wrapText="1"/>
      <protection locked="0"/>
    </xf>
    <xf numFmtId="2" fontId="39" fillId="6" borderId="139" xfId="0" applyNumberFormat="1" applyFont="1" applyFill="1" applyBorder="1" applyAlignment="1" applyProtection="1">
      <alignment horizontal="right" vertical="center" wrapText="1"/>
      <protection locked="0"/>
    </xf>
    <xf numFmtId="4" fontId="25" fillId="6" borderId="24" xfId="2" applyNumberFormat="1" applyFont="1" applyFill="1" applyBorder="1" applyAlignment="1" applyProtection="1">
      <alignment horizontal="right" vertical="center"/>
      <protection locked="0"/>
    </xf>
    <xf numFmtId="4" fontId="25" fillId="6" borderId="25" xfId="2" applyNumberFormat="1" applyFont="1" applyFill="1" applyBorder="1" applyAlignment="1" applyProtection="1">
      <alignment horizontal="right" vertical="center"/>
      <protection locked="0"/>
    </xf>
    <xf numFmtId="0" fontId="25" fillId="5" borderId="174" xfId="2" applyFont="1" applyFill="1" applyBorder="1" applyAlignment="1">
      <alignment horizontal="left" vertical="center" indent="1"/>
    </xf>
    <xf numFmtId="3" fontId="25" fillId="6" borderId="176" xfId="2" applyNumberFormat="1" applyFont="1" applyFill="1" applyBorder="1" applyAlignment="1" applyProtection="1">
      <alignment horizontal="right" vertical="center"/>
      <protection locked="0"/>
    </xf>
    <xf numFmtId="3" fontId="25" fillId="6" borderId="177" xfId="2" applyNumberFormat="1" applyFont="1" applyFill="1" applyBorder="1" applyAlignment="1" applyProtection="1">
      <alignment horizontal="right" vertical="center"/>
      <protection locked="0"/>
    </xf>
    <xf numFmtId="3" fontId="25" fillId="5" borderId="178" xfId="2" applyNumberFormat="1" applyFont="1" applyFill="1" applyBorder="1" applyAlignment="1">
      <alignment horizontal="right" vertical="center"/>
    </xf>
    <xf numFmtId="169" fontId="25" fillId="5" borderId="179" xfId="2" applyNumberFormat="1" applyFont="1" applyFill="1" applyBorder="1" applyAlignment="1">
      <alignment horizontal="right" vertical="center"/>
    </xf>
    <xf numFmtId="169" fontId="25" fillId="5" borderId="180" xfId="2" applyNumberFormat="1" applyFont="1" applyFill="1" applyBorder="1" applyAlignment="1">
      <alignment horizontal="right" vertical="center"/>
    </xf>
    <xf numFmtId="0" fontId="25" fillId="5" borderId="27" xfId="2" applyFont="1" applyFill="1" applyBorder="1" applyAlignment="1">
      <alignment horizontal="left" vertical="center" indent="1"/>
    </xf>
    <xf numFmtId="0" fontId="25" fillId="5" borderId="28" xfId="2" applyFont="1" applyFill="1" applyBorder="1" applyAlignment="1">
      <alignment horizontal="left" vertical="center" indent="1"/>
    </xf>
    <xf numFmtId="3" fontId="25" fillId="6" borderId="28" xfId="2" applyNumberFormat="1" applyFont="1" applyFill="1" applyBorder="1" applyAlignment="1" applyProtection="1">
      <alignment horizontal="right" vertical="center"/>
      <protection locked="0"/>
    </xf>
    <xf numFmtId="169" fontId="25" fillId="6" borderId="28" xfId="2" applyNumberFormat="1" applyFont="1" applyFill="1" applyBorder="1" applyAlignment="1" applyProtection="1">
      <alignment horizontal="right" vertical="center"/>
      <protection locked="0"/>
    </xf>
    <xf numFmtId="169" fontId="25" fillId="6" borderId="29" xfId="2" applyNumberFormat="1" applyFont="1" applyFill="1" applyBorder="1" applyAlignment="1" applyProtection="1">
      <alignment horizontal="right" vertical="center"/>
      <protection locked="0"/>
    </xf>
    <xf numFmtId="0" fontId="104" fillId="8" borderId="3" xfId="2" applyFont="1" applyFill="1" applyBorder="1" applyAlignment="1">
      <alignment horizontal="left" vertical="center" indent="1"/>
    </xf>
    <xf numFmtId="0" fontId="25" fillId="8" borderId="3" xfId="2" applyFont="1" applyFill="1" applyBorder="1" applyAlignment="1">
      <alignment horizontal="left" vertical="center" indent="1"/>
    </xf>
    <xf numFmtId="3" fontId="25" fillId="8" borderId="181" xfId="2" applyNumberFormat="1" applyFont="1" applyFill="1" applyBorder="1" applyAlignment="1">
      <alignment horizontal="right" vertical="center"/>
    </xf>
    <xf numFmtId="3" fontId="25" fillId="8" borderId="182" xfId="2" applyNumberFormat="1" applyFont="1" applyFill="1" applyBorder="1" applyAlignment="1">
      <alignment horizontal="right" vertical="center"/>
    </xf>
    <xf numFmtId="3" fontId="25" fillId="8" borderId="183" xfId="2" applyNumberFormat="1" applyFont="1" applyFill="1" applyBorder="1" applyAlignment="1">
      <alignment horizontal="right" vertical="center"/>
    </xf>
    <xf numFmtId="3" fontId="25" fillId="8" borderId="16" xfId="2" applyNumberFormat="1" applyFont="1" applyFill="1" applyBorder="1" applyAlignment="1">
      <alignment horizontal="right" vertical="center"/>
    </xf>
    <xf numFmtId="169" fontId="25" fillId="8" borderId="27" xfId="2" applyNumberFormat="1" applyFont="1" applyFill="1" applyBorder="1" applyAlignment="1">
      <alignment horizontal="right" vertical="center"/>
    </xf>
    <xf numFmtId="169" fontId="25" fillId="8" borderId="29" xfId="2" applyNumberFormat="1" applyFont="1" applyFill="1" applyBorder="1" applyAlignment="1">
      <alignment horizontal="right" vertical="center"/>
    </xf>
    <xf numFmtId="0" fontId="25" fillId="6" borderId="1" xfId="2" applyFont="1" applyFill="1" applyBorder="1" applyAlignment="1" applyProtection="1">
      <alignment horizontal="left" vertical="center" indent="1"/>
      <protection locked="0"/>
    </xf>
    <xf numFmtId="3" fontId="25" fillId="6" borderId="133" xfId="2" applyNumberFormat="1" applyFont="1" applyFill="1" applyBorder="1" applyAlignment="1" applyProtection="1">
      <alignment horizontal="right" vertical="center"/>
      <protection locked="0"/>
    </xf>
    <xf numFmtId="3" fontId="25" fillId="6" borderId="134" xfId="2" applyNumberFormat="1" applyFont="1" applyFill="1" applyBorder="1" applyAlignment="1" applyProtection="1">
      <alignment horizontal="right" vertical="center"/>
      <protection locked="0"/>
    </xf>
    <xf numFmtId="3" fontId="25" fillId="6" borderId="135" xfId="2" applyNumberFormat="1" applyFont="1" applyFill="1" applyBorder="1" applyAlignment="1" applyProtection="1">
      <alignment horizontal="right" vertical="center"/>
      <protection locked="0"/>
    </xf>
    <xf numFmtId="3" fontId="25" fillId="6" borderId="0" xfId="2" applyNumberFormat="1" applyFont="1" applyFill="1" applyAlignment="1" applyProtection="1">
      <alignment horizontal="right" vertical="center"/>
      <protection locked="0"/>
    </xf>
    <xf numFmtId="169" fontId="25" fillId="6" borderId="62" xfId="2" applyNumberFormat="1" applyFont="1" applyFill="1" applyBorder="1" applyAlignment="1" applyProtection="1">
      <alignment horizontal="right" vertical="center"/>
      <protection locked="0"/>
    </xf>
    <xf numFmtId="169" fontId="25" fillId="6" borderId="72" xfId="2" applyNumberFormat="1" applyFont="1" applyFill="1" applyBorder="1" applyAlignment="1" applyProtection="1">
      <alignment horizontal="right" vertical="center"/>
      <protection locked="0"/>
    </xf>
    <xf numFmtId="0" fontId="25" fillId="6" borderId="41" xfId="2" applyFont="1" applyFill="1" applyBorder="1" applyAlignment="1" applyProtection="1">
      <alignment horizontal="left" vertical="center" indent="1"/>
      <protection locked="0"/>
    </xf>
    <xf numFmtId="3" fontId="25" fillId="6" borderId="41" xfId="2" applyNumberFormat="1" applyFont="1" applyFill="1" applyBorder="1" applyAlignment="1" applyProtection="1">
      <alignment horizontal="right" vertical="center"/>
      <protection locked="0"/>
    </xf>
    <xf numFmtId="169" fontId="25" fillId="6" borderId="41" xfId="2" applyNumberFormat="1" applyFont="1" applyFill="1" applyBorder="1" applyAlignment="1" applyProtection="1">
      <alignment horizontal="right" vertical="center"/>
      <protection locked="0"/>
    </xf>
    <xf numFmtId="0" fontId="0" fillId="7" borderId="0" xfId="0" applyFill="1"/>
    <xf numFmtId="0" fontId="1" fillId="5" borderId="0" xfId="0" applyFont="1" applyFill="1" applyAlignment="1">
      <alignment vertical="center"/>
    </xf>
    <xf numFmtId="0" fontId="1" fillId="4" borderId="4" xfId="0" quotePrefix="1" applyFont="1" applyFill="1" applyBorder="1" applyAlignment="1">
      <alignment horizontal="center" vertical="center" wrapText="1"/>
    </xf>
    <xf numFmtId="1" fontId="1" fillId="6" borderId="136" xfId="9" applyNumberFormat="1" applyFont="1" applyFill="1" applyBorder="1" applyAlignment="1" applyProtection="1">
      <alignment vertical="center"/>
      <protection locked="0"/>
    </xf>
    <xf numFmtId="9" fontId="1" fillId="5" borderId="0" xfId="9" applyFont="1" applyFill="1" applyBorder="1" applyAlignment="1">
      <alignment vertical="center"/>
    </xf>
    <xf numFmtId="2" fontId="1" fillId="5" borderId="0" xfId="0" applyNumberFormat="1" applyFont="1" applyFill="1" applyAlignment="1">
      <alignment vertical="center"/>
    </xf>
    <xf numFmtId="3" fontId="1" fillId="5" borderId="0" xfId="0" applyNumberFormat="1" applyFont="1" applyFill="1" applyAlignment="1">
      <alignment vertical="center"/>
    </xf>
    <xf numFmtId="1" fontId="1" fillId="6" borderId="136" xfId="0" applyNumberFormat="1" applyFont="1" applyFill="1" applyBorder="1" applyAlignment="1" applyProtection="1">
      <alignment vertical="center"/>
      <protection locked="0"/>
    </xf>
    <xf numFmtId="1" fontId="1" fillId="6" borderId="137" xfId="0" applyNumberFormat="1" applyFont="1" applyFill="1" applyBorder="1" applyAlignment="1" applyProtection="1">
      <alignment vertical="center"/>
      <protection locked="0"/>
    </xf>
    <xf numFmtId="1" fontId="1" fillId="5" borderId="4" xfId="0" applyNumberFormat="1" applyFont="1" applyFill="1" applyBorder="1" applyAlignment="1">
      <alignment vertical="center"/>
    </xf>
    <xf numFmtId="1" fontId="1" fillId="5" borderId="0" xfId="0" applyNumberFormat="1" applyFont="1" applyFill="1" applyAlignment="1">
      <alignment vertical="center"/>
    </xf>
    <xf numFmtId="0" fontId="34" fillId="5" borderId="0" xfId="0" applyFont="1" applyFill="1" applyAlignment="1">
      <alignment vertical="center"/>
    </xf>
    <xf numFmtId="0" fontId="29" fillId="5" borderId="0" xfId="0" applyFont="1" applyFill="1" applyAlignment="1">
      <alignment vertical="center"/>
    </xf>
    <xf numFmtId="0" fontId="1" fillId="5" borderId="1" xfId="0" applyFont="1" applyFill="1" applyBorder="1" applyAlignment="1" applyProtection="1">
      <alignment vertical="center"/>
      <protection locked="0"/>
    </xf>
    <xf numFmtId="0" fontId="1" fillId="5" borderId="0" xfId="0" applyFont="1" applyFill="1" applyAlignment="1" applyProtection="1">
      <alignment vertical="center"/>
      <protection locked="0"/>
    </xf>
    <xf numFmtId="0" fontId="39" fillId="6" borderId="119" xfId="0" applyFont="1" applyFill="1" applyBorder="1" applyAlignment="1" applyProtection="1">
      <alignment horizontal="left" vertical="center" wrapText="1"/>
      <protection locked="0"/>
    </xf>
    <xf numFmtId="0" fontId="25" fillId="6" borderId="119" xfId="0" applyFont="1" applyFill="1" applyBorder="1" applyAlignment="1" applyProtection="1">
      <alignment horizontal="left" vertical="center" wrapText="1"/>
      <protection locked="0"/>
    </xf>
    <xf numFmtId="0" fontId="11" fillId="4" borderId="100" xfId="0" applyFont="1" applyFill="1" applyBorder="1" applyAlignment="1">
      <alignment horizontal="center" vertical="center" wrapText="1"/>
    </xf>
    <xf numFmtId="0" fontId="1" fillId="8" borderId="23" xfId="0" applyFont="1" applyFill="1" applyBorder="1" applyAlignment="1">
      <alignment horizontal="center" vertical="center" wrapText="1"/>
    </xf>
    <xf numFmtId="0" fontId="1" fillId="8" borderId="25" xfId="0" applyFont="1" applyFill="1" applyBorder="1" applyAlignment="1">
      <alignment horizontal="center" vertical="center" wrapText="1"/>
    </xf>
    <xf numFmtId="0" fontId="11" fillId="8" borderId="23" xfId="2" applyFill="1" applyBorder="1" applyAlignment="1">
      <alignment horizontal="center" vertical="center" wrapText="1"/>
    </xf>
    <xf numFmtId="0" fontId="39" fillId="5" borderId="41" xfId="0" applyFont="1" applyFill="1" applyBorder="1" applyAlignment="1">
      <alignment horizontal="center" vertical="center" wrapText="1"/>
    </xf>
    <xf numFmtId="0" fontId="39" fillId="6" borderId="41" xfId="0" applyFont="1" applyFill="1" applyBorder="1" applyAlignment="1" applyProtection="1">
      <alignment horizontal="center" vertical="center"/>
      <protection locked="0"/>
    </xf>
    <xf numFmtId="172" fontId="25" fillId="5" borderId="119" xfId="2" applyNumberFormat="1" applyFont="1" applyFill="1" applyBorder="1" applyAlignment="1">
      <alignment horizontal="right" vertical="center"/>
    </xf>
    <xf numFmtId="0" fontId="1" fillId="4" borderId="6" xfId="0" quotePrefix="1" applyFont="1" applyFill="1" applyBorder="1" applyAlignment="1">
      <alignment horizontal="center" vertical="center"/>
    </xf>
    <xf numFmtId="0" fontId="1" fillId="4" borderId="6" xfId="0" applyFont="1" applyFill="1" applyBorder="1" applyAlignment="1">
      <alignment horizontal="center" vertical="center"/>
    </xf>
    <xf numFmtId="0" fontId="0" fillId="5" borderId="0" xfId="0" applyFill="1" applyAlignment="1">
      <alignment horizontal="center" vertical="center"/>
    </xf>
    <xf numFmtId="3" fontId="1" fillId="5" borderId="45" xfId="0" applyNumberFormat="1" applyFont="1" applyFill="1" applyBorder="1" applyAlignment="1">
      <alignment vertical="center"/>
    </xf>
    <xf numFmtId="0" fontId="1" fillId="5" borderId="20" xfId="0" applyFont="1" applyFill="1" applyBorder="1" applyAlignment="1">
      <alignment vertical="center"/>
    </xf>
    <xf numFmtId="1" fontId="1" fillId="6" borderId="21" xfId="9" applyNumberFormat="1" applyFont="1" applyFill="1" applyBorder="1" applyAlignment="1" applyProtection="1">
      <alignment horizontal="center" vertical="center"/>
      <protection locked="0"/>
    </xf>
    <xf numFmtId="2" fontId="1" fillId="5" borderId="21" xfId="0" applyNumberFormat="1" applyFont="1" applyFill="1" applyBorder="1" applyAlignment="1">
      <alignment vertical="center"/>
    </xf>
    <xf numFmtId="3" fontId="1" fillId="5" borderId="22" xfId="0" applyNumberFormat="1" applyFont="1" applyFill="1" applyBorder="1" applyAlignment="1">
      <alignment vertical="center"/>
    </xf>
    <xf numFmtId="0" fontId="1" fillId="5" borderId="40" xfId="0" applyFont="1" applyFill="1" applyBorder="1" applyAlignment="1">
      <alignment vertical="center"/>
    </xf>
    <xf numFmtId="1" fontId="1" fillId="6" borderId="41" xfId="9" applyNumberFormat="1" applyFont="1" applyFill="1" applyBorder="1" applyAlignment="1" applyProtection="1">
      <alignment horizontal="center" vertical="center"/>
      <protection locked="0"/>
    </xf>
    <xf numFmtId="2" fontId="1" fillId="5" borderId="41" xfId="0" applyNumberFormat="1" applyFont="1" applyFill="1" applyBorder="1" applyAlignment="1">
      <alignment vertical="center"/>
    </xf>
    <xf numFmtId="3" fontId="1" fillId="5" borderId="42" xfId="0" applyNumberFormat="1" applyFont="1" applyFill="1" applyBorder="1" applyAlignment="1">
      <alignment vertical="center"/>
    </xf>
    <xf numFmtId="0" fontId="1" fillId="5" borderId="23" xfId="0" applyFont="1" applyFill="1" applyBorder="1" applyAlignment="1">
      <alignment vertical="center"/>
    </xf>
    <xf numFmtId="1" fontId="1" fillId="6" borderId="24" xfId="9" applyNumberFormat="1" applyFont="1" applyFill="1" applyBorder="1" applyAlignment="1" applyProtection="1">
      <alignment horizontal="center" vertical="center"/>
      <protection locked="0"/>
    </xf>
    <xf numFmtId="2" fontId="1" fillId="5" borderId="24" xfId="0" applyNumberFormat="1" applyFont="1" applyFill="1" applyBorder="1" applyAlignment="1">
      <alignment vertical="center"/>
    </xf>
    <xf numFmtId="3" fontId="1" fillId="5" borderId="25" xfId="0" applyNumberFormat="1" applyFont="1" applyFill="1" applyBorder="1" applyAlignment="1">
      <alignment vertical="center"/>
    </xf>
    <xf numFmtId="9" fontId="1" fillId="6" borderId="21" xfId="9" applyFont="1" applyFill="1" applyBorder="1" applyAlignment="1" applyProtection="1">
      <alignment horizontal="center" vertical="center"/>
      <protection locked="0"/>
    </xf>
    <xf numFmtId="0" fontId="1" fillId="6" borderId="41" xfId="0" applyFont="1" applyFill="1" applyBorder="1" applyAlignment="1" applyProtection="1">
      <alignment horizontal="center" vertical="center"/>
      <protection locked="0"/>
    </xf>
    <xf numFmtId="0" fontId="1" fillId="6" borderId="24" xfId="0" applyFont="1" applyFill="1" applyBorder="1" applyAlignment="1" applyProtection="1">
      <alignment horizontal="center" vertical="center"/>
      <protection locked="0"/>
    </xf>
    <xf numFmtId="0" fontId="1" fillId="4" borderId="20" xfId="0" applyFont="1" applyFill="1" applyBorder="1" applyAlignment="1">
      <alignment vertical="center"/>
    </xf>
    <xf numFmtId="9" fontId="1" fillId="6" borderId="21" xfId="9" applyFont="1" applyFill="1" applyBorder="1" applyAlignment="1" applyProtection="1">
      <alignment vertical="center"/>
      <protection locked="0"/>
    </xf>
    <xf numFmtId="0" fontId="1" fillId="4" borderId="40" xfId="0" applyFont="1" applyFill="1" applyBorder="1" applyAlignment="1">
      <alignment vertical="center"/>
    </xf>
    <xf numFmtId="9" fontId="1" fillId="6" borderId="41" xfId="9" applyFont="1" applyFill="1" applyBorder="1" applyAlignment="1" applyProtection="1">
      <alignment vertical="center"/>
      <protection locked="0"/>
    </xf>
    <xf numFmtId="0" fontId="1" fillId="4" borderId="23" xfId="0" applyFont="1" applyFill="1" applyBorder="1" applyAlignment="1">
      <alignment vertical="center"/>
    </xf>
    <xf numFmtId="9" fontId="1" fillId="6" borderId="24" xfId="9" applyFont="1" applyFill="1" applyBorder="1" applyAlignment="1" applyProtection="1">
      <alignment vertical="center"/>
      <protection locked="0"/>
    </xf>
    <xf numFmtId="169" fontId="1" fillId="5" borderId="21" xfId="9" applyNumberFormat="1" applyFont="1" applyFill="1" applyBorder="1" applyAlignment="1">
      <alignment vertical="center"/>
    </xf>
    <xf numFmtId="169" fontId="1" fillId="5" borderId="24" xfId="9" applyNumberFormat="1" applyFont="1" applyFill="1" applyBorder="1" applyAlignment="1">
      <alignment vertical="center"/>
    </xf>
    <xf numFmtId="168" fontId="1" fillId="5" borderId="21" xfId="9" applyNumberFormat="1" applyFont="1" applyFill="1" applyBorder="1" applyAlignment="1">
      <alignment vertical="center"/>
    </xf>
    <xf numFmtId="168" fontId="1" fillId="5" borderId="41" xfId="9" applyNumberFormat="1" applyFont="1" applyFill="1" applyBorder="1" applyAlignment="1">
      <alignment vertical="center"/>
    </xf>
    <xf numFmtId="168" fontId="1" fillId="5" borderId="24" xfId="9" applyNumberFormat="1" applyFont="1" applyFill="1" applyBorder="1" applyAlignment="1">
      <alignment vertical="center"/>
    </xf>
    <xf numFmtId="9" fontId="1" fillId="5" borderId="21" xfId="9" applyFont="1" applyFill="1" applyBorder="1" applyAlignment="1">
      <alignment vertical="center"/>
    </xf>
    <xf numFmtId="9" fontId="1" fillId="5" borderId="41" xfId="9" applyFont="1" applyFill="1" applyBorder="1" applyAlignment="1">
      <alignment vertical="center"/>
    </xf>
    <xf numFmtId="9" fontId="1" fillId="5" borderId="24" xfId="9" applyFont="1" applyFill="1" applyBorder="1" applyAlignment="1">
      <alignment vertical="center"/>
    </xf>
    <xf numFmtId="1" fontId="1" fillId="5" borderId="21" xfId="9" applyNumberFormat="1" applyFont="1" applyFill="1" applyBorder="1" applyAlignment="1">
      <alignment vertical="center"/>
    </xf>
    <xf numFmtId="1" fontId="1" fillId="5" borderId="41" xfId="9" applyNumberFormat="1" applyFont="1" applyFill="1" applyBorder="1" applyAlignment="1">
      <alignment vertical="center"/>
    </xf>
    <xf numFmtId="1" fontId="1" fillId="5" borderId="24" xfId="9" applyNumberFormat="1" applyFont="1" applyFill="1" applyBorder="1" applyAlignment="1">
      <alignment vertical="center"/>
    </xf>
    <xf numFmtId="0" fontId="116" fillId="5" borderId="0" xfId="0" applyFont="1" applyFill="1" applyAlignment="1">
      <alignment vertical="center"/>
    </xf>
    <xf numFmtId="0" fontId="11" fillId="4" borderId="57" xfId="0" applyFont="1" applyFill="1" applyBorder="1" applyAlignment="1">
      <alignment horizontal="center" vertical="center" wrapText="1"/>
    </xf>
    <xf numFmtId="0" fontId="24" fillId="45" borderId="123" xfId="0" applyFont="1" applyFill="1" applyBorder="1" applyAlignment="1">
      <alignment horizontal="center" vertical="center" wrapText="1"/>
    </xf>
    <xf numFmtId="0" fontId="114" fillId="45" borderId="123" xfId="0" applyFont="1" applyFill="1" applyBorder="1" applyAlignment="1">
      <alignment horizontal="center" vertical="center" wrapText="1"/>
    </xf>
    <xf numFmtId="0" fontId="1" fillId="4" borderId="13" xfId="0" applyFont="1" applyFill="1" applyBorder="1" applyAlignment="1">
      <alignment horizontal="left" vertical="center" indent="1"/>
    </xf>
    <xf numFmtId="0" fontId="1" fillId="5" borderId="20" xfId="0" applyFont="1" applyFill="1" applyBorder="1" applyAlignment="1">
      <alignment horizontal="left" vertical="center" indent="1"/>
    </xf>
    <xf numFmtId="0" fontId="1" fillId="5" borderId="40" xfId="0" applyFont="1" applyFill="1" applyBorder="1" applyAlignment="1">
      <alignment horizontal="left" vertical="center" indent="1"/>
    </xf>
    <xf numFmtId="0" fontId="1" fillId="5" borderId="23" xfId="0" applyFont="1" applyFill="1" applyBorder="1" applyAlignment="1">
      <alignment horizontal="left" vertical="center" indent="1"/>
    </xf>
    <xf numFmtId="0" fontId="1" fillId="5" borderId="4" xfId="0" applyFont="1" applyFill="1" applyBorder="1" applyAlignment="1">
      <alignment horizontal="center" vertical="center" wrapText="1"/>
    </xf>
    <xf numFmtId="0" fontId="44" fillId="0" borderId="0" xfId="0" applyFont="1" applyAlignment="1">
      <alignment vertical="center"/>
    </xf>
    <xf numFmtId="0" fontId="24" fillId="0" borderId="0" xfId="0" applyFont="1" applyAlignment="1">
      <alignment vertical="center" wrapText="1"/>
    </xf>
    <xf numFmtId="0" fontId="24" fillId="5" borderId="0" xfId="0" applyFont="1" applyFill="1" applyAlignment="1">
      <alignment vertical="center" wrapText="1"/>
    </xf>
    <xf numFmtId="0" fontId="39" fillId="0" borderId="50" xfId="0" applyFont="1" applyBorder="1" applyAlignment="1">
      <alignment horizontal="left" vertical="center" wrapText="1" indent="1"/>
    </xf>
    <xf numFmtId="0" fontId="39" fillId="0" borderId="51" xfId="0" applyFont="1" applyBorder="1" applyAlignment="1">
      <alignment horizontal="left" vertical="center" wrapText="1" indent="1"/>
    </xf>
    <xf numFmtId="0" fontId="39" fillId="0" borderId="107" xfId="0" applyFont="1" applyBorder="1" applyAlignment="1">
      <alignment horizontal="left" vertical="center" wrapText="1" indent="1"/>
    </xf>
    <xf numFmtId="3" fontId="39" fillId="6" borderId="20" xfId="0" applyNumberFormat="1" applyFont="1" applyFill="1" applyBorder="1" applyAlignment="1" applyProtection="1">
      <alignment horizontal="right" vertical="center" wrapText="1"/>
      <protection locked="0"/>
    </xf>
    <xf numFmtId="3" fontId="39" fillId="6" borderId="40" xfId="0" applyNumberFormat="1" applyFont="1" applyFill="1" applyBorder="1" applyAlignment="1" applyProtection="1">
      <alignment horizontal="right" vertical="center" wrapText="1"/>
      <protection locked="0"/>
    </xf>
    <xf numFmtId="168" fontId="39" fillId="0" borderId="41" xfId="0" applyNumberFormat="1" applyFont="1" applyBorder="1" applyAlignment="1">
      <alignment horizontal="center" vertical="center" wrapText="1"/>
    </xf>
    <xf numFmtId="168" fontId="39" fillId="0" borderId="42" xfId="0" applyNumberFormat="1" applyFont="1" applyBorder="1" applyAlignment="1">
      <alignment horizontal="center" vertical="center" wrapText="1"/>
    </xf>
    <xf numFmtId="3" fontId="39" fillId="6" borderId="23" xfId="0" applyNumberFormat="1" applyFont="1" applyFill="1" applyBorder="1" applyAlignment="1" applyProtection="1">
      <alignment horizontal="right" vertical="center" wrapText="1"/>
      <protection locked="0"/>
    </xf>
    <xf numFmtId="3" fontId="39" fillId="6" borderId="24" xfId="0" applyNumberFormat="1" applyFont="1" applyFill="1" applyBorder="1" applyAlignment="1" applyProtection="1">
      <alignment horizontal="right" vertical="center" wrapText="1"/>
      <protection locked="0"/>
    </xf>
    <xf numFmtId="168" fontId="39" fillId="0" borderId="24" xfId="0" applyNumberFormat="1" applyFont="1" applyBorder="1" applyAlignment="1">
      <alignment horizontal="center" vertical="center" wrapText="1"/>
    </xf>
    <xf numFmtId="168" fontId="39" fillId="0" borderId="25" xfId="0" applyNumberFormat="1" applyFont="1" applyBorder="1" applyAlignment="1">
      <alignment horizontal="center" vertical="center" wrapText="1"/>
    </xf>
    <xf numFmtId="2" fontId="39" fillId="5" borderId="139" xfId="0" applyNumberFormat="1" applyFont="1" applyFill="1" applyBorder="1" applyAlignment="1">
      <alignment horizontal="left" vertical="center" wrapText="1" indent="1"/>
    </xf>
    <xf numFmtId="0" fontId="11" fillId="8" borderId="57" xfId="0" applyFont="1" applyFill="1" applyBorder="1" applyAlignment="1">
      <alignment horizontal="center" vertical="center" wrapText="1"/>
    </xf>
    <xf numFmtId="0" fontId="11" fillId="8" borderId="37" xfId="0" applyFont="1" applyFill="1" applyBorder="1" applyAlignment="1">
      <alignment horizontal="center" vertical="center" wrapText="1"/>
    </xf>
    <xf numFmtId="0" fontId="39" fillId="6" borderId="187" xfId="0" applyFont="1" applyFill="1" applyBorder="1" applyAlignment="1" applyProtection="1">
      <alignment horizontal="left" vertical="center" wrapText="1"/>
      <protection locked="0"/>
    </xf>
    <xf numFmtId="0" fontId="39" fillId="6" borderId="188" xfId="0" applyFont="1" applyFill="1" applyBorder="1" applyAlignment="1" applyProtection="1">
      <alignment horizontal="left" vertical="center" wrapText="1"/>
      <protection locked="0"/>
    </xf>
    <xf numFmtId="0" fontId="39" fillId="8" borderId="189" xfId="0" applyFont="1" applyFill="1" applyBorder="1" applyAlignment="1">
      <alignment vertical="center" wrapText="1"/>
    </xf>
    <xf numFmtId="0" fontId="39" fillId="6" borderId="190" xfId="0" applyFont="1" applyFill="1" applyBorder="1" applyAlignment="1" applyProtection="1">
      <alignment horizontal="left" vertical="center" wrapText="1"/>
      <protection locked="0"/>
    </xf>
    <xf numFmtId="0" fontId="39" fillId="6" borderId="190" xfId="0" applyFont="1" applyFill="1" applyBorder="1" applyAlignment="1" applyProtection="1">
      <alignment horizontal="right" vertical="center" wrapText="1"/>
      <protection locked="0"/>
    </xf>
    <xf numFmtId="0" fontId="39" fillId="6" borderId="191" xfId="0" applyFont="1" applyFill="1" applyBorder="1" applyAlignment="1" applyProtection="1">
      <alignment horizontal="right" vertical="center" wrapText="1"/>
      <protection locked="0"/>
    </xf>
    <xf numFmtId="0" fontId="11" fillId="8" borderId="0" xfId="0" applyFont="1" applyFill="1" applyAlignment="1">
      <alignment horizontal="left" vertical="top" wrapText="1"/>
    </xf>
    <xf numFmtId="0" fontId="26" fillId="4" borderId="124" xfId="0" applyFont="1" applyFill="1" applyBorder="1" applyAlignment="1">
      <alignment horizontal="center" vertical="center" wrapText="1"/>
    </xf>
    <xf numFmtId="0" fontId="28" fillId="4" borderId="124" xfId="0" applyFont="1" applyFill="1" applyBorder="1" applyAlignment="1">
      <alignment vertical="center"/>
    </xf>
    <xf numFmtId="0" fontId="11" fillId="4" borderId="124" xfId="0" applyFont="1" applyFill="1" applyBorder="1" applyAlignment="1">
      <alignment horizontal="center" vertical="center"/>
    </xf>
    <xf numFmtId="0" fontId="114" fillId="45" borderId="124" xfId="0" applyFont="1" applyFill="1" applyBorder="1" applyAlignment="1">
      <alignment horizontal="center" vertical="center" wrapText="1"/>
    </xf>
    <xf numFmtId="0" fontId="114" fillId="45" borderId="124" xfId="0" applyFont="1" applyFill="1" applyBorder="1" applyAlignment="1">
      <alignment horizontal="left" vertical="top" wrapText="1"/>
    </xf>
    <xf numFmtId="0" fontId="14" fillId="0" borderId="124" xfId="0" applyFont="1" applyBorder="1"/>
    <xf numFmtId="0" fontId="25" fillId="5" borderId="27" xfId="0" applyFont="1" applyFill="1" applyBorder="1" applyAlignment="1">
      <alignment horizontal="left" vertical="center" wrapText="1" indent="1"/>
    </xf>
    <xf numFmtId="0" fontId="25" fillId="5" borderId="28" xfId="0" applyFont="1" applyFill="1" applyBorder="1" applyAlignment="1">
      <alignment horizontal="left" vertical="top" wrapText="1" indent="1"/>
    </xf>
    <xf numFmtId="0" fontId="11" fillId="8" borderId="121" xfId="0" applyFont="1" applyFill="1" applyBorder="1" applyAlignment="1">
      <alignment vertical="center" wrapText="1"/>
    </xf>
    <xf numFmtId="0" fontId="114" fillId="45" borderId="124" xfId="0" applyFont="1" applyFill="1" applyBorder="1" applyAlignment="1">
      <alignment vertical="top" wrapText="1"/>
    </xf>
    <xf numFmtId="3" fontId="25" fillId="6" borderId="124" xfId="0" applyNumberFormat="1" applyFont="1" applyFill="1" applyBorder="1" applyAlignment="1" applyProtection="1">
      <alignment horizontal="right" vertical="center" wrapText="1"/>
      <protection locked="0"/>
    </xf>
    <xf numFmtId="2" fontId="39" fillId="0" borderId="124" xfId="0" applyNumberFormat="1" applyFont="1" applyBorder="1" applyAlignment="1" applyProtection="1">
      <alignment horizontal="right" vertical="center" wrapText="1"/>
      <protection hidden="1"/>
    </xf>
    <xf numFmtId="0" fontId="21" fillId="5" borderId="27" xfId="0" applyFont="1" applyFill="1" applyBorder="1" applyAlignment="1">
      <alignment horizontal="left" vertical="center" wrapText="1" indent="1"/>
    </xf>
    <xf numFmtId="0" fontId="21" fillId="5" borderId="28" xfId="0" applyFont="1" applyFill="1" applyBorder="1" applyAlignment="1">
      <alignment horizontal="left" vertical="top" wrapText="1" indent="1"/>
    </xf>
    <xf numFmtId="0" fontId="11" fillId="4" borderId="195" xfId="0" applyFont="1" applyFill="1" applyBorder="1" applyAlignment="1">
      <alignment horizontal="center" vertical="center" wrapText="1"/>
    </xf>
    <xf numFmtId="0" fontId="114" fillId="45" borderId="198" xfId="0" applyFont="1" applyFill="1" applyBorder="1" applyAlignment="1">
      <alignment horizontal="center" vertical="center" wrapText="1"/>
    </xf>
    <xf numFmtId="0" fontId="14" fillId="0" borderId="199" xfId="0" applyFont="1" applyBorder="1"/>
    <xf numFmtId="3" fontId="39" fillId="6" borderId="145" xfId="0" applyNumberFormat="1" applyFont="1" applyFill="1" applyBorder="1" applyAlignment="1" applyProtection="1">
      <alignment horizontal="left" vertical="center"/>
      <protection locked="0"/>
    </xf>
    <xf numFmtId="3" fontId="39" fillId="6" borderId="147" xfId="0" applyNumberFormat="1" applyFont="1" applyFill="1" applyBorder="1" applyAlignment="1" applyProtection="1">
      <alignment horizontal="left" vertical="center"/>
      <protection locked="0"/>
    </xf>
    <xf numFmtId="0" fontId="25" fillId="6" borderId="55" xfId="0" applyFont="1" applyFill="1" applyBorder="1" applyAlignment="1" applyProtection="1">
      <alignment horizontal="left" vertical="top" wrapText="1"/>
      <protection locked="0"/>
    </xf>
    <xf numFmtId="3" fontId="25" fillId="6" borderId="37" xfId="0" applyNumberFormat="1" applyFont="1" applyFill="1" applyBorder="1" applyAlignment="1" applyProtection="1">
      <alignment horizontal="right" vertical="center" wrapText="1"/>
      <protection locked="0"/>
    </xf>
    <xf numFmtId="2" fontId="25" fillId="0" borderId="55" xfId="0" applyNumberFormat="1" applyFont="1" applyBorder="1" applyAlignment="1" applyProtection="1">
      <alignment vertical="center" wrapText="1"/>
      <protection hidden="1"/>
    </xf>
    <xf numFmtId="2" fontId="25" fillId="0" borderId="37" xfId="0" applyNumberFormat="1" applyFont="1" applyBorder="1" applyAlignment="1">
      <alignment vertical="center" wrapText="1"/>
    </xf>
    <xf numFmtId="2" fontId="39" fillId="6" borderId="55" xfId="0" applyNumberFormat="1" applyFont="1" applyFill="1" applyBorder="1" applyAlignment="1" applyProtection="1">
      <alignment horizontal="right" vertical="center" wrapText="1"/>
      <protection locked="0"/>
    </xf>
    <xf numFmtId="3" fontId="26" fillId="8" borderId="4" xfId="0" applyNumberFormat="1" applyFont="1" applyFill="1" applyBorder="1" applyAlignment="1">
      <alignment horizontal="center" vertical="center" wrapText="1"/>
    </xf>
    <xf numFmtId="2" fontId="25" fillId="0" borderId="27" xfId="0" applyNumberFormat="1" applyFont="1" applyBorder="1" applyAlignment="1">
      <alignment horizontal="right" vertical="center" wrapText="1"/>
    </xf>
    <xf numFmtId="2" fontId="25" fillId="4" borderId="129" xfId="0" applyNumberFormat="1" applyFont="1" applyFill="1" applyBorder="1" applyAlignment="1">
      <alignment vertical="center" wrapText="1"/>
    </xf>
    <xf numFmtId="2" fontId="25" fillId="4" borderId="35" xfId="0" applyNumberFormat="1" applyFont="1" applyFill="1" applyBorder="1" applyAlignment="1">
      <alignment vertical="center" wrapText="1"/>
    </xf>
    <xf numFmtId="2" fontId="25" fillId="4" borderId="28" xfId="0" applyNumberFormat="1" applyFont="1" applyFill="1" applyBorder="1" applyAlignment="1">
      <alignment vertical="center" wrapText="1"/>
    </xf>
    <xf numFmtId="2" fontId="39" fillId="0" borderId="29" xfId="0" applyNumberFormat="1" applyFont="1" applyBorder="1" applyAlignment="1">
      <alignment horizontal="right" vertical="center" wrapText="1"/>
    </xf>
    <xf numFmtId="2" fontId="39" fillId="0" borderId="27" xfId="0" applyNumberFormat="1" applyFont="1" applyBorder="1" applyAlignment="1">
      <alignment horizontal="right" vertical="center" wrapText="1"/>
    </xf>
    <xf numFmtId="9" fontId="68" fillId="4" borderId="28" xfId="0" applyNumberFormat="1" applyFont="1" applyFill="1" applyBorder="1" applyAlignment="1">
      <alignment vertical="center" wrapText="1"/>
    </xf>
    <xf numFmtId="9" fontId="68" fillId="4" borderId="129" xfId="0" applyNumberFormat="1" applyFont="1" applyFill="1" applyBorder="1" applyAlignment="1">
      <alignment vertical="center" wrapText="1"/>
    </xf>
    <xf numFmtId="2" fontId="39" fillId="0" borderId="4" xfId="0" applyNumberFormat="1" applyFont="1" applyBorder="1" applyAlignment="1">
      <alignment horizontal="right" vertical="center" wrapText="1"/>
    </xf>
    <xf numFmtId="0" fontId="26" fillId="4" borderId="198" xfId="0" applyFont="1" applyFill="1" applyBorder="1" applyAlignment="1">
      <alignment horizontal="center" vertical="center" wrapText="1"/>
    </xf>
    <xf numFmtId="0" fontId="28" fillId="4" borderId="199" xfId="0" applyFont="1" applyFill="1" applyBorder="1" applyAlignment="1">
      <alignment vertical="center"/>
    </xf>
    <xf numFmtId="0" fontId="39" fillId="5" borderId="145" xfId="0" applyFont="1" applyFill="1" applyBorder="1" applyAlignment="1">
      <alignment horizontal="center" vertical="center" wrapText="1"/>
    </xf>
    <xf numFmtId="0" fontId="39" fillId="6" borderId="145" xfId="0" applyFont="1" applyFill="1" applyBorder="1" applyAlignment="1" applyProtection="1">
      <alignment horizontal="center" vertical="center" wrapText="1"/>
      <protection locked="0"/>
    </xf>
    <xf numFmtId="0" fontId="39" fillId="6" borderId="200" xfId="0" applyFont="1" applyFill="1" applyBorder="1" applyAlignment="1" applyProtection="1">
      <alignment horizontal="center" vertical="center" wrapText="1"/>
      <protection locked="0"/>
    </xf>
    <xf numFmtId="0" fontId="25" fillId="6" borderId="128" xfId="0" applyFont="1" applyFill="1" applyBorder="1" applyAlignment="1" applyProtection="1">
      <alignment horizontal="left" vertical="center" wrapText="1"/>
      <protection locked="0"/>
    </xf>
    <xf numFmtId="3" fontId="25" fillId="6" borderId="128" xfId="0" applyNumberFormat="1" applyFont="1" applyFill="1" applyBorder="1" applyAlignment="1" applyProtection="1">
      <alignment horizontal="right" vertical="center" wrapText="1"/>
      <protection locked="0"/>
    </xf>
    <xf numFmtId="2" fontId="39" fillId="6" borderId="128" xfId="0" applyNumberFormat="1" applyFont="1" applyFill="1" applyBorder="1" applyAlignment="1" applyProtection="1">
      <alignment horizontal="right" vertical="center" wrapText="1"/>
      <protection locked="0"/>
    </xf>
    <xf numFmtId="0" fontId="39" fillId="6" borderId="128" xfId="0" applyFont="1" applyFill="1" applyBorder="1" applyAlignment="1" applyProtection="1">
      <alignment horizontal="left" vertical="center" wrapText="1"/>
      <protection locked="0"/>
    </xf>
    <xf numFmtId="9" fontId="39" fillId="6" borderId="128" xfId="0" applyNumberFormat="1" applyFont="1" applyFill="1" applyBorder="1" applyAlignment="1" applyProtection="1">
      <alignment horizontal="center" vertical="center" wrapText="1"/>
      <protection locked="0"/>
    </xf>
    <xf numFmtId="0" fontId="68" fillId="4" borderId="194" xfId="0" applyFont="1" applyFill="1" applyBorder="1" applyAlignment="1">
      <alignment horizontal="left" vertical="center" wrapText="1"/>
    </xf>
    <xf numFmtId="3" fontId="25" fillId="0" borderId="194" xfId="0" applyNumberFormat="1" applyFont="1" applyBorder="1" applyAlignment="1">
      <alignment horizontal="right" vertical="center" wrapText="1"/>
    </xf>
    <xf numFmtId="2" fontId="39" fillId="0" borderId="194" xfId="0" applyNumberFormat="1" applyFont="1" applyBorder="1" applyAlignment="1">
      <alignment horizontal="right" vertical="center" wrapText="1"/>
    </xf>
    <xf numFmtId="0" fontId="11" fillId="4" borderId="147" xfId="0" applyFont="1" applyFill="1" applyBorder="1" applyAlignment="1">
      <alignment horizontal="center" vertical="center" wrapText="1"/>
    </xf>
    <xf numFmtId="0" fontId="11" fillId="4" borderId="148" xfId="0" applyFont="1" applyFill="1" applyBorder="1" applyAlignment="1">
      <alignment horizontal="center" vertical="center" wrapText="1"/>
    </xf>
    <xf numFmtId="0" fontId="11" fillId="4" borderId="149" xfId="0" applyFont="1" applyFill="1" applyBorder="1" applyAlignment="1">
      <alignment horizontal="center" vertical="center" wrapText="1"/>
    </xf>
    <xf numFmtId="0" fontId="24" fillId="4" borderId="2" xfId="0" applyFont="1" applyFill="1" applyBorder="1" applyAlignment="1">
      <alignment vertical="center" wrapText="1"/>
    </xf>
    <xf numFmtId="0" fontId="24" fillId="4" borderId="124" xfId="0" applyFont="1" applyFill="1" applyBorder="1" applyAlignment="1">
      <alignment horizontal="center" vertical="center"/>
    </xf>
    <xf numFmtId="0" fontId="28" fillId="4" borderId="124" xfId="0" applyFont="1" applyFill="1" applyBorder="1"/>
    <xf numFmtId="0" fontId="34" fillId="4" borderId="124" xfId="0" applyFont="1" applyFill="1" applyBorder="1" applyAlignment="1">
      <alignment horizontal="center"/>
    </xf>
    <xf numFmtId="0" fontId="11" fillId="4" borderId="24" xfId="0" applyFont="1" applyFill="1" applyBorder="1" applyAlignment="1">
      <alignment horizontal="centerContinuous" vertical="center" wrapText="1"/>
    </xf>
    <xf numFmtId="0" fontId="24" fillId="4" borderId="198" xfId="0" applyFont="1" applyFill="1" applyBorder="1" applyAlignment="1">
      <alignment horizontal="center" vertical="center"/>
    </xf>
    <xf numFmtId="0" fontId="11" fillId="4" borderId="199" xfId="0" applyFont="1" applyFill="1" applyBorder="1"/>
    <xf numFmtId="0" fontId="25" fillId="6" borderId="23" xfId="0" applyFont="1" applyFill="1" applyBorder="1" applyAlignment="1" applyProtection="1">
      <alignment horizontal="left" vertical="center" wrapText="1" indent="1"/>
      <protection locked="0"/>
    </xf>
    <xf numFmtId="0" fontId="32" fillId="4" borderId="150" xfId="0" applyFont="1" applyFill="1" applyBorder="1"/>
    <xf numFmtId="0" fontId="108" fillId="4" borderId="150" xfId="0" applyFont="1" applyFill="1" applyBorder="1"/>
    <xf numFmtId="0" fontId="26" fillId="4" borderId="209" xfId="0" applyFont="1" applyFill="1" applyBorder="1" applyAlignment="1">
      <alignment horizontal="center" vertical="center" wrapText="1"/>
    </xf>
    <xf numFmtId="0" fontId="108" fillId="4" borderId="210" xfId="0" applyFont="1" applyFill="1" applyBorder="1"/>
    <xf numFmtId="0" fontId="24" fillId="8" borderId="36" xfId="0" applyFont="1" applyFill="1" applyBorder="1" applyAlignment="1">
      <alignment horizontal="center" vertical="center" wrapText="1"/>
    </xf>
    <xf numFmtId="0" fontId="24" fillId="8" borderId="63" xfId="0" applyFont="1" applyFill="1" applyBorder="1" applyAlignment="1">
      <alignment horizontal="center" vertical="center" wrapText="1"/>
    </xf>
    <xf numFmtId="0" fontId="14" fillId="0" borderId="63" xfId="0" applyFont="1" applyBorder="1"/>
    <xf numFmtId="0" fontId="14" fillId="0" borderId="64" xfId="0" applyFont="1" applyBorder="1"/>
    <xf numFmtId="1" fontId="39" fillId="0" borderId="128" xfId="0" applyNumberFormat="1" applyFont="1" applyBorder="1" applyAlignment="1">
      <alignment horizontal="right" vertical="center" wrapText="1"/>
    </xf>
    <xf numFmtId="0" fontId="24" fillId="8" borderId="124" xfId="0" applyFont="1" applyFill="1" applyBorder="1" applyAlignment="1">
      <alignment horizontal="center" vertical="center" wrapText="1"/>
    </xf>
    <xf numFmtId="0" fontId="0" fillId="0" borderId="124" xfId="0" applyBorder="1"/>
    <xf numFmtId="0" fontId="24" fillId="8" borderId="198" xfId="0" applyFont="1" applyFill="1" applyBorder="1" applyAlignment="1">
      <alignment horizontal="center" vertical="center" wrapText="1"/>
    </xf>
    <xf numFmtId="0" fontId="0" fillId="0" borderId="199" xfId="0" applyBorder="1"/>
    <xf numFmtId="0" fontId="39" fillId="6" borderId="29" xfId="0" applyFont="1" applyFill="1" applyBorder="1" applyAlignment="1" applyProtection="1">
      <alignment horizontal="center" vertical="center" wrapText="1"/>
      <protection locked="0"/>
    </xf>
    <xf numFmtId="0" fontId="21" fillId="45" borderId="123" xfId="0" applyFont="1" applyFill="1" applyBorder="1" applyAlignment="1">
      <alignment horizontal="center" vertical="center" wrapText="1"/>
    </xf>
    <xf numFmtId="0" fontId="21" fillId="45" borderId="63" xfId="0" applyFont="1" applyFill="1" applyBorder="1" applyAlignment="1">
      <alignment horizontal="left" vertical="top" wrapText="1"/>
    </xf>
    <xf numFmtId="0" fontId="39" fillId="6" borderId="55" xfId="0" applyFont="1" applyFill="1" applyBorder="1" applyAlignment="1" applyProtection="1">
      <alignment horizontal="left" vertical="center" wrapText="1"/>
      <protection locked="0"/>
    </xf>
    <xf numFmtId="4" fontId="39" fillId="6" borderId="26" xfId="0" applyNumberFormat="1" applyFont="1" applyFill="1" applyBorder="1" applyAlignment="1" applyProtection="1">
      <alignment horizontal="right" vertical="center" wrapText="1"/>
      <protection locked="0"/>
    </xf>
    <xf numFmtId="0" fontId="39" fillId="6" borderId="26" xfId="0" applyFont="1" applyFill="1" applyBorder="1" applyAlignment="1" applyProtection="1">
      <alignment horizontal="left" vertical="center" wrapText="1"/>
      <protection locked="0"/>
    </xf>
    <xf numFmtId="3" fontId="39" fillId="0" borderId="28" xfId="0" applyNumberFormat="1" applyFont="1" applyBorder="1" applyAlignment="1">
      <alignment horizontal="right" vertical="center" indent="1"/>
    </xf>
    <xf numFmtId="4" fontId="39" fillId="0" borderId="28" xfId="0" applyNumberFormat="1" applyFont="1" applyBorder="1" applyAlignment="1">
      <alignment horizontal="right" vertical="center" indent="1"/>
    </xf>
    <xf numFmtId="173" fontId="39" fillId="5" borderId="29" xfId="1" applyNumberFormat="1" applyFont="1" applyFill="1" applyBorder="1" applyAlignment="1">
      <alignment vertical="center"/>
    </xf>
    <xf numFmtId="0" fontId="11" fillId="8" borderId="65" xfId="0" applyFont="1" applyFill="1" applyBorder="1" applyAlignment="1">
      <alignment horizontal="center" vertical="center" wrapText="1"/>
    </xf>
    <xf numFmtId="0" fontId="11" fillId="8" borderId="100" xfId="0" applyFont="1" applyFill="1" applyBorder="1" applyAlignment="1">
      <alignment horizontal="center" vertical="center" wrapText="1"/>
    </xf>
    <xf numFmtId="0" fontId="39" fillId="6" borderId="63" xfId="0" applyFont="1" applyFill="1" applyBorder="1" applyAlignment="1" applyProtection="1">
      <alignment horizontal="left" vertical="center" wrapText="1"/>
      <protection locked="0"/>
    </xf>
    <xf numFmtId="0" fontId="25" fillId="5" borderId="3" xfId="0" applyFont="1" applyFill="1" applyBorder="1" applyAlignment="1">
      <alignment horizontal="left" vertical="center" wrapText="1" indent="1"/>
    </xf>
    <xf numFmtId="0" fontId="1" fillId="0" borderId="4" xfId="0" applyFont="1" applyBorder="1" applyAlignment="1">
      <alignment horizontal="left" vertical="center" wrapText="1" indent="1"/>
    </xf>
    <xf numFmtId="0" fontId="25" fillId="5" borderId="119" xfId="0" applyFont="1" applyFill="1" applyBorder="1" applyAlignment="1">
      <alignment horizontal="left" vertical="center" wrapText="1" indent="1"/>
    </xf>
    <xf numFmtId="0" fontId="11" fillId="8" borderId="128" xfId="0" applyFont="1" applyFill="1" applyBorder="1" applyAlignment="1">
      <alignment vertical="center" wrapText="1"/>
    </xf>
    <xf numFmtId="0" fontId="11" fillId="8" borderId="150" xfId="0" applyFont="1" applyFill="1" applyBorder="1" applyAlignment="1">
      <alignment vertical="center" wrapText="1"/>
    </xf>
    <xf numFmtId="0" fontId="39" fillId="8" borderId="202" xfId="0" applyFont="1" applyFill="1" applyBorder="1" applyAlignment="1">
      <alignment vertical="center" wrapText="1"/>
    </xf>
    <xf numFmtId="0" fontId="1" fillId="8" borderId="26" xfId="0" applyFont="1" applyFill="1" applyBorder="1" applyAlignment="1">
      <alignment vertical="center" wrapText="1"/>
    </xf>
    <xf numFmtId="0" fontId="1" fillId="8" borderId="130" xfId="0" applyFont="1" applyFill="1" applyBorder="1" applyAlignment="1">
      <alignment vertical="center" wrapText="1"/>
    </xf>
    <xf numFmtId="0" fontId="39" fillId="8" borderId="130" xfId="0" applyFont="1" applyFill="1" applyBorder="1" applyAlignment="1">
      <alignment vertical="center" wrapText="1"/>
    </xf>
    <xf numFmtId="0" fontId="39" fillId="8" borderId="108" xfId="0" applyFont="1" applyFill="1" applyBorder="1" applyAlignment="1">
      <alignment horizontal="left" vertical="center" wrapText="1"/>
    </xf>
    <xf numFmtId="0" fontId="26" fillId="8" borderId="120" xfId="0" applyFont="1" applyFill="1" applyBorder="1" applyAlignment="1">
      <alignment horizontal="center" vertical="center" wrapText="1"/>
    </xf>
    <xf numFmtId="0" fontId="26" fillId="8" borderId="122" xfId="0" applyFont="1" applyFill="1" applyBorder="1" applyAlignment="1">
      <alignment horizontal="center" vertical="center" wrapText="1"/>
    </xf>
    <xf numFmtId="0" fontId="11" fillId="8" borderId="6" xfId="0" applyFont="1" applyFill="1" applyBorder="1" applyAlignment="1">
      <alignment vertical="center" wrapText="1"/>
    </xf>
    <xf numFmtId="0" fontId="11" fillId="8" borderId="5" xfId="0" applyFont="1" applyFill="1" applyBorder="1" applyAlignment="1">
      <alignment vertical="center" wrapText="1"/>
    </xf>
    <xf numFmtId="0" fontId="1" fillId="8" borderId="5" xfId="0" applyFont="1" applyFill="1" applyBorder="1" applyAlignment="1">
      <alignment vertical="center" wrapText="1"/>
    </xf>
    <xf numFmtId="0" fontId="1" fillId="8" borderId="45" xfId="0" applyFont="1" applyFill="1" applyBorder="1" applyAlignment="1">
      <alignment vertical="center" wrapText="1"/>
    </xf>
    <xf numFmtId="0" fontId="39" fillId="5" borderId="0" xfId="0" applyFont="1" applyFill="1" applyAlignment="1">
      <alignment horizontal="left" vertical="center" wrapText="1"/>
    </xf>
    <xf numFmtId="3" fontId="39" fillId="5" borderId="0" xfId="0" applyNumberFormat="1" applyFont="1" applyFill="1" applyAlignment="1">
      <alignment horizontal="left" vertical="center" wrapText="1"/>
    </xf>
    <xf numFmtId="172" fontId="39" fillId="5" borderId="0" xfId="0" applyNumberFormat="1" applyFont="1" applyFill="1" applyAlignment="1">
      <alignment horizontal="right" vertical="center" wrapText="1"/>
    </xf>
    <xf numFmtId="172" fontId="39" fillId="5" borderId="0" xfId="0" quotePrefix="1" applyNumberFormat="1" applyFont="1" applyFill="1" applyAlignment="1">
      <alignment horizontal="right" vertical="center" wrapText="1"/>
    </xf>
    <xf numFmtId="170" fontId="39" fillId="5" borderId="0" xfId="0" applyNumberFormat="1" applyFont="1" applyFill="1" applyAlignment="1">
      <alignment horizontal="right" vertical="center" wrapText="1"/>
    </xf>
    <xf numFmtId="1" fontId="39" fillId="5" borderId="0" xfId="0" applyNumberFormat="1" applyFont="1" applyFill="1" applyAlignment="1" applyProtection="1">
      <alignment horizontal="right" vertical="center" wrapText="1"/>
      <protection locked="0"/>
    </xf>
    <xf numFmtId="9" fontId="1" fillId="5" borderId="0" xfId="0" applyNumberFormat="1" applyFont="1" applyFill="1" applyAlignment="1">
      <alignment horizontal="center" vertical="center" wrapText="1"/>
    </xf>
    <xf numFmtId="0" fontId="1" fillId="5" borderId="0" xfId="0" applyFont="1" applyFill="1" applyAlignment="1">
      <alignment wrapText="1"/>
    </xf>
    <xf numFmtId="0" fontId="39" fillId="5" borderId="23" xfId="0" applyFont="1" applyFill="1" applyBorder="1" applyAlignment="1">
      <alignment horizontal="left" vertical="center" wrapText="1"/>
    </xf>
    <xf numFmtId="3" fontId="39" fillId="5" borderId="34" xfId="0" applyNumberFormat="1" applyFont="1" applyFill="1" applyBorder="1" applyAlignment="1">
      <alignment horizontal="left" vertical="center" wrapText="1"/>
    </xf>
    <xf numFmtId="1" fontId="39" fillId="6" borderId="25" xfId="0" applyNumberFormat="1" applyFont="1" applyFill="1" applyBorder="1" applyAlignment="1" applyProtection="1">
      <alignment horizontal="right" vertical="center" wrapText="1"/>
      <protection locked="0"/>
    </xf>
    <xf numFmtId="9" fontId="1" fillId="8" borderId="19" xfId="0" applyNumberFormat="1" applyFont="1" applyFill="1" applyBorder="1" applyAlignment="1">
      <alignment horizontal="center" vertical="center" wrapText="1"/>
    </xf>
    <xf numFmtId="172" fontId="39" fillId="5" borderId="23" xfId="0" applyNumberFormat="1" applyFont="1" applyFill="1" applyBorder="1" applyAlignment="1">
      <alignment horizontal="right" vertical="center" wrapText="1"/>
    </xf>
    <xf numFmtId="172" fontId="39" fillId="5" borderId="24" xfId="0" quotePrefix="1" applyNumberFormat="1" applyFont="1" applyFill="1" applyBorder="1" applyAlignment="1">
      <alignment horizontal="right" vertical="center" wrapText="1"/>
    </xf>
    <xf numFmtId="170" fontId="39" fillId="5" borderId="25" xfId="0" applyNumberFormat="1" applyFont="1" applyFill="1" applyBorder="1" applyAlignment="1">
      <alignment horizontal="right" vertical="center" wrapText="1"/>
    </xf>
    <xf numFmtId="0" fontId="1" fillId="8" borderId="14" xfId="0" applyFont="1" applyFill="1" applyBorder="1" applyAlignment="1">
      <alignment horizontal="center" vertical="center" wrapText="1"/>
    </xf>
    <xf numFmtId="0" fontId="1" fillId="8" borderId="118" xfId="0" applyFont="1" applyFill="1" applyBorder="1" applyAlignment="1">
      <alignment horizontal="center" vertical="center" wrapText="1"/>
    </xf>
    <xf numFmtId="0" fontId="32" fillId="8" borderId="1" xfId="0" applyFont="1" applyFill="1" applyBorder="1" applyAlignment="1">
      <alignment horizontal="center" vertical="center" wrapText="1"/>
    </xf>
    <xf numFmtId="1" fontId="39" fillId="8" borderId="13" xfId="0" applyNumberFormat="1" applyFont="1" applyFill="1" applyBorder="1" applyAlignment="1" applyProtection="1">
      <alignment horizontal="right" vertical="center" wrapText="1"/>
      <protection locked="0"/>
    </xf>
    <xf numFmtId="0" fontId="39" fillId="6" borderId="36" xfId="0" applyFont="1" applyFill="1" applyBorder="1" applyAlignment="1" applyProtection="1">
      <alignment vertical="center"/>
      <protection locked="0"/>
    </xf>
    <xf numFmtId="0" fontId="39" fillId="6" borderId="23" xfId="0" applyFont="1" applyFill="1" applyBorder="1" applyAlignment="1" applyProtection="1">
      <alignment vertical="center"/>
      <protection locked="0"/>
    </xf>
    <xf numFmtId="0" fontId="39" fillId="6" borderId="24" xfId="0" applyFont="1" applyFill="1" applyBorder="1" applyAlignment="1" applyProtection="1">
      <alignment horizontal="center" vertical="center"/>
      <protection locked="0"/>
    </xf>
    <xf numFmtId="0" fontId="114" fillId="45" borderId="212" xfId="0" applyFont="1" applyFill="1" applyBorder="1" applyAlignment="1">
      <alignment horizontal="left" vertical="top" wrapText="1"/>
    </xf>
    <xf numFmtId="0" fontId="39" fillId="6" borderId="24" xfId="0" applyFont="1" applyFill="1" applyBorder="1" applyAlignment="1" applyProtection="1">
      <alignment horizontal="left" vertical="center" indent="1"/>
      <protection locked="0"/>
    </xf>
    <xf numFmtId="0" fontId="117" fillId="4" borderId="22" xfId="0" applyFont="1" applyFill="1" applyBorder="1" applyAlignment="1">
      <alignment horizontal="left" vertical="center" wrapText="1" indent="1"/>
    </xf>
    <xf numFmtId="0" fontId="117" fillId="4" borderId="42" xfId="0" applyFont="1" applyFill="1" applyBorder="1" applyAlignment="1">
      <alignment horizontal="left" vertical="center" wrapText="1" indent="1"/>
    </xf>
    <xf numFmtId="0" fontId="117" fillId="4" borderId="25" xfId="0" applyFont="1" applyFill="1" applyBorder="1" applyAlignment="1">
      <alignment horizontal="left" vertical="center" wrapText="1" indent="1"/>
    </xf>
    <xf numFmtId="39" fontId="1" fillId="43" borderId="4" xfId="1" applyNumberFormat="1" applyFont="1" applyFill="1" applyBorder="1" applyAlignment="1" applyProtection="1">
      <alignment horizontal="right" vertical="center"/>
      <protection locked="0"/>
    </xf>
    <xf numFmtId="197" fontId="25" fillId="5" borderId="119" xfId="2" applyNumberFormat="1" applyFont="1" applyFill="1" applyBorder="1" applyAlignment="1">
      <alignment horizontal="right" vertical="center"/>
    </xf>
    <xf numFmtId="0" fontId="25" fillId="6" borderId="119" xfId="2" applyFont="1" applyFill="1" applyBorder="1" applyAlignment="1" applyProtection="1">
      <alignment horizontal="left" vertical="center" wrapText="1"/>
      <protection locked="0"/>
    </xf>
    <xf numFmtId="0" fontId="25" fillId="5" borderId="119" xfId="2" applyFont="1" applyFill="1" applyBorder="1" applyAlignment="1">
      <alignment horizontal="left" vertical="center"/>
    </xf>
    <xf numFmtId="172" fontId="25" fillId="5" borderId="119" xfId="12" applyNumberFormat="1" applyFont="1" applyFill="1" applyBorder="1" applyAlignment="1" applyProtection="1">
      <alignment horizontal="right" vertical="center" wrapText="1"/>
      <protection locked="0"/>
    </xf>
    <xf numFmtId="0" fontId="25" fillId="6" borderId="128" xfId="2" applyFont="1" applyFill="1" applyBorder="1" applyAlignment="1" applyProtection="1">
      <alignment horizontal="left" vertical="center" wrapText="1"/>
      <protection locked="0"/>
    </xf>
    <xf numFmtId="171" fontId="25" fillId="6" borderId="128" xfId="12" applyNumberFormat="1" applyFont="1" applyFill="1" applyBorder="1" applyAlignment="1" applyProtection="1">
      <alignment horizontal="left" vertical="center" wrapText="1"/>
      <protection locked="0"/>
    </xf>
    <xf numFmtId="172" fontId="25" fillId="6" borderId="128" xfId="12" applyNumberFormat="1" applyFont="1" applyFill="1" applyBorder="1" applyAlignment="1" applyProtection="1">
      <alignment horizontal="right" vertical="center" wrapText="1"/>
      <protection locked="0"/>
    </xf>
    <xf numFmtId="0" fontId="25" fillId="5" borderId="128" xfId="2" applyFont="1" applyFill="1" applyBorder="1" applyAlignment="1">
      <alignment horizontal="left" vertical="center"/>
    </xf>
    <xf numFmtId="172" fontId="25" fillId="5" borderId="128" xfId="12" applyNumberFormat="1" applyFont="1" applyFill="1" applyBorder="1" applyAlignment="1" applyProtection="1">
      <alignment horizontal="right" vertical="center" wrapText="1"/>
      <protection locked="0"/>
    </xf>
    <xf numFmtId="0" fontId="97" fillId="8" borderId="124" xfId="0" applyFont="1" applyFill="1" applyBorder="1" applyAlignment="1">
      <alignment horizontal="center" vertical="center" wrapText="1"/>
    </xf>
    <xf numFmtId="0" fontId="97" fillId="8" borderId="124" xfId="0" applyFont="1" applyFill="1" applyBorder="1" applyAlignment="1">
      <alignment vertical="center"/>
    </xf>
    <xf numFmtId="0" fontId="112" fillId="8" borderId="124" xfId="0" applyFont="1" applyFill="1" applyBorder="1" applyAlignment="1">
      <alignment vertical="center"/>
    </xf>
    <xf numFmtId="0" fontId="112" fillId="8" borderId="124" xfId="0" applyFont="1" applyFill="1" applyBorder="1" applyAlignment="1">
      <alignment horizontal="right" vertical="center"/>
    </xf>
    <xf numFmtId="0" fontId="112" fillId="8" borderId="124" xfId="0" applyFont="1" applyFill="1" applyBorder="1" applyAlignment="1">
      <alignment horizontal="left" vertical="center"/>
    </xf>
    <xf numFmtId="0" fontId="97" fillId="4" borderId="124" xfId="0" applyFont="1" applyFill="1" applyBorder="1" applyAlignment="1">
      <alignment horizontal="right" vertical="center"/>
    </xf>
    <xf numFmtId="0" fontId="97" fillId="8" borderId="124" xfId="2" applyFont="1" applyFill="1" applyBorder="1" applyAlignment="1">
      <alignment horizontal="right" vertical="center" wrapText="1"/>
    </xf>
    <xf numFmtId="49" fontId="97" fillId="8" borderId="124" xfId="2" applyNumberFormat="1" applyFont="1" applyFill="1" applyBorder="1" applyAlignment="1">
      <alignment horizontal="center" vertical="center" wrapText="1"/>
    </xf>
    <xf numFmtId="0" fontId="11" fillId="4" borderId="16" xfId="2" applyFill="1" applyBorder="1" applyAlignment="1">
      <alignment horizontal="left" vertical="center"/>
    </xf>
    <xf numFmtId="172" fontId="11" fillId="4" borderId="16" xfId="2" applyNumberFormat="1" applyFill="1" applyBorder="1" applyAlignment="1">
      <alignment horizontal="right" vertical="center" wrapText="1"/>
    </xf>
    <xf numFmtId="49" fontId="11" fillId="4" borderId="16" xfId="2" applyNumberFormat="1" applyFill="1" applyBorder="1" applyAlignment="1">
      <alignment horizontal="left" vertical="center" wrapText="1"/>
    </xf>
    <xf numFmtId="172" fontId="11" fillId="4" borderId="16" xfId="2" applyNumberFormat="1" applyFill="1" applyBorder="1" applyAlignment="1">
      <alignment horizontal="right" vertical="center"/>
    </xf>
    <xf numFmtId="0" fontId="11" fillId="4" borderId="16" xfId="2" applyFill="1" applyBorder="1" applyAlignment="1">
      <alignment vertical="center"/>
    </xf>
    <xf numFmtId="0" fontId="11" fillId="4" borderId="15" xfId="2" applyFill="1" applyBorder="1" applyAlignment="1">
      <alignment vertical="center"/>
    </xf>
    <xf numFmtId="172" fontId="25" fillId="5" borderId="128" xfId="2" applyNumberFormat="1" applyFont="1" applyFill="1" applyBorder="1" applyAlignment="1">
      <alignment horizontal="right" vertical="center"/>
    </xf>
    <xf numFmtId="172" fontId="25" fillId="5" borderId="122" xfId="12" applyNumberFormat="1" applyFont="1" applyFill="1" applyBorder="1" applyAlignment="1" applyProtection="1">
      <alignment horizontal="right" vertical="center"/>
    </xf>
    <xf numFmtId="0" fontId="11" fillId="8" borderId="16" xfId="2" applyFill="1" applyBorder="1" applyAlignment="1">
      <alignment horizontal="right" vertical="center"/>
    </xf>
    <xf numFmtId="0" fontId="11" fillId="8" borderId="15" xfId="2" applyFill="1" applyBorder="1" applyAlignment="1">
      <alignment horizontal="left" vertical="center"/>
    </xf>
    <xf numFmtId="0" fontId="11" fillId="8" borderId="15" xfId="2" applyFill="1" applyBorder="1" applyAlignment="1">
      <alignment vertical="center"/>
    </xf>
    <xf numFmtId="0" fontId="11" fillId="0" borderId="41" xfId="2" applyBorder="1" applyAlignment="1">
      <alignment horizontal="center" vertical="center"/>
    </xf>
    <xf numFmtId="0" fontId="11" fillId="47" borderId="41" xfId="2" applyFill="1" applyBorder="1" applyAlignment="1">
      <alignment vertical="center"/>
    </xf>
    <xf numFmtId="0" fontId="11" fillId="47" borderId="41" xfId="2" applyFill="1" applyBorder="1" applyAlignment="1">
      <alignment horizontal="centerContinuous" vertical="center"/>
    </xf>
    <xf numFmtId="0" fontId="11" fillId="0" borderId="41" xfId="2" applyBorder="1" applyAlignment="1">
      <alignment horizontal="centerContinuous" vertical="center"/>
    </xf>
    <xf numFmtId="2" fontId="11" fillId="0" borderId="41" xfId="9" applyNumberFormat="1" applyFont="1" applyBorder="1" applyAlignment="1">
      <alignment horizontal="centerContinuous" vertical="center"/>
    </xf>
    <xf numFmtId="0" fontId="11" fillId="0" borderId="42" xfId="2" applyBorder="1" applyAlignment="1">
      <alignment horizontal="center" vertical="center"/>
    </xf>
    <xf numFmtId="2" fontId="11" fillId="47" borderId="41" xfId="9" applyNumberFormat="1" applyFont="1" applyFill="1" applyBorder="1" applyAlignment="1">
      <alignment horizontal="centerContinuous" vertical="center"/>
    </xf>
    <xf numFmtId="0" fontId="11" fillId="0" borderId="24" xfId="2" applyBorder="1" applyAlignment="1">
      <alignment horizontal="centerContinuous" vertical="center"/>
    </xf>
    <xf numFmtId="2" fontId="11" fillId="0" borderId="43" xfId="9" applyNumberFormat="1" applyFont="1" applyBorder="1" applyAlignment="1">
      <alignment horizontal="center" vertical="center"/>
    </xf>
    <xf numFmtId="0" fontId="11" fillId="0" borderId="43" xfId="2" applyBorder="1" applyAlignment="1">
      <alignment horizontal="centerContinuous" vertical="center"/>
    </xf>
    <xf numFmtId="0" fontId="11" fillId="0" borderId="31" xfId="2" applyBorder="1" applyAlignment="1">
      <alignment horizontal="centerContinuous" vertical="center"/>
    </xf>
    <xf numFmtId="0" fontId="11" fillId="0" borderId="26" xfId="2" applyBorder="1" applyAlignment="1">
      <alignment horizontal="center" vertical="center"/>
    </xf>
    <xf numFmtId="0" fontId="11" fillId="0" borderId="26" xfId="2" applyBorder="1" applyAlignment="1">
      <alignment horizontal="centerContinuous" vertical="center"/>
    </xf>
    <xf numFmtId="0" fontId="11" fillId="0" borderId="37" xfId="2" applyBorder="1" applyAlignment="1">
      <alignment horizontal="center" vertical="center"/>
    </xf>
    <xf numFmtId="2" fontId="11" fillId="0" borderId="26" xfId="9" applyNumberFormat="1" applyFont="1" applyBorder="1" applyAlignment="1">
      <alignment horizontal="center" vertical="center"/>
    </xf>
    <xf numFmtId="0" fontId="11" fillId="0" borderId="56" xfId="2" applyBorder="1" applyAlignment="1">
      <alignment horizontal="centerContinuous" vertical="center"/>
    </xf>
    <xf numFmtId="2" fontId="11" fillId="0" borderId="43" xfId="2" applyNumberFormat="1" applyBorder="1" applyAlignment="1">
      <alignment horizontal="centerContinuous" vertical="center"/>
    </xf>
    <xf numFmtId="0" fontId="11" fillId="0" borderId="44" xfId="2" applyBorder="1" applyAlignment="1">
      <alignment horizontal="centerContinuous" vertical="center"/>
    </xf>
    <xf numFmtId="0" fontId="11" fillId="47" borderId="27" xfId="2" applyFill="1" applyBorder="1" applyAlignment="1">
      <alignment horizontal="centerContinuous" vertical="center"/>
    </xf>
    <xf numFmtId="2" fontId="118" fillId="47" borderId="28" xfId="9" applyNumberFormat="1" applyFont="1" applyFill="1" applyBorder="1" applyAlignment="1">
      <alignment horizontal="centerContinuous" vertical="center"/>
    </xf>
    <xf numFmtId="0" fontId="118" fillId="47" borderId="28" xfId="2" applyFont="1" applyFill="1" applyBorder="1" applyAlignment="1">
      <alignment horizontal="centerContinuous" vertical="center"/>
    </xf>
    <xf numFmtId="0" fontId="11" fillId="47" borderId="28" xfId="2" applyFill="1" applyBorder="1" applyAlignment="1">
      <alignment horizontal="centerContinuous" vertical="center"/>
    </xf>
    <xf numFmtId="0" fontId="11" fillId="47" borderId="29" xfId="2" applyFill="1" applyBorder="1" applyAlignment="1">
      <alignment horizontal="centerContinuous" vertical="center"/>
    </xf>
    <xf numFmtId="0" fontId="11" fillId="47" borderId="218" xfId="2" applyFill="1" applyBorder="1" applyAlignment="1">
      <alignment horizontal="center" vertical="center" wrapText="1"/>
    </xf>
    <xf numFmtId="0" fontId="11" fillId="47" borderId="218" xfId="2" applyFill="1" applyBorder="1" applyAlignment="1">
      <alignment horizontal="centerContinuous" vertical="center" wrapText="1"/>
    </xf>
    <xf numFmtId="2" fontId="11" fillId="47" borderId="218" xfId="9" applyNumberFormat="1" applyFont="1" applyFill="1" applyBorder="1" applyAlignment="1">
      <alignment horizontal="center" vertical="center" wrapText="1"/>
    </xf>
    <xf numFmtId="0" fontId="11" fillId="47" borderId="219" xfId="2" applyFill="1" applyBorder="1" applyAlignment="1">
      <alignment vertical="center"/>
    </xf>
    <xf numFmtId="0" fontId="11" fillId="47" borderId="220" xfId="2" applyFill="1" applyBorder="1" applyAlignment="1">
      <alignment vertical="center"/>
    </xf>
    <xf numFmtId="0" fontId="11" fillId="47" borderId="221" xfId="2" applyFill="1" applyBorder="1" applyAlignment="1">
      <alignment vertical="center"/>
    </xf>
    <xf numFmtId="0" fontId="11" fillId="47" borderId="222" xfId="2" applyFill="1" applyBorder="1" applyAlignment="1">
      <alignment vertical="center"/>
    </xf>
    <xf numFmtId="0" fontId="11" fillId="47" borderId="223" xfId="2" applyFill="1" applyBorder="1" applyAlignment="1">
      <alignment vertical="center"/>
    </xf>
    <xf numFmtId="0" fontId="11" fillId="47" borderId="224" xfId="2" applyFill="1" applyBorder="1" applyAlignment="1">
      <alignment vertical="center"/>
    </xf>
    <xf numFmtId="0" fontId="24" fillId="47" borderId="220" xfId="2" applyFont="1" applyFill="1" applyBorder="1" applyAlignment="1">
      <alignment horizontal="center" vertical="center"/>
    </xf>
    <xf numFmtId="0" fontId="11" fillId="47" borderId="43" xfId="2" applyFill="1" applyBorder="1" applyAlignment="1">
      <alignment horizontal="center" vertical="center"/>
    </xf>
    <xf numFmtId="0" fontId="11" fillId="47" borderId="225" xfId="2" applyFill="1" applyBorder="1" applyAlignment="1">
      <alignment vertical="center"/>
    </xf>
    <xf numFmtId="0" fontId="11" fillId="47" borderId="226" xfId="2" applyFill="1" applyBorder="1" applyAlignment="1">
      <alignment vertical="center"/>
    </xf>
    <xf numFmtId="0" fontId="11" fillId="47" borderId="219" xfId="2" applyFill="1" applyBorder="1" applyAlignment="1">
      <alignment horizontal="center" vertical="center"/>
    </xf>
    <xf numFmtId="0" fontId="11" fillId="47" borderId="220" xfId="2" applyFill="1" applyBorder="1" applyAlignment="1">
      <alignment horizontal="center" vertical="center"/>
    </xf>
    <xf numFmtId="0" fontId="11" fillId="47" borderId="221" xfId="2" applyFill="1" applyBorder="1" applyAlignment="1">
      <alignment horizontal="center" vertical="center"/>
    </xf>
    <xf numFmtId="0" fontId="11" fillId="47" borderId="222" xfId="2" applyFill="1" applyBorder="1" applyAlignment="1">
      <alignment horizontal="center" vertical="center"/>
    </xf>
    <xf numFmtId="0" fontId="11" fillId="47" borderId="223" xfId="2" applyFill="1" applyBorder="1" applyAlignment="1">
      <alignment horizontal="center" vertical="center"/>
    </xf>
    <xf numFmtId="0" fontId="11" fillId="47" borderId="224" xfId="2" applyFill="1" applyBorder="1" applyAlignment="1">
      <alignment horizontal="center" vertical="center"/>
    </xf>
    <xf numFmtId="2" fontId="11" fillId="47" borderId="219" xfId="9" applyNumberFormat="1" applyFont="1" applyFill="1" applyBorder="1" applyAlignment="1">
      <alignment horizontal="center" vertical="center"/>
    </xf>
    <xf numFmtId="2" fontId="11" fillId="47" borderId="220" xfId="9" applyNumberFormat="1" applyFont="1" applyFill="1" applyBorder="1" applyAlignment="1">
      <alignment horizontal="center" vertical="center"/>
    </xf>
    <xf numFmtId="2" fontId="11" fillId="47" borderId="222" xfId="9" applyNumberFormat="1" applyFont="1" applyFill="1" applyBorder="1" applyAlignment="1">
      <alignment horizontal="center" vertical="center"/>
    </xf>
    <xf numFmtId="2" fontId="11" fillId="47" borderId="223" xfId="9" applyNumberFormat="1" applyFont="1" applyFill="1" applyBorder="1" applyAlignment="1">
      <alignment horizontal="center" vertical="center"/>
    </xf>
    <xf numFmtId="0" fontId="11" fillId="47" borderId="43" xfId="2" applyFill="1" applyBorder="1" applyAlignment="1">
      <alignment horizontal="centerContinuous" vertical="center"/>
    </xf>
    <xf numFmtId="0" fontId="11" fillId="47" borderId="227" xfId="2" applyFill="1" applyBorder="1" applyAlignment="1">
      <alignment horizontal="center" vertical="center" wrapText="1"/>
    </xf>
    <xf numFmtId="0" fontId="11" fillId="0" borderId="44" xfId="2" applyBorder="1" applyAlignment="1">
      <alignment horizontal="center" vertical="center"/>
    </xf>
    <xf numFmtId="0" fontId="11" fillId="47" borderId="44" xfId="2" applyFill="1" applyBorder="1" applyAlignment="1">
      <alignment horizontal="center" vertical="center"/>
    </xf>
    <xf numFmtId="9" fontId="11" fillId="0" borderId="44" xfId="9" applyFont="1" applyBorder="1" applyAlignment="1">
      <alignment horizontal="center" vertical="center"/>
    </xf>
    <xf numFmtId="9" fontId="11" fillId="47" borderId="227" xfId="9" applyFont="1" applyFill="1" applyBorder="1" applyAlignment="1">
      <alignment horizontal="center" vertical="center" wrapText="1"/>
    </xf>
    <xf numFmtId="2" fontId="11" fillId="0" borderId="44" xfId="9" applyNumberFormat="1" applyFont="1" applyBorder="1" applyAlignment="1">
      <alignment horizontal="center" vertical="center"/>
    </xf>
    <xf numFmtId="2" fontId="11" fillId="47" borderId="44" xfId="9" applyNumberFormat="1" applyFont="1" applyFill="1" applyBorder="1" applyAlignment="1">
      <alignment horizontal="center" vertical="center"/>
    </xf>
    <xf numFmtId="0" fontId="11" fillId="0" borderId="34" xfId="2" applyBorder="1" applyAlignment="1">
      <alignment horizontal="center" vertical="center"/>
    </xf>
    <xf numFmtId="2" fontId="11" fillId="0" borderId="41" xfId="2" applyNumberFormat="1" applyBorder="1" applyAlignment="1">
      <alignment horizontal="center" vertical="center"/>
    </xf>
    <xf numFmtId="2" fontId="11" fillId="0" borderId="26" xfId="2" applyNumberFormat="1" applyBorder="1" applyAlignment="1">
      <alignment horizontal="center" vertical="center"/>
    </xf>
    <xf numFmtId="0" fontId="11" fillId="0" borderId="56" xfId="2" applyBorder="1" applyAlignment="1">
      <alignment horizontal="center" vertical="center"/>
    </xf>
    <xf numFmtId="0" fontId="11" fillId="47" borderId="224" xfId="2" applyFill="1" applyBorder="1" applyAlignment="1">
      <alignment horizontal="center" vertical="center" wrapText="1"/>
    </xf>
    <xf numFmtId="0" fontId="11" fillId="47" borderId="4" xfId="2" applyFill="1" applyBorder="1" applyAlignment="1">
      <alignment horizontal="center" vertical="center"/>
    </xf>
    <xf numFmtId="0" fontId="11" fillId="0" borderId="4" xfId="2" applyBorder="1" applyAlignment="1">
      <alignment horizontal="center" vertical="center"/>
    </xf>
    <xf numFmtId="2" fontId="11" fillId="0" borderId="43" xfId="2" applyNumberFormat="1" applyBorder="1" applyAlignment="1">
      <alignment horizontal="center" vertical="center"/>
    </xf>
    <xf numFmtId="0" fontId="11" fillId="8" borderId="25" xfId="2" applyFill="1" applyBorder="1" applyAlignment="1">
      <alignment horizontal="center" vertical="center" wrapText="1"/>
    </xf>
    <xf numFmtId="3" fontId="25" fillId="6" borderId="27" xfId="2" applyNumberFormat="1" applyFont="1" applyFill="1" applyBorder="1" applyAlignment="1" applyProtection="1">
      <alignment horizontal="right" vertical="center"/>
      <protection locked="0"/>
    </xf>
    <xf numFmtId="3" fontId="25" fillId="6" borderId="28" xfId="2" applyNumberFormat="1" applyFont="1" applyFill="1" applyBorder="1" applyAlignment="1" applyProtection="1">
      <alignment horizontal="left" vertical="center"/>
      <protection locked="0"/>
    </xf>
    <xf numFmtId="3" fontId="25" fillId="6" borderId="29" xfId="2" applyNumberFormat="1" applyFont="1" applyFill="1" applyBorder="1" applyAlignment="1" applyProtection="1">
      <alignment horizontal="right" vertical="center"/>
      <protection locked="0"/>
    </xf>
    <xf numFmtId="0" fontId="1" fillId="5" borderId="16" xfId="0" applyFont="1" applyFill="1" applyBorder="1" applyAlignment="1">
      <alignment horizontal="left" indent="1"/>
    </xf>
    <xf numFmtId="0" fontId="1" fillId="5" borderId="16" xfId="0" applyFont="1" applyFill="1" applyBorder="1"/>
    <xf numFmtId="0" fontId="1" fillId="4" borderId="20" xfId="0" applyFont="1" applyFill="1" applyBorder="1" applyAlignment="1">
      <alignment horizontal="centerContinuous" vertical="center"/>
    </xf>
    <xf numFmtId="0" fontId="1" fillId="4" borderId="21" xfId="0" applyFont="1" applyFill="1" applyBorder="1" applyAlignment="1">
      <alignment horizontal="centerContinuous" vertical="center"/>
    </xf>
    <xf numFmtId="0" fontId="90" fillId="4" borderId="22" xfId="0" applyFont="1" applyFill="1" applyBorder="1" applyAlignment="1">
      <alignment horizontal="centerContinuous" vertical="center"/>
    </xf>
    <xf numFmtId="0" fontId="11" fillId="8" borderId="23" xfId="0" applyFont="1" applyFill="1" applyBorder="1" applyAlignment="1">
      <alignment horizontal="centerContinuous" vertical="center" wrapText="1"/>
    </xf>
    <xf numFmtId="0" fontId="11" fillId="8" borderId="24" xfId="0" applyFont="1" applyFill="1" applyBorder="1" applyAlignment="1">
      <alignment horizontal="centerContinuous" vertical="center" wrapText="1"/>
    </xf>
    <xf numFmtId="0" fontId="1" fillId="4" borderId="21" xfId="0" applyFont="1" applyFill="1" applyBorder="1" applyAlignment="1">
      <alignment vertical="center"/>
    </xf>
    <xf numFmtId="0" fontId="0" fillId="4" borderId="22" xfId="0" applyFill="1" applyBorder="1" applyAlignment="1">
      <alignment vertical="center"/>
    </xf>
    <xf numFmtId="0" fontId="1" fillId="4" borderId="6" xfId="0" applyFont="1" applyFill="1" applyBorder="1" applyAlignment="1">
      <alignment vertical="center"/>
    </xf>
    <xf numFmtId="3" fontId="11" fillId="6" borderId="20" xfId="2" applyNumberFormat="1" applyFill="1" applyBorder="1" applyAlignment="1" applyProtection="1">
      <alignment horizontal="left" vertical="center"/>
      <protection locked="0"/>
    </xf>
    <xf numFmtId="0" fontId="1" fillId="6" borderId="21" xfId="0" applyFont="1" applyFill="1" applyBorder="1" applyAlignment="1" applyProtection="1">
      <alignment vertical="center"/>
      <protection locked="0"/>
    </xf>
    <xf numFmtId="0" fontId="1" fillId="6" borderId="21" xfId="0" applyFont="1" applyFill="1" applyBorder="1" applyAlignment="1" applyProtection="1">
      <alignment vertical="center" wrapText="1"/>
      <protection locked="0"/>
    </xf>
    <xf numFmtId="0" fontId="1" fillId="5" borderId="21" xfId="0" applyFont="1" applyFill="1" applyBorder="1" applyAlignment="1">
      <alignment vertical="center"/>
    </xf>
    <xf numFmtId="0" fontId="1" fillId="5" borderId="21" xfId="0" applyFont="1" applyFill="1" applyBorder="1" applyAlignment="1">
      <alignment vertical="center" wrapText="1"/>
    </xf>
    <xf numFmtId="0" fontId="1" fillId="5" borderId="21" xfId="0" applyFont="1" applyFill="1" applyBorder="1" applyAlignment="1">
      <alignment horizontal="center" vertical="center"/>
    </xf>
    <xf numFmtId="0" fontId="1" fillId="5" borderId="21" xfId="0" applyFont="1" applyFill="1" applyBorder="1" applyAlignment="1">
      <alignment horizontal="center" vertical="center" wrapText="1"/>
    </xf>
    <xf numFmtId="0" fontId="1" fillId="5" borderId="21" xfId="0" applyFont="1" applyFill="1" applyBorder="1" applyAlignment="1">
      <alignment horizontal="centerContinuous" vertical="center" wrapText="1"/>
    </xf>
    <xf numFmtId="2" fontId="1" fillId="5" borderId="21" xfId="0" applyNumberFormat="1" applyFont="1" applyFill="1" applyBorder="1" applyAlignment="1">
      <alignment horizontal="center" vertical="center" wrapText="1"/>
    </xf>
    <xf numFmtId="2" fontId="1" fillId="5" borderId="21" xfId="0" applyNumberFormat="1" applyFont="1" applyFill="1" applyBorder="1" applyAlignment="1">
      <alignment horizontal="left" vertical="center" wrapText="1"/>
    </xf>
    <xf numFmtId="0" fontId="0" fillId="5" borderId="22" xfId="0" applyFill="1" applyBorder="1" applyAlignment="1">
      <alignment horizontal="left"/>
    </xf>
    <xf numFmtId="3" fontId="25" fillId="6" borderId="40" xfId="2" applyNumberFormat="1" applyFont="1" applyFill="1" applyBorder="1" applyAlignment="1" applyProtection="1">
      <alignment horizontal="left" vertical="center"/>
      <protection locked="0"/>
    </xf>
    <xf numFmtId="0" fontId="39" fillId="6" borderId="41" xfId="0" applyFont="1" applyFill="1" applyBorder="1" applyAlignment="1" applyProtection="1">
      <alignment horizontal="left" vertical="center"/>
      <protection locked="0"/>
    </xf>
    <xf numFmtId="0" fontId="39" fillId="6" borderId="41" xfId="0" applyFont="1" applyFill="1" applyBorder="1" applyAlignment="1" applyProtection="1">
      <alignment vertical="center" wrapText="1"/>
      <protection locked="0"/>
    </xf>
    <xf numFmtId="0" fontId="39" fillId="5" borderId="41" xfId="0" applyFont="1" applyFill="1" applyBorder="1" applyAlignment="1">
      <alignment vertical="center"/>
    </xf>
    <xf numFmtId="3" fontId="39" fillId="5" borderId="41" xfId="0" applyNumberFormat="1" applyFont="1" applyFill="1" applyBorder="1" applyAlignment="1">
      <alignment vertical="center" wrapText="1"/>
    </xf>
    <xf numFmtId="0" fontId="39" fillId="5" borderId="41" xfId="0" applyFont="1" applyFill="1" applyBorder="1" applyAlignment="1">
      <alignment horizontal="center" vertical="center"/>
    </xf>
    <xf numFmtId="3" fontId="39" fillId="5" borderId="41" xfId="0" applyNumberFormat="1" applyFont="1" applyFill="1" applyBorder="1" applyAlignment="1">
      <alignment horizontal="center" vertical="center" wrapText="1"/>
    </xf>
    <xf numFmtId="3" fontId="39" fillId="5" borderId="41" xfId="0" applyNumberFormat="1" applyFont="1" applyFill="1" applyBorder="1" applyAlignment="1">
      <alignment horizontal="centerContinuous" vertical="center" wrapText="1"/>
    </xf>
    <xf numFmtId="2" fontId="39" fillId="5" borderId="41" xfId="0" applyNumberFormat="1" applyFont="1" applyFill="1" applyBorder="1" applyAlignment="1">
      <alignment horizontal="center" vertical="center" wrapText="1"/>
    </xf>
    <xf numFmtId="4" fontId="39" fillId="5" borderId="41" xfId="0" applyNumberFormat="1" applyFont="1" applyFill="1" applyBorder="1" applyAlignment="1">
      <alignment horizontal="left" vertical="center" wrapText="1"/>
    </xf>
    <xf numFmtId="172" fontId="39" fillId="5" borderId="41" xfId="0" applyNumberFormat="1" applyFont="1" applyFill="1" applyBorder="1" applyAlignment="1">
      <alignment horizontal="left" vertical="center" wrapText="1"/>
    </xf>
    <xf numFmtId="172" fontId="39" fillId="5" borderId="42" xfId="0" applyNumberFormat="1" applyFont="1" applyFill="1" applyBorder="1" applyAlignment="1">
      <alignment horizontal="left"/>
    </xf>
    <xf numFmtId="0" fontId="39" fillId="6" borderId="41" xfId="0" applyFont="1" applyFill="1" applyBorder="1" applyAlignment="1" applyProtection="1">
      <alignment vertical="center"/>
      <protection locked="0"/>
    </xf>
    <xf numFmtId="3" fontId="25" fillId="6" borderId="23" xfId="2" applyNumberFormat="1" applyFont="1" applyFill="1" applyBorder="1" applyAlignment="1" applyProtection="1">
      <alignment horizontal="left" vertical="center"/>
      <protection locked="0"/>
    </xf>
    <xf numFmtId="0" fontId="39" fillId="6" borderId="24" xfId="0" applyFont="1" applyFill="1" applyBorder="1" applyAlignment="1" applyProtection="1">
      <alignment vertical="center"/>
      <protection locked="0"/>
    </xf>
    <xf numFmtId="0" fontId="39" fillId="6" borderId="24" xfId="0" applyFont="1" applyFill="1" applyBorder="1" applyAlignment="1" applyProtection="1">
      <alignment vertical="center" wrapText="1"/>
      <protection locked="0"/>
    </xf>
    <xf numFmtId="0" fontId="39" fillId="5" borderId="24" xfId="0" applyFont="1" applyFill="1" applyBorder="1" applyAlignment="1">
      <alignment vertical="center"/>
    </xf>
    <xf numFmtId="3" fontId="39" fillId="5" borderId="24" xfId="0" applyNumberFormat="1" applyFont="1" applyFill="1" applyBorder="1" applyAlignment="1">
      <alignment vertical="center" wrapText="1"/>
    </xf>
    <xf numFmtId="0" fontId="39" fillId="5" borderId="24" xfId="0" applyFont="1" applyFill="1" applyBorder="1" applyAlignment="1">
      <alignment horizontal="center" vertical="center"/>
    </xf>
    <xf numFmtId="3" fontId="39" fillId="5" borderId="24" xfId="0" applyNumberFormat="1" applyFont="1" applyFill="1" applyBorder="1" applyAlignment="1">
      <alignment horizontal="center" vertical="center" wrapText="1"/>
    </xf>
    <xf numFmtId="3" fontId="39" fillId="5" borderId="24" xfId="0" applyNumberFormat="1" applyFont="1" applyFill="1" applyBorder="1" applyAlignment="1">
      <alignment horizontal="centerContinuous" vertical="center" wrapText="1"/>
    </xf>
    <xf numFmtId="2" fontId="39" fillId="5" borderId="24" xfId="0" applyNumberFormat="1" applyFont="1" applyFill="1" applyBorder="1" applyAlignment="1">
      <alignment horizontal="center" vertical="center" wrapText="1"/>
    </xf>
    <xf numFmtId="4" fontId="39" fillId="5" borderId="24" xfId="0" applyNumberFormat="1" applyFont="1" applyFill="1" applyBorder="1" applyAlignment="1">
      <alignment horizontal="left" vertical="center" wrapText="1"/>
    </xf>
    <xf numFmtId="172" fontId="39" fillId="5" borderId="24" xfId="0" applyNumberFormat="1" applyFont="1" applyFill="1" applyBorder="1" applyAlignment="1">
      <alignment horizontal="left" vertical="center" wrapText="1"/>
    </xf>
    <xf numFmtId="172" fontId="39" fillId="5" borderId="25" xfId="0" applyNumberFormat="1" applyFont="1" applyFill="1" applyBorder="1" applyAlignment="1">
      <alignment horizontal="left"/>
    </xf>
    <xf numFmtId="0" fontId="1" fillId="4" borderId="100" xfId="0" applyFont="1" applyFill="1" applyBorder="1"/>
    <xf numFmtId="0" fontId="39" fillId="4" borderId="130" xfId="0" applyFont="1" applyFill="1" applyBorder="1"/>
    <xf numFmtId="0" fontId="39" fillId="4" borderId="108" xfId="0" applyFont="1" applyFill="1" applyBorder="1"/>
    <xf numFmtId="0" fontId="1" fillId="4" borderId="100" xfId="0" applyFont="1" applyFill="1" applyBorder="1" applyAlignment="1">
      <alignment horizontal="centerContinuous" vertical="center"/>
    </xf>
    <xf numFmtId="0" fontId="39" fillId="4" borderId="130" xfId="0" applyFont="1" applyFill="1" applyBorder="1" applyAlignment="1">
      <alignment horizontal="centerContinuous" vertical="center"/>
    </xf>
    <xf numFmtId="0" fontId="39" fillId="4" borderId="108" xfId="0" applyFont="1" applyFill="1" applyBorder="1" applyAlignment="1">
      <alignment horizontal="centerContinuous" vertical="center"/>
    </xf>
    <xf numFmtId="2" fontId="1" fillId="4" borderId="100" xfId="0" applyNumberFormat="1" applyFont="1" applyFill="1" applyBorder="1" applyAlignment="1">
      <alignment horizontal="centerContinuous" vertical="center" wrapText="1"/>
    </xf>
    <xf numFmtId="2" fontId="39" fillId="4" borderId="130" xfId="0" applyNumberFormat="1" applyFont="1" applyFill="1" applyBorder="1" applyAlignment="1">
      <alignment horizontal="centerContinuous" vertical="center" wrapText="1"/>
    </xf>
    <xf numFmtId="2" fontId="39" fillId="4" borderId="108" xfId="0" applyNumberFormat="1" applyFont="1" applyFill="1" applyBorder="1" applyAlignment="1">
      <alignment horizontal="centerContinuous" vertical="center" wrapText="1"/>
    </xf>
    <xf numFmtId="0" fontId="0" fillId="8" borderId="20" xfId="0" applyFill="1" applyBorder="1" applyAlignment="1">
      <alignment horizontal="centerContinuous" vertical="top" wrapText="1"/>
    </xf>
    <xf numFmtId="0" fontId="0" fillId="8" borderId="21" xfId="0" applyFill="1" applyBorder="1" applyAlignment="1">
      <alignment horizontal="centerContinuous" vertical="top" wrapText="1"/>
    </xf>
    <xf numFmtId="0" fontId="0" fillId="8" borderId="22" xfId="0" applyFill="1" applyBorder="1" applyAlignment="1">
      <alignment horizontal="centerContinuous" vertical="top" wrapText="1"/>
    </xf>
    <xf numFmtId="0" fontId="0" fillId="8" borderId="40" xfId="0" applyFill="1" applyBorder="1" applyAlignment="1">
      <alignment horizontal="centerContinuous"/>
    </xf>
    <xf numFmtId="0" fontId="0" fillId="8" borderId="41" xfId="0" applyFill="1" applyBorder="1" applyAlignment="1">
      <alignment horizontal="centerContinuous"/>
    </xf>
    <xf numFmtId="0" fontId="0" fillId="8" borderId="42" xfId="0" applyFill="1" applyBorder="1" applyAlignment="1">
      <alignment horizontal="centerContinuous"/>
    </xf>
    <xf numFmtId="0" fontId="1" fillId="8" borderId="24" xfId="0" applyFont="1" applyFill="1" applyBorder="1" applyAlignment="1">
      <alignment horizontal="center" vertical="center" wrapText="1"/>
    </xf>
    <xf numFmtId="0" fontId="0" fillId="8" borderId="23" xfId="0" applyFill="1" applyBorder="1" applyAlignment="1">
      <alignment horizontal="center" vertical="center" wrapText="1"/>
    </xf>
    <xf numFmtId="0" fontId="0" fillId="8" borderId="25" xfId="0" applyFill="1" applyBorder="1" applyAlignment="1">
      <alignment horizontal="left" vertical="center" wrapText="1"/>
    </xf>
    <xf numFmtId="3" fontId="25" fillId="6" borderId="20" xfId="2" applyNumberFormat="1" applyFont="1" applyFill="1" applyBorder="1" applyAlignment="1" applyProtection="1">
      <alignment horizontal="left" vertical="center"/>
      <protection locked="0"/>
    </xf>
    <xf numFmtId="0" fontId="39" fillId="6" borderId="21" xfId="0" applyFont="1" applyFill="1" applyBorder="1" applyAlignment="1" applyProtection="1">
      <alignment horizontal="center" vertical="center"/>
      <protection locked="0"/>
    </xf>
    <xf numFmtId="0" fontId="39" fillId="6" borderId="21" xfId="0" applyFont="1" applyFill="1" applyBorder="1" applyAlignment="1" applyProtection="1">
      <alignment vertical="center" wrapText="1"/>
      <protection locked="0"/>
    </xf>
    <xf numFmtId="0" fontId="39" fillId="5" borderId="21" xfId="0" applyFont="1" applyFill="1" applyBorder="1" applyAlignment="1">
      <alignment horizontal="center" vertical="center" wrapText="1"/>
    </xf>
    <xf numFmtId="3" fontId="39" fillId="5" borderId="21" xfId="0" applyNumberFormat="1" applyFont="1" applyFill="1" applyBorder="1" applyAlignment="1">
      <alignment horizontal="center" vertical="center" wrapText="1"/>
    </xf>
    <xf numFmtId="0" fontId="39" fillId="5" borderId="21" xfId="0" applyFont="1" applyFill="1" applyBorder="1" applyAlignment="1">
      <alignment horizontal="center" vertical="center"/>
    </xf>
    <xf numFmtId="3" fontId="39" fillId="5" borderId="21" xfId="0" applyNumberFormat="1" applyFont="1" applyFill="1" applyBorder="1" applyAlignment="1">
      <alignment horizontal="center" vertical="center"/>
    </xf>
    <xf numFmtId="3" fontId="39" fillId="5" borderId="22" xfId="0" applyNumberFormat="1" applyFont="1" applyFill="1" applyBorder="1" applyAlignment="1">
      <alignment horizontal="center" vertical="center"/>
    </xf>
    <xf numFmtId="3" fontId="39" fillId="5" borderId="41" xfId="0" applyNumberFormat="1" applyFont="1" applyFill="1" applyBorder="1" applyAlignment="1">
      <alignment horizontal="center" vertical="center"/>
    </xf>
    <xf numFmtId="3" fontId="39" fillId="5" borderId="42" xfId="0" applyNumberFormat="1" applyFont="1" applyFill="1" applyBorder="1" applyAlignment="1">
      <alignment horizontal="center" vertical="center"/>
    </xf>
    <xf numFmtId="0" fontId="39" fillId="5" borderId="24" xfId="0" applyFont="1" applyFill="1" applyBorder="1" applyAlignment="1">
      <alignment horizontal="center" vertical="center" wrapText="1"/>
    </xf>
    <xf numFmtId="3" fontId="39" fillId="5" borderId="24" xfId="0" applyNumberFormat="1" applyFont="1" applyFill="1" applyBorder="1" applyAlignment="1">
      <alignment horizontal="center" vertical="center"/>
    </xf>
    <xf numFmtId="3" fontId="39" fillId="5" borderId="25" xfId="0" applyNumberFormat="1" applyFont="1" applyFill="1" applyBorder="1" applyAlignment="1">
      <alignment horizontal="center" vertical="center"/>
    </xf>
    <xf numFmtId="0" fontId="0" fillId="8" borderId="100" xfId="0" applyFill="1" applyBorder="1"/>
    <xf numFmtId="0" fontId="19" fillId="8" borderId="130" xfId="0" applyFont="1" applyFill="1" applyBorder="1"/>
    <xf numFmtId="0" fontId="19" fillId="8" borderId="108" xfId="0" applyFont="1" applyFill="1" applyBorder="1"/>
    <xf numFmtId="0" fontId="39" fillId="5" borderId="16" xfId="0" applyFont="1" applyFill="1" applyBorder="1" applyAlignment="1">
      <alignment horizontal="left" vertical="top"/>
    </xf>
    <xf numFmtId="0" fontId="39" fillId="5" borderId="27" xfId="0" applyFont="1" applyFill="1" applyBorder="1" applyAlignment="1">
      <alignment horizontal="left" vertical="center" wrapText="1" indent="1"/>
    </xf>
    <xf numFmtId="0" fontId="65" fillId="5" borderId="27" xfId="0" applyFont="1" applyFill="1" applyBorder="1" applyAlignment="1">
      <alignment horizontal="left" vertical="center" indent="1"/>
    </xf>
    <xf numFmtId="0" fontId="117" fillId="5" borderId="0" xfId="0" applyFont="1" applyFill="1"/>
    <xf numFmtId="0" fontId="1" fillId="4" borderId="24" xfId="0" applyFont="1" applyFill="1" applyBorder="1" applyAlignment="1">
      <alignment horizontal="center" vertical="center" wrapText="1"/>
    </xf>
    <xf numFmtId="0" fontId="1" fillId="8" borderId="12" xfId="0" applyFont="1" applyFill="1" applyBorder="1" applyAlignment="1">
      <alignment horizontal="left" vertical="center"/>
    </xf>
    <xf numFmtId="0" fontId="1" fillId="8" borderId="2" xfId="0" applyFont="1" applyFill="1" applyBorder="1" applyAlignment="1">
      <alignment horizontal="left"/>
    </xf>
    <xf numFmtId="0" fontId="1" fillId="8" borderId="228" xfId="0" applyFont="1" applyFill="1" applyBorder="1" applyAlignment="1">
      <alignment horizontal="left"/>
    </xf>
    <xf numFmtId="0" fontId="1" fillId="8" borderId="21" xfId="0" applyFont="1" applyFill="1" applyBorder="1" applyAlignment="1">
      <alignment horizontal="centerContinuous" vertical="center"/>
    </xf>
    <xf numFmtId="0" fontId="1" fillId="8" borderId="22" xfId="0" applyFont="1" applyFill="1" applyBorder="1" applyAlignment="1">
      <alignment horizontal="centerContinuous" vertical="center"/>
    </xf>
    <xf numFmtId="0" fontId="1" fillId="4" borderId="48" xfId="0" applyFont="1" applyFill="1" applyBorder="1" applyAlignment="1">
      <alignment horizontal="centerContinuous" vertical="center"/>
    </xf>
    <xf numFmtId="0" fontId="1" fillId="4" borderId="108" xfId="0" applyFont="1" applyFill="1" applyBorder="1" applyAlignment="1">
      <alignment horizontal="centerContinuous"/>
    </xf>
    <xf numFmtId="0" fontId="1" fillId="8" borderId="24" xfId="0" applyFont="1" applyFill="1" applyBorder="1" applyAlignment="1">
      <alignment horizontal="center" vertical="center"/>
    </xf>
    <xf numFmtId="0" fontId="1" fillId="4" borderId="24" xfId="0" applyFont="1" applyFill="1" applyBorder="1" applyAlignment="1">
      <alignment horizontal="centerContinuous" vertical="center" wrapText="1"/>
    </xf>
    <xf numFmtId="0" fontId="1" fillId="4" borderId="25" xfId="0" applyFont="1" applyFill="1" applyBorder="1" applyAlignment="1">
      <alignment horizontal="centerContinuous" vertical="center" wrapText="1"/>
    </xf>
    <xf numFmtId="0" fontId="11" fillId="44" borderId="130" xfId="2" applyFill="1" applyBorder="1" applyAlignment="1">
      <alignment horizontal="left" vertical="center" indent="1"/>
    </xf>
    <xf numFmtId="0" fontId="11" fillId="6" borderId="130" xfId="2" applyFill="1" applyBorder="1" applyAlignment="1" applyProtection="1">
      <alignment horizontal="left" vertical="center" indent="1"/>
      <protection locked="0"/>
    </xf>
    <xf numFmtId="9" fontId="11" fillId="6" borderId="130" xfId="9" applyFont="1" applyFill="1" applyBorder="1" applyAlignment="1" applyProtection="1">
      <alignment horizontal="left" vertical="center" indent="1"/>
      <protection locked="0"/>
    </xf>
    <xf numFmtId="9" fontId="11" fillId="5" borderId="130" xfId="9" applyFont="1" applyFill="1" applyBorder="1" applyAlignment="1">
      <alignment horizontal="centerContinuous" vertical="center"/>
    </xf>
    <xf numFmtId="0" fontId="11" fillId="5" borderId="130" xfId="2" applyFill="1" applyBorder="1" applyAlignment="1">
      <alignment horizontal="centerContinuous" vertical="center"/>
    </xf>
    <xf numFmtId="0" fontId="11" fillId="44" borderId="28" xfId="2" applyFill="1" applyBorder="1" applyAlignment="1" applyProtection="1">
      <alignment horizontal="left" vertical="center" indent="1"/>
      <protection locked="0"/>
    </xf>
    <xf numFmtId="0" fontId="11" fillId="6" borderId="28" xfId="2" applyFill="1" applyBorder="1" applyAlignment="1" applyProtection="1">
      <alignment horizontal="center" vertical="center"/>
      <protection locked="0"/>
    </xf>
    <xf numFmtId="175" fontId="11" fillId="6" borderId="28" xfId="1" applyNumberFormat="1" applyFont="1" applyFill="1" applyBorder="1" applyAlignment="1" applyProtection="1">
      <alignment horizontal="left" vertical="center" indent="1"/>
      <protection locked="0"/>
    </xf>
    <xf numFmtId="9" fontId="11" fillId="6" borderId="28" xfId="9" applyFont="1" applyFill="1" applyBorder="1" applyAlignment="1" applyProtection="1">
      <alignment horizontal="center" vertical="center"/>
      <protection locked="0"/>
    </xf>
    <xf numFmtId="9" fontId="11" fillId="5" borderId="28" xfId="9" applyFont="1" applyFill="1" applyBorder="1" applyAlignment="1">
      <alignment horizontal="centerContinuous" vertical="center"/>
    </xf>
    <xf numFmtId="0" fontId="11" fillId="5" borderId="29" xfId="2" applyFill="1" applyBorder="1" applyAlignment="1">
      <alignment horizontal="centerContinuous" vertical="center"/>
    </xf>
    <xf numFmtId="0" fontId="1" fillId="4" borderId="2" xfId="0" applyFont="1" applyFill="1" applyBorder="1" applyAlignment="1">
      <alignment horizontal="centerContinuous"/>
    </xf>
    <xf numFmtId="0" fontId="1" fillId="4" borderId="228" xfId="0" applyFont="1" applyFill="1" applyBorder="1" applyAlignment="1">
      <alignment horizontal="centerContinuous"/>
    </xf>
    <xf numFmtId="0" fontId="1" fillId="4" borderId="21" xfId="0" applyFont="1" applyFill="1" applyBorder="1" applyAlignment="1">
      <alignment horizontal="centerContinuous"/>
    </xf>
    <xf numFmtId="0" fontId="1" fillId="4" borderId="22" xfId="0" applyFont="1" applyFill="1" applyBorder="1" applyAlignment="1">
      <alignment horizontal="centerContinuous" vertical="center"/>
    </xf>
    <xf numFmtId="0" fontId="1" fillId="4" borderId="14" xfId="0" applyFont="1" applyFill="1" applyBorder="1" applyAlignment="1">
      <alignment horizontal="centerContinuous" wrapText="1"/>
    </xf>
    <xf numFmtId="0" fontId="1" fillId="4" borderId="229" xfId="0" applyFont="1" applyFill="1" applyBorder="1" applyAlignment="1">
      <alignment horizontal="centerContinuous" wrapText="1"/>
    </xf>
    <xf numFmtId="0" fontId="11" fillId="5" borderId="28" xfId="2" applyFill="1" applyBorder="1" applyAlignment="1">
      <alignment horizontal="center" vertical="center"/>
    </xf>
    <xf numFmtId="175" fontId="11" fillId="5" borderId="28" xfId="1" applyNumberFormat="1" applyFont="1" applyFill="1" applyBorder="1" applyAlignment="1">
      <alignment horizontal="left" vertical="center" indent="1"/>
    </xf>
    <xf numFmtId="9" fontId="11" fillId="5" borderId="28" xfId="9" applyFont="1" applyFill="1" applyBorder="1" applyAlignment="1">
      <alignment horizontal="center" vertical="center"/>
    </xf>
    <xf numFmtId="0" fontId="32" fillId="43" borderId="200" xfId="0" applyFont="1" applyFill="1" applyBorder="1" applyAlignment="1">
      <alignment horizontal="left"/>
    </xf>
    <xf numFmtId="0" fontId="111" fillId="43" borderId="128" xfId="0" applyFont="1" applyFill="1" applyBorder="1" applyAlignment="1">
      <alignment horizontal="left"/>
    </xf>
    <xf numFmtId="0" fontId="32" fillId="43" borderId="128" xfId="0" applyFont="1" applyFill="1" applyBorder="1" applyAlignment="1">
      <alignment horizontal="left"/>
    </xf>
    <xf numFmtId="0" fontId="111" fillId="43" borderId="201" xfId="0" applyFont="1" applyFill="1" applyBorder="1" applyAlignment="1">
      <alignment horizontal="left"/>
    </xf>
    <xf numFmtId="0" fontId="1" fillId="5" borderId="136" xfId="0" applyFont="1" applyFill="1" applyBorder="1" applyAlignment="1">
      <alignment horizontal="left" vertical="center" indent="1"/>
    </xf>
    <xf numFmtId="0" fontId="1" fillId="5" borderId="137" xfId="0" applyFont="1" applyFill="1" applyBorder="1" applyAlignment="1">
      <alignment horizontal="left" vertical="center" indent="1"/>
    </xf>
    <xf numFmtId="0" fontId="11" fillId="4" borderId="3" xfId="0" applyFont="1" applyFill="1" applyBorder="1" applyAlignment="1">
      <alignment horizontal="left" vertical="center" wrapText="1" indent="1"/>
    </xf>
    <xf numFmtId="0" fontId="68" fillId="4" borderId="230" xfId="0" applyFont="1" applyFill="1" applyBorder="1" applyAlignment="1">
      <alignment horizontal="left" vertical="center" wrapText="1"/>
    </xf>
    <xf numFmtId="0" fontId="11" fillId="47" borderId="14" xfId="2" applyFill="1" applyBorder="1" applyAlignment="1">
      <alignment horizontal="center" vertical="center" wrapText="1"/>
    </xf>
    <xf numFmtId="0" fontId="11" fillId="47" borderId="19" xfId="2" applyFill="1" applyBorder="1" applyAlignment="1">
      <alignment vertical="center"/>
    </xf>
    <xf numFmtId="0" fontId="11" fillId="47" borderId="4" xfId="2" applyFill="1" applyBorder="1" applyAlignment="1">
      <alignment horizontal="centerContinuous" vertical="center" wrapText="1"/>
    </xf>
    <xf numFmtId="0" fontId="11" fillId="47" borderId="4" xfId="2" applyFill="1" applyBorder="1" applyAlignment="1">
      <alignment horizontal="centerContinuous" vertical="center"/>
    </xf>
    <xf numFmtId="0" fontId="11" fillId="47" borderId="4" xfId="2" applyFill="1" applyBorder="1" applyAlignment="1">
      <alignment horizontal="center" vertical="center" wrapText="1"/>
    </xf>
    <xf numFmtId="0" fontId="11" fillId="5" borderId="4" xfId="2" applyFill="1" applyBorder="1" applyAlignment="1">
      <alignment horizontal="center" vertical="center" wrapText="1"/>
    </xf>
    <xf numFmtId="0" fontId="11" fillId="0" borderId="4" xfId="2" applyBorder="1" applyAlignment="1">
      <alignment horizontal="centerContinuous" vertical="center" wrapText="1"/>
    </xf>
    <xf numFmtId="0" fontId="11" fillId="0" borderId="4" xfId="2" applyBorder="1" applyAlignment="1">
      <alignment horizontal="centerContinuous" vertical="center"/>
    </xf>
    <xf numFmtId="0" fontId="11" fillId="0" borderId="4" xfId="2" applyBorder="1" applyAlignment="1">
      <alignment horizontal="center" vertical="center" wrapText="1"/>
    </xf>
    <xf numFmtId="0" fontId="11" fillId="5" borderId="4" xfId="2" applyFill="1" applyBorder="1" applyAlignment="1">
      <alignment horizontal="centerContinuous" vertical="center" wrapText="1"/>
    </xf>
    <xf numFmtId="0" fontId="24" fillId="47" borderId="12" xfId="2" applyFont="1" applyFill="1" applyBorder="1" applyAlignment="1">
      <alignment horizontal="center" vertical="center"/>
    </xf>
    <xf numFmtId="0" fontId="24" fillId="47" borderId="2" xfId="2" applyFont="1" applyFill="1" applyBorder="1" applyAlignment="1">
      <alignment horizontal="center" vertical="center"/>
    </xf>
    <xf numFmtId="0" fontId="11" fillId="47" borderId="17" xfId="2" applyFill="1" applyBorder="1" applyAlignment="1">
      <alignment vertical="center"/>
    </xf>
    <xf numFmtId="0" fontId="11" fillId="47" borderId="13" xfId="2" applyFill="1" applyBorder="1" applyAlignment="1">
      <alignment horizontal="center" vertical="center" wrapText="1"/>
    </xf>
    <xf numFmtId="0" fontId="11" fillId="6" borderId="12" xfId="298" applyFill="1" applyBorder="1" applyAlignment="1">
      <alignment vertical="center"/>
    </xf>
    <xf numFmtId="0" fontId="11" fillId="6" borderId="2" xfId="298" applyFill="1" applyBorder="1" applyAlignment="1">
      <alignment vertical="center"/>
    </xf>
    <xf numFmtId="0" fontId="24" fillId="6" borderId="2" xfId="298" applyFont="1" applyFill="1" applyBorder="1" applyAlignment="1">
      <alignment vertical="center"/>
    </xf>
    <xf numFmtId="39" fontId="25" fillId="6" borderId="2" xfId="298" applyNumberFormat="1" applyFont="1" applyFill="1" applyBorder="1" applyAlignment="1">
      <alignment horizontal="right" vertical="center"/>
    </xf>
    <xf numFmtId="49" fontId="90" fillId="6" borderId="2" xfId="298" applyNumberFormat="1" applyFont="1" applyFill="1" applyBorder="1" applyAlignment="1">
      <alignment vertical="center" wrapText="1"/>
    </xf>
    <xf numFmtId="0" fontId="11" fillId="6" borderId="17" xfId="298" applyFill="1" applyBorder="1" applyAlignment="1">
      <alignment horizontal="left" vertical="center" wrapText="1"/>
    </xf>
    <xf numFmtId="0" fontId="11" fillId="6" borderId="1" xfId="298" applyFill="1" applyBorder="1" applyAlignment="1">
      <alignment vertical="center"/>
    </xf>
    <xf numFmtId="0" fontId="26" fillId="6" borderId="0" xfId="298" applyFont="1" applyFill="1" applyAlignment="1">
      <alignment vertical="center"/>
    </xf>
    <xf numFmtId="0" fontId="24" fillId="6" borderId="0" xfId="298" applyFont="1" applyFill="1" applyAlignment="1">
      <alignment vertical="center"/>
    </xf>
    <xf numFmtId="39" fontId="25" fillId="6" borderId="0" xfId="298" applyNumberFormat="1" applyFont="1" applyFill="1" applyAlignment="1">
      <alignment horizontal="right" vertical="center"/>
    </xf>
    <xf numFmtId="49" fontId="90" fillId="6" borderId="0" xfId="298" applyNumberFormat="1" applyFont="1" applyFill="1" applyAlignment="1">
      <alignment vertical="center" wrapText="1"/>
    </xf>
    <xf numFmtId="0" fontId="11" fillId="6" borderId="18" xfId="298" applyFill="1" applyBorder="1" applyAlignment="1">
      <alignment horizontal="left" vertical="center" wrapText="1"/>
    </xf>
    <xf numFmtId="0" fontId="11" fillId="6" borderId="13" xfId="298" applyFill="1" applyBorder="1" applyAlignment="1">
      <alignment vertical="center"/>
    </xf>
    <xf numFmtId="0" fontId="11" fillId="6" borderId="14" xfId="298" applyFill="1" applyBorder="1" applyAlignment="1">
      <alignment vertical="center"/>
    </xf>
    <xf numFmtId="49" fontId="27" fillId="6" borderId="14" xfId="298" applyNumberFormat="1" applyFont="1" applyFill="1" applyBorder="1" applyAlignment="1">
      <alignment vertical="center" wrapText="1"/>
    </xf>
    <xf numFmtId="49" fontId="27" fillId="6" borderId="14" xfId="298" applyNumberFormat="1" applyFont="1" applyFill="1" applyBorder="1" applyAlignment="1">
      <alignment vertical="center"/>
    </xf>
    <xf numFmtId="0" fontId="93" fillId="6" borderId="14" xfId="298" applyFont="1" applyFill="1" applyBorder="1" applyAlignment="1">
      <alignment vertical="center" wrapText="1"/>
    </xf>
    <xf numFmtId="0" fontId="11" fillId="6" borderId="19" xfId="298" applyFill="1" applyBorder="1" applyAlignment="1">
      <alignment vertical="center"/>
    </xf>
    <xf numFmtId="4" fontId="99" fillId="6" borderId="41" xfId="0" applyNumberFormat="1" applyFont="1" applyFill="1" applyBorder="1" applyAlignment="1" applyProtection="1">
      <alignment horizontal="right" vertical="center" wrapText="1"/>
      <protection locked="0"/>
    </xf>
    <xf numFmtId="0" fontId="21" fillId="45" borderId="31" xfId="0" applyFont="1" applyFill="1" applyBorder="1" applyAlignment="1">
      <alignment vertical="top" wrapText="1"/>
    </xf>
    <xf numFmtId="0" fontId="39" fillId="6" borderId="34" xfId="0" applyFont="1" applyFill="1" applyBorder="1" applyAlignment="1" applyProtection="1">
      <alignment horizontal="left" vertical="center" wrapText="1"/>
      <protection locked="0"/>
    </xf>
    <xf numFmtId="0" fontId="39" fillId="6" borderId="26" xfId="0" applyFont="1" applyFill="1" applyBorder="1" applyAlignment="1" applyProtection="1">
      <alignment horizontal="center" vertical="center"/>
      <protection locked="0"/>
    </xf>
    <xf numFmtId="167" fontId="25" fillId="6" borderId="119" xfId="12" applyFont="1" applyFill="1" applyBorder="1" applyAlignment="1" applyProtection="1">
      <alignment horizontal="right" vertical="center"/>
      <protection locked="0"/>
    </xf>
    <xf numFmtId="171" fontId="25" fillId="6" borderId="119" xfId="12" applyNumberFormat="1" applyFont="1" applyFill="1" applyBorder="1" applyAlignment="1" applyProtection="1">
      <alignment horizontal="right" vertical="center"/>
      <protection locked="0"/>
    </xf>
    <xf numFmtId="178" fontId="25" fillId="6" borderId="119" xfId="12" applyNumberFormat="1" applyFont="1" applyFill="1" applyBorder="1" applyAlignment="1" applyProtection="1">
      <alignment horizontal="right" vertical="center"/>
      <protection locked="0"/>
    </xf>
    <xf numFmtId="1" fontId="39" fillId="6" borderId="24" xfId="0" applyNumberFormat="1" applyFont="1" applyFill="1" applyBorder="1" applyAlignment="1" applyProtection="1">
      <alignment horizontal="right" vertical="center" wrapText="1"/>
      <protection locked="0"/>
    </xf>
    <xf numFmtId="9" fontId="39" fillId="6" borderId="25" xfId="0" applyNumberFormat="1" applyFont="1" applyFill="1" applyBorder="1" applyAlignment="1" applyProtection="1">
      <alignment horizontal="right" vertical="center" wrapText="1"/>
      <protection locked="0"/>
    </xf>
    <xf numFmtId="9" fontId="1" fillId="8" borderId="14" xfId="0" applyNumberFormat="1" applyFont="1" applyFill="1" applyBorder="1" applyAlignment="1">
      <alignment horizontal="center" vertical="center" wrapText="1"/>
    </xf>
    <xf numFmtId="0" fontId="39" fillId="6" borderId="23" xfId="0" applyFont="1" applyFill="1" applyBorder="1" applyAlignment="1" applyProtection="1">
      <alignment horizontal="right" vertical="center" wrapText="1"/>
      <protection locked="0"/>
    </xf>
    <xf numFmtId="172" fontId="39" fillId="6" borderId="24" xfId="0" applyNumberFormat="1" applyFont="1" applyFill="1" applyBorder="1" applyAlignment="1" applyProtection="1">
      <alignment horizontal="right" vertical="center" wrapText="1"/>
      <protection locked="0"/>
    </xf>
    <xf numFmtId="9" fontId="25" fillId="6" borderId="43" xfId="0" applyNumberFormat="1" applyFont="1" applyFill="1" applyBorder="1" applyAlignment="1" applyProtection="1">
      <alignment horizontal="center" vertical="center" wrapText="1"/>
      <protection locked="0"/>
    </xf>
    <xf numFmtId="9" fontId="25" fillId="6" borderId="56" xfId="0" applyNumberFormat="1" applyFont="1" applyFill="1" applyBorder="1" applyAlignment="1" applyProtection="1">
      <alignment horizontal="center" vertical="center" wrapText="1"/>
      <protection locked="0"/>
    </xf>
    <xf numFmtId="0" fontId="1" fillId="5" borderId="6" xfId="0" applyFont="1" applyFill="1" applyBorder="1" applyAlignment="1">
      <alignment horizontal="center" vertical="center"/>
    </xf>
    <xf numFmtId="0" fontId="34" fillId="6" borderId="6" xfId="0" applyFont="1" applyFill="1" applyBorder="1" applyAlignment="1" applyProtection="1">
      <alignment horizontal="center" vertical="center"/>
      <protection locked="0"/>
    </xf>
    <xf numFmtId="0" fontId="39" fillId="6" borderId="22" xfId="0" applyFont="1" applyFill="1" applyBorder="1" applyAlignment="1" applyProtection="1">
      <alignment horizontal="center" vertical="center" wrapText="1"/>
      <protection locked="0"/>
    </xf>
    <xf numFmtId="0" fontId="14" fillId="5" borderId="0" xfId="0" applyFont="1" applyFill="1" applyAlignment="1">
      <alignment vertical="center"/>
    </xf>
    <xf numFmtId="0" fontId="0" fillId="5" borderId="0" xfId="0" applyFill="1" applyAlignment="1">
      <alignment vertical="center" wrapText="1"/>
    </xf>
    <xf numFmtId="3" fontId="1" fillId="6" borderId="4" xfId="1" applyNumberFormat="1" applyFont="1" applyFill="1" applyBorder="1" applyAlignment="1" applyProtection="1">
      <alignment horizontal="right" vertical="center"/>
      <protection locked="0"/>
    </xf>
    <xf numFmtId="3" fontId="6" fillId="0" borderId="0" xfId="0" applyNumberFormat="1" applyFont="1"/>
    <xf numFmtId="3" fontId="1" fillId="0" borderId="4" xfId="1" applyNumberFormat="1" applyFont="1" applyFill="1" applyBorder="1" applyAlignment="1" applyProtection="1">
      <alignment horizontal="right" vertical="center"/>
    </xf>
    <xf numFmtId="0" fontId="22" fillId="5" borderId="0" xfId="2" applyFont="1" applyFill="1" applyAlignment="1">
      <alignment horizontal="left" vertical="top"/>
    </xf>
    <xf numFmtId="0" fontId="6" fillId="6" borderId="4" xfId="0" applyFont="1" applyFill="1" applyBorder="1" applyProtection="1">
      <protection locked="0"/>
    </xf>
    <xf numFmtId="0" fontId="8" fillId="6" borderId="4" xfId="0" applyFont="1" applyFill="1" applyBorder="1" applyAlignment="1" applyProtection="1">
      <alignment vertical="center" wrapText="1"/>
      <protection locked="0"/>
    </xf>
    <xf numFmtId="0" fontId="28" fillId="6" borderId="4" xfId="0" applyFont="1" applyFill="1" applyBorder="1" applyAlignment="1" applyProtection="1">
      <alignment horizontal="center" vertical="center"/>
      <protection locked="0"/>
    </xf>
    <xf numFmtId="0" fontId="30" fillId="6" borderId="4" xfId="2" applyFont="1" applyFill="1" applyBorder="1" applyAlignment="1" applyProtection="1">
      <alignment horizontal="center" vertical="center"/>
      <protection locked="0"/>
    </xf>
    <xf numFmtId="0" fontId="4" fillId="6" borderId="4" xfId="0" applyFont="1" applyFill="1" applyBorder="1" applyAlignment="1" applyProtection="1">
      <alignment horizontal="center" vertical="center"/>
      <protection locked="0"/>
    </xf>
    <xf numFmtId="0" fontId="0" fillId="6" borderId="4" xfId="0" applyFill="1" applyBorder="1"/>
    <xf numFmtId="0" fontId="0" fillId="6" borderId="4" xfId="0" applyFill="1" applyBorder="1" applyProtection="1">
      <protection locked="0"/>
    </xf>
    <xf numFmtId="0" fontId="1" fillId="6" borderId="4" xfId="0" applyFont="1" applyFill="1" applyBorder="1" applyAlignment="1" applyProtection="1">
      <alignment vertical="center" wrapText="1"/>
      <protection locked="0"/>
    </xf>
    <xf numFmtId="0" fontId="28" fillId="6" borderId="4" xfId="0" applyFont="1" applyFill="1" applyBorder="1" applyProtection="1">
      <protection locked="0"/>
    </xf>
    <xf numFmtId="0" fontId="28" fillId="6" borderId="4" xfId="0" applyFont="1" applyFill="1" applyBorder="1" applyAlignment="1" applyProtection="1">
      <alignment vertical="center" wrapText="1"/>
      <protection locked="0"/>
    </xf>
    <xf numFmtId="0" fontId="4" fillId="6" borderId="4" xfId="0" applyFont="1" applyFill="1" applyBorder="1" applyAlignment="1" applyProtection="1">
      <alignment vertical="center" wrapText="1"/>
      <protection locked="0"/>
    </xf>
    <xf numFmtId="0" fontId="1" fillId="6" borderId="4" xfId="0" applyFont="1" applyFill="1" applyBorder="1" applyProtection="1">
      <protection locked="0"/>
    </xf>
    <xf numFmtId="0" fontId="28" fillId="6" borderId="4" xfId="0" applyFont="1" applyFill="1" applyBorder="1" applyAlignment="1" applyProtection="1">
      <alignment wrapText="1"/>
      <protection locked="0"/>
    </xf>
    <xf numFmtId="0" fontId="1" fillId="6" borderId="4" xfId="0" applyFont="1" applyFill="1" applyBorder="1" applyAlignment="1" applyProtection="1">
      <alignment wrapText="1"/>
      <protection locked="0"/>
    </xf>
    <xf numFmtId="0" fontId="11" fillId="0" borderId="231" xfId="0" applyFont="1" applyBorder="1" applyAlignment="1">
      <alignment horizontal="center" vertical="center"/>
    </xf>
    <xf numFmtId="0" fontId="11" fillId="0" borderId="232" xfId="0" applyFont="1" applyBorder="1" applyAlignment="1">
      <alignment horizontal="center" vertical="center"/>
    </xf>
    <xf numFmtId="0" fontId="11" fillId="6" borderId="4" xfId="0" applyFont="1" applyFill="1" applyBorder="1" applyAlignment="1" applyProtection="1">
      <alignment horizontal="center" vertical="center"/>
      <protection locked="0"/>
    </xf>
    <xf numFmtId="3" fontId="115" fillId="8" borderId="4" xfId="0" applyNumberFormat="1" applyFont="1" applyFill="1" applyBorder="1" applyAlignment="1">
      <alignment horizontal="left" vertical="top" wrapText="1" indent="1"/>
    </xf>
    <xf numFmtId="0" fontId="10" fillId="6" borderId="4" xfId="0" applyFont="1" applyFill="1" applyBorder="1" applyAlignment="1" applyProtection="1">
      <alignment horizontal="center" vertical="center"/>
      <protection locked="0"/>
    </xf>
    <xf numFmtId="0" fontId="10" fillId="6" borderId="4" xfId="0" applyFont="1" applyFill="1" applyBorder="1" applyAlignment="1" applyProtection="1">
      <alignment horizontal="left" vertical="center"/>
      <protection locked="0"/>
    </xf>
    <xf numFmtId="0" fontId="11" fillId="6" borderId="4" xfId="2" applyFill="1" applyBorder="1" applyAlignment="1" applyProtection="1">
      <alignment vertical="center"/>
      <protection locked="0"/>
    </xf>
    <xf numFmtId="0" fontId="25" fillId="6" borderId="4" xfId="2" applyFont="1" applyFill="1" applyBorder="1" applyAlignment="1" applyProtection="1">
      <alignment vertical="center"/>
      <protection locked="0"/>
    </xf>
    <xf numFmtId="0" fontId="106" fillId="6" borderId="4" xfId="0" applyFont="1" applyFill="1" applyBorder="1" applyProtection="1">
      <protection locked="0"/>
    </xf>
    <xf numFmtId="0" fontId="28" fillId="6" borderId="4" xfId="0" applyFont="1" applyFill="1" applyBorder="1" applyAlignment="1" applyProtection="1">
      <alignment vertical="center"/>
      <protection locked="0"/>
    </xf>
    <xf numFmtId="0" fontId="35" fillId="7" borderId="0" xfId="0" applyFont="1" applyFill="1" applyAlignment="1">
      <alignment horizontal="left" vertical="center" indent="1"/>
    </xf>
    <xf numFmtId="0" fontId="11" fillId="0" borderId="0" xfId="421"/>
    <xf numFmtId="0" fontId="120" fillId="0" borderId="0" xfId="445" applyFont="1" applyAlignment="1">
      <alignment horizontal="left"/>
    </xf>
    <xf numFmtId="0" fontId="121" fillId="0" borderId="0" xfId="445" applyFont="1"/>
    <xf numFmtId="0" fontId="122" fillId="0" borderId="0" xfId="445" applyFont="1"/>
    <xf numFmtId="0" fontId="120" fillId="0" borderId="0" xfId="445" applyFont="1"/>
    <xf numFmtId="0" fontId="122" fillId="4" borderId="236" xfId="445" applyFont="1" applyFill="1" applyBorder="1" applyAlignment="1">
      <alignment horizontal="center" vertical="center" wrapText="1"/>
    </xf>
    <xf numFmtId="0" fontId="122" fillId="4" borderId="237" xfId="445" applyFont="1" applyFill="1" applyBorder="1" applyAlignment="1">
      <alignment horizontal="center" vertical="center" wrapText="1"/>
    </xf>
    <xf numFmtId="0" fontId="122" fillId="4" borderId="238" xfId="445" applyFont="1" applyFill="1" applyBorder="1" applyAlignment="1">
      <alignment horizontal="center" vertical="center" wrapText="1"/>
    </xf>
    <xf numFmtId="0" fontId="122" fillId="4" borderId="239" xfId="445" applyFont="1" applyFill="1" applyBorder="1" applyAlignment="1">
      <alignment horizontal="center" vertical="center" wrapText="1"/>
    </xf>
    <xf numFmtId="0" fontId="120" fillId="0" borderId="0" xfId="445" applyFont="1" applyAlignment="1">
      <alignment horizontal="center" vertical="center" wrapText="1"/>
    </xf>
    <xf numFmtId="0" fontId="123" fillId="6" borderId="240" xfId="0" applyFont="1" applyFill="1" applyBorder="1" applyProtection="1">
      <protection locked="0"/>
    </xf>
    <xf numFmtId="0" fontId="19" fillId="6" borderId="241" xfId="0" applyFont="1" applyFill="1" applyBorder="1" applyProtection="1">
      <protection locked="0"/>
    </xf>
    <xf numFmtId="164" fontId="19" fillId="6" borderId="241" xfId="0" applyNumberFormat="1" applyFont="1" applyFill="1" applyBorder="1" applyProtection="1">
      <protection locked="0"/>
    </xf>
    <xf numFmtId="0" fontId="19" fillId="6" borderId="242" xfId="0" applyFont="1" applyFill="1" applyBorder="1" applyProtection="1">
      <protection locked="0"/>
    </xf>
    <xf numFmtId="0" fontId="19" fillId="6" borderId="240" xfId="0" applyFont="1" applyFill="1" applyBorder="1" applyProtection="1">
      <protection locked="0"/>
    </xf>
    <xf numFmtId="0" fontId="19" fillId="6" borderId="243" xfId="0" applyFont="1" applyFill="1" applyBorder="1" applyProtection="1">
      <protection locked="0"/>
    </xf>
    <xf numFmtId="0" fontId="19" fillId="6" borderId="82" xfId="0" applyFont="1" applyFill="1" applyBorder="1" applyProtection="1">
      <protection locked="0"/>
    </xf>
    <xf numFmtId="0" fontId="19" fillId="6" borderId="244" xfId="0" applyFont="1" applyFill="1" applyBorder="1" applyProtection="1">
      <protection locked="0"/>
    </xf>
    <xf numFmtId="0" fontId="123" fillId="6" borderId="243" xfId="0" applyFont="1" applyFill="1" applyBorder="1" applyProtection="1">
      <protection locked="0"/>
    </xf>
    <xf numFmtId="164" fontId="19" fillId="6" borderId="82" xfId="0" applyNumberFormat="1" applyFont="1" applyFill="1" applyBorder="1" applyProtection="1">
      <protection locked="0"/>
    </xf>
    <xf numFmtId="0" fontId="19" fillId="5" borderId="0" xfId="421" applyFont="1" applyFill="1"/>
    <xf numFmtId="0" fontId="112" fillId="6" borderId="245" xfId="421" applyFont="1" applyFill="1" applyBorder="1" applyProtection="1">
      <protection locked="0"/>
    </xf>
    <xf numFmtId="0" fontId="19" fillId="6" borderId="246" xfId="0" applyFont="1" applyFill="1" applyBorder="1" applyProtection="1">
      <protection locked="0"/>
    </xf>
    <xf numFmtId="164" fontId="19" fillId="6" borderId="246" xfId="0" applyNumberFormat="1" applyFont="1" applyFill="1" applyBorder="1" applyProtection="1">
      <protection locked="0"/>
    </xf>
    <xf numFmtId="0" fontId="19" fillId="6" borderId="247" xfId="0" applyFont="1" applyFill="1" applyBorder="1" applyProtection="1">
      <protection locked="0"/>
    </xf>
    <xf numFmtId="0" fontId="19" fillId="6" borderId="245" xfId="0" applyFont="1" applyFill="1" applyBorder="1" applyProtection="1">
      <protection locked="0"/>
    </xf>
    <xf numFmtId="0" fontId="122" fillId="4" borderId="248" xfId="445" applyFont="1" applyFill="1" applyBorder="1" applyAlignment="1">
      <alignment horizontal="center" vertical="center" wrapText="1"/>
    </xf>
    <xf numFmtId="0" fontId="122" fillId="4" borderId="249" xfId="445" applyFont="1" applyFill="1" applyBorder="1" applyAlignment="1">
      <alignment horizontal="center" vertical="center" wrapText="1"/>
    </xf>
    <xf numFmtId="0" fontId="122" fillId="4" borderId="250" xfId="445" applyFont="1" applyFill="1" applyBorder="1" applyAlignment="1">
      <alignment horizontal="center" vertical="center" wrapText="1"/>
    </xf>
    <xf numFmtId="0" fontId="120" fillId="6" borderId="240" xfId="445" applyFont="1" applyFill="1" applyBorder="1" applyProtection="1">
      <protection locked="0"/>
    </xf>
    <xf numFmtId="0" fontId="120" fillId="6" borderId="241" xfId="445" applyFont="1" applyFill="1" applyBorder="1" applyProtection="1">
      <protection locked="0"/>
    </xf>
    <xf numFmtId="0" fontId="38" fillId="0" borderId="241" xfId="421" applyFont="1" applyBorder="1"/>
    <xf numFmtId="0" fontId="120" fillId="6" borderId="242" xfId="445" applyFont="1" applyFill="1" applyBorder="1" applyProtection="1">
      <protection locked="0"/>
    </xf>
    <xf numFmtId="0" fontId="120" fillId="6" borderId="243" xfId="445" applyFont="1" applyFill="1" applyBorder="1" applyProtection="1">
      <protection locked="0"/>
    </xf>
    <xf numFmtId="0" fontId="120" fillId="6" borderId="82" xfId="445" applyFont="1" applyFill="1" applyBorder="1" applyProtection="1">
      <protection locked="0"/>
    </xf>
    <xf numFmtId="0" fontId="38" fillId="0" borderId="82" xfId="421" applyFont="1" applyBorder="1"/>
    <xf numFmtId="0" fontId="120" fillId="6" borderId="244" xfId="445" applyFont="1" applyFill="1" applyBorder="1" applyProtection="1">
      <protection locked="0"/>
    </xf>
    <xf numFmtId="0" fontId="38" fillId="6" borderId="82" xfId="421" applyFont="1" applyFill="1" applyBorder="1"/>
    <xf numFmtId="0" fontId="38" fillId="6" borderId="243" xfId="421" applyFont="1" applyFill="1" applyBorder="1"/>
    <xf numFmtId="0" fontId="38" fillId="6" borderId="244" xfId="421" applyFont="1" applyFill="1" applyBorder="1"/>
    <xf numFmtId="0" fontId="38" fillId="6" borderId="245" xfId="421" applyFont="1" applyFill="1" applyBorder="1"/>
    <xf numFmtId="0" fontId="38" fillId="6" borderId="246" xfId="421" applyFont="1" applyFill="1" applyBorder="1"/>
    <xf numFmtId="0" fontId="38" fillId="0" borderId="246" xfId="421" applyFont="1" applyBorder="1"/>
    <xf numFmtId="0" fontId="38" fillId="6" borderId="247" xfId="421" applyFont="1" applyFill="1" applyBorder="1"/>
    <xf numFmtId="0" fontId="38" fillId="0" borderId="0" xfId="421" applyFont="1"/>
    <xf numFmtId="49" fontId="11" fillId="4" borderId="4" xfId="2" applyNumberFormat="1" applyFill="1" applyBorder="1" applyAlignment="1">
      <alignment vertical="center" wrapText="1"/>
    </xf>
    <xf numFmtId="0" fontId="11" fillId="6" borderId="4" xfId="2" applyFill="1" applyBorder="1" applyAlignment="1" applyProtection="1">
      <alignment horizontal="center" vertical="center"/>
      <protection locked="0"/>
    </xf>
    <xf numFmtId="0" fontId="123" fillId="5" borderId="243" xfId="421" applyFont="1" applyFill="1" applyBorder="1"/>
    <xf numFmtId="0" fontId="19" fillId="5" borderId="82" xfId="421" applyFont="1" applyFill="1" applyBorder="1"/>
    <xf numFmtId="0" fontId="19" fillId="5" borderId="244" xfId="421" applyFont="1" applyFill="1" applyBorder="1"/>
    <xf numFmtId="0" fontId="19" fillId="5" borderId="243" xfId="421" applyFont="1" applyFill="1" applyBorder="1"/>
    <xf numFmtId="3" fontId="25" fillId="6" borderId="175" xfId="2" applyNumberFormat="1" applyFont="1" applyFill="1" applyBorder="1" applyAlignment="1" applyProtection="1">
      <alignment horizontal="right" vertical="center"/>
      <protection locked="0"/>
    </xf>
    <xf numFmtId="3" fontId="39" fillId="6" borderId="4" xfId="0" applyNumberFormat="1" applyFont="1" applyFill="1" applyBorder="1" applyAlignment="1" applyProtection="1">
      <alignment horizontal="center" vertical="center" wrapText="1"/>
      <protection locked="0"/>
    </xf>
    <xf numFmtId="3" fontId="19" fillId="6" borderId="4" xfId="0" applyNumberFormat="1" applyFont="1" applyFill="1" applyBorder="1" applyProtection="1">
      <protection locked="0"/>
    </xf>
    <xf numFmtId="2" fontId="11" fillId="47" borderId="0" xfId="9" applyNumberFormat="1" applyFont="1" applyFill="1" applyBorder="1" applyAlignment="1">
      <alignment horizontal="center" vertical="center"/>
    </xf>
    <xf numFmtId="0" fontId="11" fillId="47" borderId="0" xfId="2" applyFill="1" applyAlignment="1">
      <alignment horizontal="center" vertical="center"/>
    </xf>
    <xf numFmtId="169" fontId="25" fillId="6" borderId="26" xfId="0" applyNumberFormat="1" applyFont="1" applyFill="1" applyBorder="1" applyAlignment="1" applyProtection="1">
      <alignment horizontal="right" vertical="center" wrapText="1"/>
      <protection locked="0"/>
    </xf>
    <xf numFmtId="169" fontId="25" fillId="6" borderId="41" xfId="0" applyNumberFormat="1" applyFont="1" applyFill="1" applyBorder="1" applyAlignment="1" applyProtection="1">
      <alignment horizontal="right" vertical="center" wrapText="1"/>
      <protection locked="0"/>
    </xf>
    <xf numFmtId="9" fontId="63" fillId="5" borderId="24" xfId="0" applyNumberFormat="1" applyFont="1" applyFill="1" applyBorder="1" applyAlignment="1">
      <alignment horizontal="center" vertical="center"/>
    </xf>
    <xf numFmtId="9" fontId="63" fillId="5" borderId="25" xfId="0" applyNumberFormat="1" applyFont="1" applyFill="1" applyBorder="1" applyAlignment="1">
      <alignment horizontal="center" vertical="center"/>
    </xf>
    <xf numFmtId="9" fontId="63" fillId="5" borderId="25" xfId="0" applyNumberFormat="1" applyFont="1" applyFill="1" applyBorder="1" applyAlignment="1" applyProtection="1">
      <alignment horizontal="center" vertical="center"/>
      <protection locked="0"/>
    </xf>
    <xf numFmtId="3" fontId="25" fillId="0" borderId="154" xfId="2" applyNumberFormat="1" applyFont="1" applyBorder="1" applyAlignment="1">
      <alignment horizontal="left" vertical="center" wrapText="1"/>
    </xf>
    <xf numFmtId="0" fontId="28" fillId="6" borderId="3" xfId="0" applyFont="1" applyFill="1" applyBorder="1" applyAlignment="1">
      <alignment horizontal="left" vertical="center"/>
    </xf>
    <xf numFmtId="0" fontId="28" fillId="6" borderId="16" xfId="0" applyFont="1" applyFill="1" applyBorder="1" applyAlignment="1">
      <alignment horizontal="left" vertical="center"/>
    </xf>
    <xf numFmtId="0" fontId="28" fillId="6" borderId="15" xfId="0" applyFont="1" applyFill="1" applyBorder="1" applyAlignment="1">
      <alignment horizontal="left" vertical="center"/>
    </xf>
    <xf numFmtId="0" fontId="39" fillId="6" borderId="40" xfId="0" applyFont="1" applyFill="1" applyBorder="1" applyAlignment="1">
      <alignment horizontal="left" vertical="center" wrapText="1"/>
    </xf>
    <xf numFmtId="0" fontId="39" fillId="6" borderId="42" xfId="0" applyFont="1" applyFill="1" applyBorder="1" applyAlignment="1">
      <alignment horizontal="right" vertical="center" wrapText="1"/>
    </xf>
    <xf numFmtId="0" fontId="39" fillId="6" borderId="43" xfId="0" applyFont="1" applyFill="1" applyBorder="1" applyAlignment="1">
      <alignment horizontal="right" vertical="center" wrapText="1"/>
    </xf>
    <xf numFmtId="0" fontId="39" fillId="6" borderId="41" xfId="0" applyFont="1" applyFill="1" applyBorder="1" applyAlignment="1">
      <alignment horizontal="right" vertical="center" wrapText="1"/>
    </xf>
    <xf numFmtId="0" fontId="39" fillId="6" borderId="63" xfId="0" applyFont="1" applyFill="1" applyBorder="1" applyAlignment="1">
      <alignment horizontal="right" vertical="center" wrapText="1"/>
    </xf>
    <xf numFmtId="0" fontId="39" fillId="6" borderId="64" xfId="0" applyFont="1" applyFill="1" applyBorder="1" applyAlignment="1">
      <alignment horizontal="right" vertical="center" wrapText="1"/>
    </xf>
    <xf numFmtId="0" fontId="39" fillId="6" borderId="190" xfId="0" applyFont="1" applyFill="1" applyBorder="1" applyAlignment="1">
      <alignment horizontal="left" vertical="center" wrapText="1"/>
    </xf>
    <xf numFmtId="0" fontId="39" fillId="6" borderId="190" xfId="0" applyFont="1" applyFill="1" applyBorder="1" applyAlignment="1">
      <alignment horizontal="right" vertical="center" wrapText="1"/>
    </xf>
    <xf numFmtId="169" fontId="25" fillId="0" borderId="41" xfId="0" applyNumberFormat="1" applyFont="1" applyBorder="1" applyAlignment="1">
      <alignment horizontal="right" vertical="center" wrapText="1"/>
    </xf>
    <xf numFmtId="169" fontId="25" fillId="0" borderId="26" xfId="0" applyNumberFormat="1" applyFont="1" applyBorder="1" applyAlignment="1">
      <alignment horizontal="right" vertical="center" wrapText="1"/>
    </xf>
    <xf numFmtId="0" fontId="24" fillId="4" borderId="63" xfId="0" applyFont="1" applyFill="1" applyBorder="1" applyAlignment="1">
      <alignment horizontal="center" vertical="center" wrapText="1"/>
    </xf>
    <xf numFmtId="0" fontId="24" fillId="8" borderId="32" xfId="0" applyFont="1" applyFill="1" applyBorder="1" applyAlignment="1">
      <alignment horizontal="center" vertical="center" wrapText="1"/>
    </xf>
    <xf numFmtId="4" fontId="39" fillId="5" borderId="41" xfId="0" applyNumberFormat="1" applyFont="1" applyFill="1" applyBorder="1" applyAlignment="1">
      <alignment horizontal="right" vertical="center" wrapText="1"/>
    </xf>
    <xf numFmtId="9" fontId="25" fillId="5" borderId="43" xfId="0" applyNumberFormat="1" applyFont="1" applyFill="1" applyBorder="1" applyAlignment="1">
      <alignment horizontal="center" vertical="center" wrapText="1"/>
    </xf>
    <xf numFmtId="0" fontId="39" fillId="6" borderId="4" xfId="0" applyFont="1" applyFill="1" applyBorder="1" applyAlignment="1">
      <alignment horizontal="center" vertical="center"/>
    </xf>
    <xf numFmtId="0" fontId="25" fillId="0" borderId="27" xfId="2" applyFont="1" applyBorder="1" applyAlignment="1">
      <alignment horizontal="center" vertical="center"/>
    </xf>
    <xf numFmtId="0" fontId="1" fillId="6" borderId="4" xfId="0" applyFont="1" applyFill="1" applyBorder="1" applyAlignment="1" applyProtection="1">
      <alignment horizontal="center" vertical="center"/>
      <protection locked="0"/>
    </xf>
    <xf numFmtId="9" fontId="63" fillId="5" borderId="31" xfId="0" applyNumberFormat="1" applyFont="1" applyFill="1" applyBorder="1" applyAlignment="1">
      <alignment horizontal="center" vertical="center"/>
    </xf>
    <xf numFmtId="0" fontId="23" fillId="5" borderId="0" xfId="2" applyFont="1" applyFill="1" applyAlignment="1">
      <alignment horizontal="left" vertical="top" wrapText="1"/>
    </xf>
    <xf numFmtId="0" fontId="22" fillId="5" borderId="0" xfId="2" applyFont="1" applyFill="1" applyAlignment="1">
      <alignment horizontal="left" vertical="top" wrapText="1"/>
    </xf>
    <xf numFmtId="0" fontId="11" fillId="5" borderId="0" xfId="2" applyFill="1" applyAlignment="1">
      <alignment horizontal="left" vertical="top" wrapText="1"/>
    </xf>
    <xf numFmtId="0" fontId="11" fillId="5" borderId="0" xfId="2" applyFill="1" applyAlignment="1">
      <alignment horizontal="left" vertical="center" wrapText="1"/>
    </xf>
    <xf numFmtId="0" fontId="16" fillId="0" borderId="0" xfId="0" applyFont="1" applyAlignment="1">
      <alignment horizontal="left" vertical="top" wrapText="1"/>
    </xf>
    <xf numFmtId="0" fontId="25" fillId="5" borderId="0" xfId="2" applyFont="1" applyFill="1" applyAlignment="1">
      <alignment horizontal="left" vertical="center" wrapText="1"/>
    </xf>
    <xf numFmtId="0" fontId="19" fillId="0" borderId="0" xfId="0" applyFont="1" applyAlignment="1">
      <alignment horizontal="left" vertical="center" wrapText="1"/>
    </xf>
    <xf numFmtId="195" fontId="11" fillId="5" borderId="0" xfId="2" applyNumberFormat="1" applyFill="1" applyAlignment="1">
      <alignment horizontal="left" vertical="top" wrapText="1"/>
    </xf>
    <xf numFmtId="195" fontId="0" fillId="0" borderId="0" xfId="0" applyNumberFormat="1" applyAlignment="1">
      <alignment horizontal="left" vertical="top" wrapText="1"/>
    </xf>
    <xf numFmtId="0" fontId="25" fillId="5" borderId="0" xfId="298" applyFont="1" applyFill="1" applyAlignment="1">
      <alignment vertical="center" wrapText="1"/>
    </xf>
    <xf numFmtId="0" fontId="25" fillId="5" borderId="0" xfId="298" applyFont="1" applyFill="1" applyAlignment="1">
      <alignment vertical="center"/>
    </xf>
    <xf numFmtId="0" fontId="1" fillId="5" borderId="0" xfId="0" applyFont="1" applyFill="1" applyAlignment="1">
      <alignment horizontal="left" vertical="center" wrapText="1"/>
    </xf>
    <xf numFmtId="0" fontId="0" fillId="0" borderId="0" xfId="0" applyAlignment="1">
      <alignment horizontal="left" vertical="center" wrapText="1"/>
    </xf>
    <xf numFmtId="0" fontId="11" fillId="6" borderId="3" xfId="2" applyFill="1" applyBorder="1" applyAlignment="1" applyProtection="1">
      <alignment horizontal="left" vertical="center" indent="1"/>
      <protection locked="0"/>
    </xf>
    <xf numFmtId="0" fontId="11" fillId="6" borderId="16" xfId="2" applyFill="1" applyBorder="1" applyAlignment="1" applyProtection="1">
      <alignment horizontal="left" vertical="center" indent="1"/>
      <protection locked="0"/>
    </xf>
    <xf numFmtId="0" fontId="11" fillId="6" borderId="15" xfId="2" applyFill="1" applyBorder="1" applyAlignment="1" applyProtection="1">
      <alignment horizontal="left" vertical="center" indent="1"/>
      <protection locked="0"/>
    </xf>
    <xf numFmtId="0" fontId="11" fillId="6" borderId="3" xfId="2" applyFill="1" applyBorder="1" applyAlignment="1" applyProtection="1">
      <alignment horizontal="left" vertical="center" wrapText="1" indent="1"/>
      <protection locked="0"/>
    </xf>
    <xf numFmtId="0" fontId="11" fillId="6" borderId="16" xfId="2" applyFill="1" applyBorder="1" applyAlignment="1" applyProtection="1">
      <alignment horizontal="left" vertical="center" wrapText="1" indent="1"/>
      <protection locked="0"/>
    </xf>
    <xf numFmtId="0" fontId="11" fillId="6" borderId="15" xfId="2" applyFill="1" applyBorder="1" applyAlignment="1" applyProtection="1">
      <alignment horizontal="left" vertical="center" wrapText="1" indent="1"/>
      <protection locked="0"/>
    </xf>
    <xf numFmtId="0" fontId="11" fillId="6" borderId="3" xfId="2" applyFill="1" applyBorder="1" applyAlignment="1" applyProtection="1">
      <alignment horizontal="left" vertical="center" wrapText="1"/>
      <protection locked="0"/>
    </xf>
    <xf numFmtId="0" fontId="11" fillId="6" borderId="16" xfId="2" applyFill="1" applyBorder="1" applyAlignment="1" applyProtection="1">
      <alignment horizontal="left" vertical="center" wrapText="1"/>
      <protection locked="0"/>
    </xf>
    <xf numFmtId="0" fontId="11" fillId="6" borderId="15" xfId="2" applyFill="1" applyBorder="1" applyAlignment="1" applyProtection="1">
      <alignment horizontal="left" vertical="center" wrapText="1"/>
      <protection locked="0"/>
    </xf>
    <xf numFmtId="0" fontId="11" fillId="9" borderId="14" xfId="2" applyFill="1" applyBorder="1" applyAlignment="1">
      <alignment horizontal="left" vertical="top" wrapText="1"/>
    </xf>
    <xf numFmtId="0" fontId="1" fillId="6" borderId="3" xfId="0" applyFont="1" applyFill="1" applyBorder="1" applyAlignment="1" applyProtection="1">
      <alignment horizontal="left"/>
      <protection locked="0"/>
    </xf>
    <xf numFmtId="0" fontId="16" fillId="0" borderId="15" xfId="0" applyFont="1" applyBorder="1" applyAlignment="1" applyProtection="1">
      <alignment horizontal="left"/>
      <protection locked="0"/>
    </xf>
    <xf numFmtId="0" fontId="25" fillId="6" borderId="3" xfId="2" applyFont="1" applyFill="1" applyBorder="1" applyAlignment="1" applyProtection="1">
      <alignment horizontal="left" vertical="center" wrapText="1"/>
      <protection locked="0"/>
    </xf>
    <xf numFmtId="0" fontId="25" fillId="6" borderId="16" xfId="2" applyFont="1" applyFill="1" applyBorder="1" applyAlignment="1" applyProtection="1">
      <alignment horizontal="left" vertical="center" wrapText="1"/>
      <protection locked="0"/>
    </xf>
    <xf numFmtId="0" fontId="25" fillId="6" borderId="15" xfId="2" applyFont="1" applyFill="1" applyBorder="1" applyAlignment="1" applyProtection="1">
      <alignment horizontal="left" vertical="center" wrapText="1"/>
      <protection locked="0"/>
    </xf>
    <xf numFmtId="0" fontId="1" fillId="6" borderId="3" xfId="0" applyFont="1" applyFill="1" applyBorder="1" applyAlignment="1" applyProtection="1">
      <alignment horizontal="left" vertical="center"/>
      <protection locked="0"/>
    </xf>
    <xf numFmtId="0" fontId="1" fillId="6" borderId="15" xfId="0" applyFont="1" applyFill="1" applyBorder="1" applyAlignment="1" applyProtection="1">
      <alignment horizontal="left" vertical="center"/>
      <protection locked="0"/>
    </xf>
    <xf numFmtId="3" fontId="11" fillId="5" borderId="0" xfId="18" applyNumberFormat="1" applyFont="1" applyFill="1" applyAlignment="1">
      <alignment horizontal="left" vertical="top" wrapText="1" indent="4"/>
    </xf>
    <xf numFmtId="0" fontId="30" fillId="8" borderId="3" xfId="2" applyFont="1" applyFill="1" applyBorder="1" applyAlignment="1">
      <alignment horizontal="left" vertical="center" wrapText="1" indent="1"/>
    </xf>
    <xf numFmtId="0" fontId="30" fillId="8" borderId="15" xfId="2" applyFont="1" applyFill="1" applyBorder="1" applyAlignment="1">
      <alignment horizontal="left" vertical="center" wrapText="1" indent="1"/>
    </xf>
    <xf numFmtId="0" fontId="30" fillId="6" borderId="3" xfId="2" applyFont="1" applyFill="1" applyBorder="1" applyAlignment="1">
      <alignment horizontal="left" vertical="center" indent="1"/>
    </xf>
    <xf numFmtId="0" fontId="30" fillId="6" borderId="16" xfId="2" applyFont="1" applyFill="1" applyBorder="1" applyAlignment="1">
      <alignment horizontal="left" vertical="center" indent="1"/>
    </xf>
    <xf numFmtId="0" fontId="30" fillId="6" borderId="15" xfId="2" applyFont="1" applyFill="1" applyBorder="1" applyAlignment="1">
      <alignment horizontal="left" vertical="center" indent="1"/>
    </xf>
    <xf numFmtId="0" fontId="1" fillId="6" borderId="3" xfId="0" applyFont="1" applyFill="1" applyBorder="1" applyAlignment="1">
      <alignment horizontal="left" vertical="center" wrapText="1" indent="1"/>
    </xf>
    <xf numFmtId="0" fontId="1" fillId="6" borderId="16" xfId="0" applyFont="1" applyFill="1" applyBorder="1" applyAlignment="1">
      <alignment horizontal="left" vertical="center" wrapText="1" indent="1"/>
    </xf>
    <xf numFmtId="0" fontId="1" fillId="6" borderId="15" xfId="0" applyFont="1" applyFill="1" applyBorder="1" applyAlignment="1">
      <alignment horizontal="left" vertical="center" wrapText="1" indent="1"/>
    </xf>
    <xf numFmtId="0" fontId="1" fillId="8" borderId="3" xfId="0" applyFont="1" applyFill="1" applyBorder="1" applyAlignment="1">
      <alignment horizontal="left" vertical="center" wrapText="1" indent="1"/>
    </xf>
    <xf numFmtId="0" fontId="28" fillId="8" borderId="15" xfId="0" applyFont="1" applyFill="1" applyBorder="1" applyAlignment="1">
      <alignment horizontal="left" vertical="center" wrapText="1" indent="1"/>
    </xf>
    <xf numFmtId="0" fontId="28" fillId="8" borderId="3" xfId="0" applyFont="1" applyFill="1" applyBorder="1" applyAlignment="1">
      <alignment horizontal="left" vertical="center" indent="1"/>
    </xf>
    <xf numFmtId="0" fontId="28" fillId="8" borderId="15" xfId="0" applyFont="1" applyFill="1" applyBorder="1" applyAlignment="1">
      <alignment horizontal="left" vertical="center" indent="1"/>
    </xf>
    <xf numFmtId="0" fontId="29" fillId="0" borderId="0" xfId="0" applyFont="1" applyAlignment="1">
      <alignment horizontal="left" vertical="top" wrapText="1"/>
    </xf>
    <xf numFmtId="0" fontId="34" fillId="0" borderId="0" xfId="0" applyFont="1" applyAlignment="1">
      <alignment horizontal="left" vertical="center" wrapText="1" indent="4"/>
    </xf>
    <xf numFmtId="0" fontId="4" fillId="8" borderId="3" xfId="0" applyFont="1" applyFill="1" applyBorder="1" applyAlignment="1">
      <alignment horizontal="left" vertical="center" wrapText="1" indent="1"/>
    </xf>
    <xf numFmtId="0" fontId="4" fillId="8" borderId="16" xfId="0" applyFont="1" applyFill="1" applyBorder="1" applyAlignment="1">
      <alignment horizontal="left" vertical="center" wrapText="1" indent="1"/>
    </xf>
    <xf numFmtId="0" fontId="0" fillId="0" borderId="16" xfId="0" applyBorder="1" applyAlignment="1">
      <alignment horizontal="left" vertical="center" wrapText="1" indent="1"/>
    </xf>
    <xf numFmtId="0" fontId="0" fillId="0" borderId="15" xfId="0" applyBorder="1" applyAlignment="1">
      <alignment horizontal="left" vertical="center" wrapText="1" indent="1"/>
    </xf>
    <xf numFmtId="0" fontId="1" fillId="6" borderId="3" xfId="0" applyFont="1" applyFill="1" applyBorder="1" applyAlignment="1" applyProtection="1">
      <alignment horizontal="left" vertical="center" wrapText="1" indent="1"/>
      <protection locked="0"/>
    </xf>
    <xf numFmtId="0" fontId="16" fillId="0" borderId="16" xfId="0" applyFont="1" applyBorder="1" applyAlignment="1" applyProtection="1">
      <alignment horizontal="left" vertical="center" wrapText="1" indent="1"/>
      <protection locked="0"/>
    </xf>
    <xf numFmtId="0" fontId="16" fillId="0" borderId="15" xfId="0" applyFont="1" applyBorder="1" applyAlignment="1" applyProtection="1">
      <alignment horizontal="left" vertical="center" wrapText="1" indent="1"/>
      <protection locked="0"/>
    </xf>
    <xf numFmtId="0" fontId="30" fillId="6" borderId="3" xfId="2" applyFont="1" applyFill="1" applyBorder="1" applyAlignment="1">
      <alignment horizontal="left" vertical="top" wrapText="1"/>
    </xf>
    <xf numFmtId="0" fontId="30" fillId="6" borderId="16" xfId="2" applyFont="1" applyFill="1" applyBorder="1" applyAlignment="1">
      <alignment horizontal="left" vertical="top" wrapText="1"/>
    </xf>
    <xf numFmtId="0" fontId="30" fillId="6" borderId="15" xfId="2" applyFont="1" applyFill="1" applyBorder="1" applyAlignment="1">
      <alignment horizontal="left" vertical="top" wrapText="1"/>
    </xf>
    <xf numFmtId="0" fontId="11" fillId="4" borderId="4" xfId="2" applyFill="1" applyBorder="1" applyAlignment="1">
      <alignment horizontal="left" vertical="center" wrapText="1" indent="1"/>
    </xf>
    <xf numFmtId="0" fontId="16" fillId="0" borderId="4" xfId="0" applyFont="1" applyBorder="1" applyAlignment="1">
      <alignment horizontal="left" vertical="center" wrapText="1" indent="1"/>
    </xf>
    <xf numFmtId="0" fontId="1" fillId="6" borderId="4" xfId="0" applyFont="1" applyFill="1" applyBorder="1" applyAlignment="1">
      <alignment horizontal="left" vertical="center" wrapText="1" indent="1"/>
    </xf>
    <xf numFmtId="0" fontId="3" fillId="8" borderId="4" xfId="0" applyFont="1" applyFill="1" applyBorder="1" applyAlignment="1">
      <alignment horizontal="left" vertical="center" wrapText="1" indent="1"/>
    </xf>
    <xf numFmtId="0" fontId="0" fillId="0" borderId="4" xfId="0" applyBorder="1" applyAlignment="1">
      <alignment horizontal="left" vertical="center" wrapText="1" indent="1"/>
    </xf>
    <xf numFmtId="0" fontId="0" fillId="6" borderId="4" xfId="0" applyFill="1" applyBorder="1" applyAlignment="1">
      <alignment horizontal="left" vertical="center" wrapText="1" indent="1"/>
    </xf>
    <xf numFmtId="0" fontId="11" fillId="5" borderId="3" xfId="2" applyFill="1" applyBorder="1" applyAlignment="1">
      <alignment horizontal="left" vertical="center"/>
    </xf>
    <xf numFmtId="0" fontId="11" fillId="5" borderId="16" xfId="2" applyFill="1" applyBorder="1" applyAlignment="1">
      <alignment horizontal="left" vertical="center"/>
    </xf>
    <xf numFmtId="0" fontId="11" fillId="5" borderId="35" xfId="2" applyFill="1" applyBorder="1" applyAlignment="1">
      <alignment horizontal="left" vertical="center"/>
    </xf>
    <xf numFmtId="0" fontId="1" fillId="4" borderId="143" xfId="0" applyFont="1" applyFill="1" applyBorder="1" applyAlignment="1">
      <alignment horizontal="center" vertical="center"/>
    </xf>
    <xf numFmtId="0" fontId="1" fillId="4" borderId="144" xfId="0" applyFont="1" applyFill="1" applyBorder="1" applyAlignment="1">
      <alignment horizontal="center" vertical="center"/>
    </xf>
    <xf numFmtId="0" fontId="1" fillId="4" borderId="12" xfId="0" applyFont="1" applyFill="1" applyBorder="1" applyAlignment="1">
      <alignment horizontal="center" vertical="center"/>
    </xf>
    <xf numFmtId="0" fontId="1" fillId="4" borderId="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14" xfId="0" applyFont="1" applyFill="1" applyBorder="1" applyAlignment="1">
      <alignment horizontal="center" vertical="center"/>
    </xf>
    <xf numFmtId="0" fontId="1" fillId="4" borderId="142" xfId="0" applyFont="1" applyFill="1" applyBorder="1" applyAlignment="1">
      <alignment horizontal="center" vertical="center" wrapText="1"/>
    </xf>
    <xf numFmtId="0" fontId="1" fillId="4" borderId="143" xfId="0" applyFont="1" applyFill="1" applyBorder="1" applyAlignment="1">
      <alignment horizontal="center" vertical="center" wrapText="1"/>
    </xf>
    <xf numFmtId="0" fontId="1" fillId="5" borderId="0" xfId="0" applyFont="1" applyFill="1" applyAlignment="1">
      <alignment vertical="center" wrapText="1"/>
    </xf>
    <xf numFmtId="0" fontId="1" fillId="0" borderId="0" xfId="0" applyFont="1" applyAlignment="1">
      <alignment vertical="center" wrapText="1"/>
    </xf>
    <xf numFmtId="0" fontId="1" fillId="6" borderId="120" xfId="0" applyFont="1" applyFill="1" applyBorder="1" applyAlignment="1">
      <alignment vertical="center" wrapText="1"/>
    </xf>
    <xf numFmtId="0" fontId="1" fillId="6" borderId="121" xfId="0" applyFont="1" applyFill="1" applyBorder="1" applyAlignment="1">
      <alignment vertical="center" wrapText="1"/>
    </xf>
    <xf numFmtId="0" fontId="1" fillId="6" borderId="122" xfId="0" applyFont="1" applyFill="1" applyBorder="1" applyAlignment="1">
      <alignment vertical="center" wrapText="1"/>
    </xf>
    <xf numFmtId="0" fontId="11" fillId="6" borderId="130" xfId="2" applyFill="1" applyBorder="1" applyAlignment="1" applyProtection="1">
      <alignment horizontal="left" vertical="center"/>
      <protection locked="0"/>
    </xf>
    <xf numFmtId="0" fontId="11" fillId="6" borderId="27" xfId="2" applyFill="1" applyBorder="1" applyAlignment="1" applyProtection="1">
      <alignment horizontal="left" vertical="center"/>
      <protection locked="0"/>
    </xf>
    <xf numFmtId="0" fontId="11" fillId="6" borderId="28" xfId="2" applyFill="1" applyBorder="1" applyAlignment="1" applyProtection="1">
      <alignment horizontal="left" vertical="center"/>
      <protection locked="0"/>
    </xf>
    <xf numFmtId="0" fontId="1" fillId="43" borderId="192" xfId="0" applyFont="1" applyFill="1" applyBorder="1" applyAlignment="1">
      <alignment horizontal="left"/>
    </xf>
    <xf numFmtId="0" fontId="1" fillId="43" borderId="194" xfId="0" applyFont="1" applyFill="1" applyBorder="1" applyAlignment="1">
      <alignment horizontal="left"/>
    </xf>
    <xf numFmtId="0" fontId="1" fillId="43" borderId="194" xfId="0" applyFont="1" applyFill="1" applyBorder="1" applyAlignment="1">
      <alignment horizontal="center"/>
    </xf>
    <xf numFmtId="0" fontId="1" fillId="43" borderId="193" xfId="0" applyFont="1" applyFill="1" applyBorder="1" applyAlignment="1">
      <alignment horizontal="center"/>
    </xf>
    <xf numFmtId="0" fontId="11" fillId="8" borderId="41" xfId="2" applyFill="1" applyBorder="1" applyAlignment="1">
      <alignment horizontal="center" vertical="center" wrapText="1"/>
    </xf>
    <xf numFmtId="0" fontId="11" fillId="8" borderId="24" xfId="2" applyFill="1" applyBorder="1" applyAlignment="1">
      <alignment horizontal="center" vertical="center" wrapText="1"/>
    </xf>
    <xf numFmtId="0" fontId="21" fillId="5" borderId="0" xfId="2" applyFont="1" applyFill="1" applyAlignment="1">
      <alignment horizontal="left" vertical="top" wrapText="1"/>
    </xf>
    <xf numFmtId="0" fontId="53" fillId="0" borderId="0" xfId="0" applyFont="1" applyAlignment="1">
      <alignment horizontal="left" vertical="top" wrapText="1"/>
    </xf>
    <xf numFmtId="0" fontId="11" fillId="8" borderId="6" xfId="2" applyFill="1" applyBorder="1" applyAlignment="1">
      <alignment horizontal="center" vertical="center" wrapText="1"/>
    </xf>
    <xf numFmtId="0" fontId="11" fillId="8" borderId="5" xfId="2" applyFill="1" applyBorder="1" applyAlignment="1">
      <alignment horizontal="center" vertical="center" wrapText="1"/>
    </xf>
    <xf numFmtId="0" fontId="11" fillId="8" borderId="132" xfId="2" applyFill="1" applyBorder="1" applyAlignment="1">
      <alignment horizontal="center" vertical="center" wrapText="1"/>
    </xf>
    <xf numFmtId="0" fontId="11" fillId="8" borderId="20" xfId="2" applyFill="1" applyBorder="1" applyAlignment="1">
      <alignment horizontal="center" vertical="center" wrapText="1"/>
    </xf>
    <xf numFmtId="0" fontId="11" fillId="8" borderId="21" xfId="2" applyFill="1" applyBorder="1" applyAlignment="1">
      <alignment horizontal="center" vertical="center" wrapText="1"/>
    </xf>
    <xf numFmtId="0" fontId="11" fillId="8" borderId="22" xfId="2" applyFill="1" applyBorder="1" applyAlignment="1">
      <alignment horizontal="center" vertical="center" wrapText="1"/>
    </xf>
    <xf numFmtId="0" fontId="0" fillId="0" borderId="5" xfId="0" applyBorder="1" applyAlignment="1">
      <alignment vertical="center"/>
    </xf>
    <xf numFmtId="0" fontId="0" fillId="0" borderId="132" xfId="0" applyBorder="1" applyAlignment="1">
      <alignment vertical="center"/>
    </xf>
    <xf numFmtId="0" fontId="1" fillId="8" borderId="20" xfId="0" applyFont="1" applyFill="1" applyBorder="1" applyAlignment="1">
      <alignment horizontal="center" vertical="center" wrapText="1"/>
    </xf>
    <xf numFmtId="0" fontId="1" fillId="8" borderId="22" xfId="0" applyFont="1" applyFill="1" applyBorder="1" applyAlignment="1">
      <alignment horizontal="center" vertical="center" wrapText="1"/>
    </xf>
    <xf numFmtId="0" fontId="11" fillId="8" borderId="40" xfId="2" applyFill="1" applyBorder="1" applyAlignment="1">
      <alignment horizontal="center" vertical="center" wrapText="1"/>
    </xf>
    <xf numFmtId="0" fontId="11" fillId="8" borderId="23" xfId="2" applyFill="1" applyBorder="1" applyAlignment="1">
      <alignment horizontal="center" vertical="center" wrapText="1"/>
    </xf>
    <xf numFmtId="0" fontId="1" fillId="8" borderId="41" xfId="0" applyFont="1" applyFill="1" applyBorder="1" applyAlignment="1">
      <alignment horizontal="center" vertical="center" wrapText="1"/>
    </xf>
    <xf numFmtId="0" fontId="1" fillId="8" borderId="42" xfId="0" applyFont="1" applyFill="1" applyBorder="1" applyAlignment="1">
      <alignment horizontal="center" vertical="center" wrapText="1"/>
    </xf>
    <xf numFmtId="0" fontId="1" fillId="8" borderId="40" xfId="0" applyFont="1" applyFill="1" applyBorder="1" applyAlignment="1">
      <alignment horizontal="center" vertical="center" wrapText="1"/>
    </xf>
    <xf numFmtId="0" fontId="1" fillId="8" borderId="23" xfId="0" applyFont="1" applyFill="1" applyBorder="1" applyAlignment="1">
      <alignment horizontal="center" vertical="center" wrapText="1"/>
    </xf>
    <xf numFmtId="0" fontId="1" fillId="8" borderId="25" xfId="0" applyFont="1" applyFill="1" applyBorder="1" applyAlignment="1">
      <alignment horizontal="center" vertical="center" wrapText="1"/>
    </xf>
    <xf numFmtId="0" fontId="1" fillId="5" borderId="3" xfId="0" applyFont="1" applyFill="1" applyBorder="1" applyAlignment="1">
      <alignment vertical="center"/>
    </xf>
    <xf numFmtId="0" fontId="1" fillId="5" borderId="16" xfId="0" applyFont="1" applyFill="1" applyBorder="1" applyAlignment="1">
      <alignment vertical="center"/>
    </xf>
    <xf numFmtId="0" fontId="1" fillId="5" borderId="15" xfId="0" applyFont="1" applyFill="1" applyBorder="1" applyAlignment="1">
      <alignment vertical="center"/>
    </xf>
    <xf numFmtId="0" fontId="1" fillId="4" borderId="45" xfId="0" applyFont="1" applyFill="1" applyBorder="1" applyAlignment="1">
      <alignment vertical="center"/>
    </xf>
    <xf numFmtId="0" fontId="1" fillId="0" borderId="45" xfId="0" applyFont="1" applyBorder="1" applyAlignment="1">
      <alignment vertical="center"/>
    </xf>
    <xf numFmtId="0" fontId="1" fillId="5" borderId="0" xfId="0" applyFont="1" applyFill="1" applyAlignment="1">
      <alignment horizontal="left" vertical="top" wrapText="1"/>
    </xf>
    <xf numFmtId="0" fontId="1" fillId="0" borderId="16" xfId="0" applyFont="1" applyBorder="1" applyAlignment="1">
      <alignment vertical="center"/>
    </xf>
    <xf numFmtId="0" fontId="1" fillId="0" borderId="15" xfId="0" applyFont="1" applyBorder="1" applyAlignment="1">
      <alignment vertical="center"/>
    </xf>
    <xf numFmtId="0" fontId="1" fillId="6" borderId="16" xfId="0" applyFont="1" applyFill="1" applyBorder="1" applyAlignment="1" applyProtection="1">
      <alignment horizontal="left" vertical="center"/>
      <protection locked="0"/>
    </xf>
    <xf numFmtId="0" fontId="1" fillId="4" borderId="45" xfId="0" applyFont="1" applyFill="1" applyBorder="1" applyAlignment="1">
      <alignment horizontal="left" vertical="center" indent="1"/>
    </xf>
    <xf numFmtId="0" fontId="1" fillId="0" borderId="45" xfId="0" applyFont="1" applyBorder="1" applyAlignment="1">
      <alignment horizontal="left" vertical="center" indent="1"/>
    </xf>
    <xf numFmtId="0" fontId="1" fillId="5" borderId="0" xfId="0" applyFont="1" applyFill="1" applyAlignment="1">
      <alignment vertical="top" wrapText="1"/>
    </xf>
    <xf numFmtId="0" fontId="1" fillId="0" borderId="0" xfId="0" applyFont="1" applyAlignment="1">
      <alignment vertical="top" wrapText="1"/>
    </xf>
    <xf numFmtId="0" fontId="1" fillId="0" borderId="0" xfId="0" applyFont="1" applyAlignment="1">
      <alignment vertical="center"/>
    </xf>
    <xf numFmtId="0" fontId="1" fillId="5" borderId="0" xfId="0" applyFont="1" applyFill="1" applyAlignment="1">
      <alignment horizontal="left" wrapText="1"/>
    </xf>
    <xf numFmtId="0" fontId="0" fillId="0" borderId="25" xfId="0" applyBorder="1" applyAlignment="1">
      <alignment horizontal="center" vertical="center" wrapText="1"/>
    </xf>
    <xf numFmtId="0" fontId="11" fillId="8" borderId="41" xfId="0" applyFont="1" applyFill="1" applyBorder="1" applyAlignment="1">
      <alignment horizontal="center" wrapText="1"/>
    </xf>
    <xf numFmtId="0" fontId="1" fillId="0" borderId="24" xfId="0" applyFont="1" applyBorder="1" applyAlignment="1">
      <alignment horizontal="center" wrapText="1"/>
    </xf>
    <xf numFmtId="0" fontId="11" fillId="8" borderId="42" xfId="0" applyFont="1" applyFill="1" applyBorder="1" applyAlignment="1">
      <alignment horizontal="center" wrapText="1"/>
    </xf>
    <xf numFmtId="0" fontId="1" fillId="0" borderId="25" xfId="0" applyFont="1" applyBorder="1" applyAlignment="1">
      <alignment horizontal="center" wrapText="1"/>
    </xf>
    <xf numFmtId="0" fontId="1" fillId="5" borderId="0" xfId="0" applyFont="1" applyFill="1" applyAlignment="1">
      <alignment wrapText="1"/>
    </xf>
    <xf numFmtId="0" fontId="1" fillId="0" borderId="0" xfId="0" applyFont="1" applyAlignment="1">
      <alignment wrapText="1"/>
    </xf>
    <xf numFmtId="0" fontId="11" fillId="8" borderId="4" xfId="2" applyFill="1" applyBorder="1" applyAlignment="1">
      <alignment horizontal="center" vertical="center" wrapText="1"/>
    </xf>
    <xf numFmtId="0" fontId="0" fillId="0" borderId="4" xfId="0" applyBorder="1" applyAlignment="1">
      <alignment horizontal="center" vertical="center"/>
    </xf>
    <xf numFmtId="0" fontId="11" fillId="8" borderId="4" xfId="0" applyFont="1" applyFill="1" applyBorder="1" applyAlignment="1">
      <alignment horizontal="center" vertical="center" wrapText="1"/>
    </xf>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40" xfId="0" applyBorder="1" applyAlignment="1">
      <alignment horizontal="center" vertical="center" wrapText="1"/>
    </xf>
    <xf numFmtId="0" fontId="0" fillId="0" borderId="42" xfId="0" applyBorder="1" applyAlignment="1">
      <alignment horizontal="center" vertical="center" wrapText="1"/>
    </xf>
    <xf numFmtId="0" fontId="0" fillId="0" borderId="21" xfId="0" applyBorder="1" applyAlignment="1">
      <alignment horizontal="center" vertical="center" wrapText="1"/>
    </xf>
    <xf numFmtId="0" fontId="1" fillId="8" borderId="4" xfId="0" applyFont="1" applyFill="1" applyBorder="1" applyAlignment="1">
      <alignment horizontal="center"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1" fillId="8" borderId="40" xfId="0" applyFont="1" applyFill="1" applyBorder="1" applyAlignment="1">
      <alignment horizontal="center" wrapText="1"/>
    </xf>
    <xf numFmtId="0" fontId="1" fillId="0" borderId="41" xfId="0" applyFont="1" applyBorder="1" applyAlignment="1">
      <alignment horizontal="center" wrapText="1"/>
    </xf>
    <xf numFmtId="0" fontId="11" fillId="8" borderId="40" xfId="0" applyFont="1" applyFill="1" applyBorder="1" applyAlignment="1">
      <alignment horizontal="center" wrapText="1"/>
    </xf>
    <xf numFmtId="0" fontId="1" fillId="0" borderId="23" xfId="0" applyFont="1" applyBorder="1" applyAlignment="1">
      <alignment horizontal="center" wrapText="1"/>
    </xf>
    <xf numFmtId="0" fontId="39" fillId="5" borderId="28" xfId="0" applyFont="1" applyFill="1" applyBorder="1" applyAlignment="1">
      <alignment horizontal="left" vertical="center" wrapText="1" indent="1"/>
    </xf>
    <xf numFmtId="0" fontId="19" fillId="5" borderId="28" xfId="0" applyFont="1" applyFill="1" applyBorder="1" applyAlignment="1">
      <alignment horizontal="left" wrapText="1" indent="1"/>
    </xf>
    <xf numFmtId="0" fontId="19" fillId="5" borderId="28" xfId="0" applyFont="1" applyFill="1" applyBorder="1" applyAlignment="1">
      <alignment horizontal="left" indent="1"/>
    </xf>
    <xf numFmtId="0" fontId="39" fillId="5" borderId="15" xfId="0" applyFont="1" applyFill="1" applyBorder="1" applyAlignment="1">
      <alignment horizontal="left" vertical="center"/>
    </xf>
    <xf numFmtId="0" fontId="19" fillId="5" borderId="4" xfId="0" applyFont="1" applyFill="1" applyBorder="1" applyAlignment="1">
      <alignment vertical="center"/>
    </xf>
    <xf numFmtId="0" fontId="1" fillId="8" borderId="6" xfId="0" applyFont="1" applyFill="1" applyBorder="1" applyAlignment="1">
      <alignment horizontal="center" wrapText="1"/>
    </xf>
    <xf numFmtId="0" fontId="1" fillId="0" borderId="5" xfId="0" applyFont="1" applyBorder="1" applyAlignment="1">
      <alignment horizontal="center" wrapText="1"/>
    </xf>
    <xf numFmtId="0" fontId="1" fillId="0" borderId="45" xfId="0" applyFont="1" applyBorder="1" applyAlignment="1">
      <alignment horizontal="center" wrapText="1"/>
    </xf>
    <xf numFmtId="0" fontId="1" fillId="8" borderId="20" xfId="0" applyFont="1" applyFill="1" applyBorder="1" applyAlignment="1">
      <alignment horizontal="center" wrapText="1"/>
    </xf>
    <xf numFmtId="0" fontId="1" fillId="0" borderId="21" xfId="0" applyFont="1" applyBorder="1" applyAlignment="1">
      <alignment horizontal="center" wrapText="1"/>
    </xf>
    <xf numFmtId="0" fontId="1" fillId="0" borderId="22" xfId="0" applyFont="1" applyBorder="1" applyAlignment="1">
      <alignment horizontal="center" wrapText="1"/>
    </xf>
    <xf numFmtId="0" fontId="11" fillId="4" borderId="27" xfId="0" applyFont="1" applyFill="1" applyBorder="1" applyAlignment="1">
      <alignment horizontal="center" vertical="center" wrapText="1"/>
    </xf>
    <xf numFmtId="0" fontId="11" fillId="4" borderId="28" xfId="0" applyFont="1" applyFill="1" applyBorder="1" applyAlignment="1">
      <alignment horizontal="center" vertical="center" wrapText="1"/>
    </xf>
    <xf numFmtId="0" fontId="0" fillId="4" borderId="28" xfId="0" applyFill="1" applyBorder="1" applyAlignment="1">
      <alignment horizontal="center" vertical="center" wrapText="1"/>
    </xf>
    <xf numFmtId="0" fontId="0" fillId="4" borderId="28" xfId="0" applyFill="1" applyBorder="1"/>
    <xf numFmtId="0" fontId="1" fillId="4" borderId="28" xfId="0" applyFont="1" applyFill="1" applyBorder="1" applyAlignment="1">
      <alignment horizontal="center" vertical="center" wrapText="1"/>
    </xf>
    <xf numFmtId="0" fontId="0" fillId="4" borderId="29" xfId="0" applyFill="1" applyBorder="1" applyAlignment="1">
      <alignment vertical="center" wrapText="1"/>
    </xf>
    <xf numFmtId="0" fontId="1" fillId="8" borderId="4" xfId="0" applyFont="1" applyFill="1" applyBorder="1"/>
    <xf numFmtId="0" fontId="11" fillId="8" borderId="4" xfId="0" applyFont="1" applyFill="1" applyBorder="1" applyAlignment="1">
      <alignment vertical="center" wrapText="1"/>
    </xf>
    <xf numFmtId="0" fontId="1" fillId="8" borderId="4" xfId="0" applyFont="1" applyFill="1" applyBorder="1" applyAlignment="1">
      <alignment horizontal="center"/>
    </xf>
    <xf numFmtId="0" fontId="1" fillId="0" borderId="5" xfId="0" applyFont="1" applyBorder="1"/>
    <xf numFmtId="0" fontId="1" fillId="0" borderId="45" xfId="0" applyFont="1" applyBorder="1"/>
    <xf numFmtId="0" fontId="1" fillId="8" borderId="6" xfId="0" applyFont="1" applyFill="1" applyBorder="1" applyAlignment="1">
      <alignment horizontal="center" vertical="center" wrapText="1"/>
    </xf>
    <xf numFmtId="0" fontId="1" fillId="8" borderId="5" xfId="0" applyFont="1" applyFill="1" applyBorder="1" applyAlignment="1">
      <alignment horizontal="center" vertical="center" wrapText="1"/>
    </xf>
    <xf numFmtId="0" fontId="1" fillId="8" borderId="45" xfId="0" applyFont="1" applyFill="1" applyBorder="1" applyAlignment="1">
      <alignment horizontal="center" vertical="center" wrapText="1"/>
    </xf>
    <xf numFmtId="0" fontId="1" fillId="4" borderId="6" xfId="0" applyFont="1" applyFill="1" applyBorder="1"/>
    <xf numFmtId="0" fontId="1" fillId="4" borderId="5" xfId="0" applyFont="1" applyFill="1" applyBorder="1"/>
    <xf numFmtId="0" fontId="1" fillId="4" borderId="45" xfId="0" applyFont="1" applyFill="1" applyBorder="1"/>
    <xf numFmtId="0" fontId="1" fillId="0" borderId="21" xfId="0" applyFont="1" applyBorder="1"/>
    <xf numFmtId="0" fontId="1" fillId="0" borderId="22" xfId="0" applyFont="1" applyBorder="1"/>
    <xf numFmtId="0" fontId="1" fillId="8" borderId="6" xfId="0" applyFont="1" applyFill="1" applyBorder="1"/>
    <xf numFmtId="0" fontId="1" fillId="0" borderId="40" xfId="0" applyFont="1" applyBorder="1" applyAlignment="1">
      <alignment horizontal="center" wrapText="1"/>
    </xf>
    <xf numFmtId="0" fontId="1" fillId="0" borderId="42" xfId="0" applyFont="1" applyBorder="1" applyAlignment="1">
      <alignment horizontal="center" wrapText="1"/>
    </xf>
    <xf numFmtId="0" fontId="1" fillId="8" borderId="41" xfId="0" applyFont="1" applyFill="1" applyBorder="1" applyAlignment="1">
      <alignment horizontal="center" wrapText="1"/>
    </xf>
    <xf numFmtId="0" fontId="1" fillId="0" borderId="41" xfId="0" applyFont="1" applyBorder="1"/>
    <xf numFmtId="0" fontId="1" fillId="0" borderId="42" xfId="0" applyFont="1" applyBorder="1"/>
    <xf numFmtId="0" fontId="0" fillId="8" borderId="4" xfId="0" applyFill="1" applyBorder="1" applyAlignment="1">
      <alignment horizontal="center" vertical="top" wrapText="1"/>
    </xf>
    <xf numFmtId="0" fontId="0" fillId="8" borderId="21" xfId="0" applyFill="1" applyBorder="1"/>
    <xf numFmtId="0" fontId="0" fillId="8" borderId="22" xfId="0" applyFill="1" applyBorder="1"/>
    <xf numFmtId="0" fontId="0" fillId="8" borderId="41" xfId="0" applyFill="1" applyBorder="1" applyAlignment="1">
      <alignment horizontal="center" wrapText="1"/>
    </xf>
    <xf numFmtId="0" fontId="0" fillId="8" borderId="42" xfId="0" applyFill="1" applyBorder="1" applyAlignment="1">
      <alignment horizontal="center" wrapText="1"/>
    </xf>
    <xf numFmtId="0" fontId="0" fillId="8" borderId="20" xfId="0" applyFill="1" applyBorder="1" applyAlignment="1">
      <alignment horizontal="center" vertical="top" wrapText="1"/>
    </xf>
    <xf numFmtId="0" fontId="0" fillId="8" borderId="22" xfId="0" applyFill="1" applyBorder="1" applyAlignment="1">
      <alignment horizontal="center" vertical="top" wrapText="1"/>
    </xf>
    <xf numFmtId="0" fontId="0" fillId="8" borderId="40" xfId="0" applyFill="1" applyBorder="1" applyAlignment="1">
      <alignment horizontal="center" vertical="top" wrapText="1"/>
    </xf>
    <xf numFmtId="0" fontId="0" fillId="8" borderId="42" xfId="0" applyFill="1" applyBorder="1" applyAlignment="1">
      <alignment horizontal="center" vertical="top" wrapText="1"/>
    </xf>
    <xf numFmtId="0" fontId="11" fillId="8" borderId="42" xfId="0" applyFont="1" applyFill="1" applyBorder="1" applyAlignment="1">
      <alignment horizontal="center" vertical="center" wrapText="1"/>
    </xf>
    <xf numFmtId="0" fontId="11" fillId="8" borderId="25" xfId="0" applyFont="1" applyFill="1" applyBorder="1" applyAlignment="1">
      <alignment horizontal="center" vertical="center" wrapText="1"/>
    </xf>
    <xf numFmtId="0" fontId="1" fillId="4" borderId="5" xfId="0" applyFont="1" applyFill="1" applyBorder="1" applyAlignment="1">
      <alignment horizontal="center" vertical="center"/>
    </xf>
    <xf numFmtId="0" fontId="1" fillId="4" borderId="45" xfId="0" applyFont="1" applyFill="1" applyBorder="1" applyAlignment="1">
      <alignment horizontal="center" vertical="center"/>
    </xf>
    <xf numFmtId="0" fontId="1" fillId="4" borderId="40" xfId="0" applyFont="1" applyFill="1" applyBorder="1" applyAlignment="1">
      <alignment horizontal="center" vertical="center" wrapText="1"/>
    </xf>
    <xf numFmtId="0" fontId="1" fillId="4" borderId="23" xfId="0" applyFont="1" applyFill="1" applyBorder="1" applyAlignment="1">
      <alignment horizontal="center" vertical="center" wrapText="1"/>
    </xf>
    <xf numFmtId="0" fontId="1" fillId="4" borderId="4" xfId="0" applyFont="1" applyFill="1" applyBorder="1" applyAlignment="1">
      <alignment horizontal="center" vertical="center"/>
    </xf>
    <xf numFmtId="0" fontId="1" fillId="4" borderId="41" xfId="0" applyFont="1" applyFill="1" applyBorder="1" applyAlignment="1">
      <alignment horizontal="center" vertical="center" wrapText="1"/>
    </xf>
    <xf numFmtId="0" fontId="11" fillId="8" borderId="41" xfId="0" applyFont="1" applyFill="1" applyBorder="1" applyAlignment="1">
      <alignment horizontal="center" vertical="center" wrapText="1"/>
    </xf>
    <xf numFmtId="0" fontId="11" fillId="8" borderId="24" xfId="0" applyFont="1" applyFill="1" applyBorder="1" applyAlignment="1">
      <alignment horizontal="center" vertical="center" wrapText="1"/>
    </xf>
    <xf numFmtId="0" fontId="11" fillId="4" borderId="41" xfId="0" applyFont="1" applyFill="1" applyBorder="1" applyAlignment="1">
      <alignment horizontal="center" vertical="center" wrapText="1"/>
    </xf>
    <xf numFmtId="0" fontId="11" fillId="4" borderId="24" xfId="0" applyFont="1" applyFill="1" applyBorder="1" applyAlignment="1">
      <alignment horizontal="center" vertical="center" wrapText="1"/>
    </xf>
    <xf numFmtId="0" fontId="11" fillId="8" borderId="3" xfId="2" applyFill="1" applyBorder="1" applyAlignment="1">
      <alignment horizontal="center" vertical="center" wrapText="1"/>
    </xf>
    <xf numFmtId="0" fontId="11" fillId="8" borderId="16" xfId="2" applyFill="1" applyBorder="1" applyAlignment="1">
      <alignment horizontal="center" vertical="center" wrapText="1"/>
    </xf>
    <xf numFmtId="0" fontId="11" fillId="8" borderId="15" xfId="2" applyFill="1" applyBorder="1" applyAlignment="1">
      <alignment horizontal="center" vertical="center" wrapText="1"/>
    </xf>
    <xf numFmtId="0" fontId="11" fillId="4" borderId="3" xfId="2" applyFill="1" applyBorder="1" applyAlignment="1">
      <alignment horizontal="left" vertical="center"/>
    </xf>
    <xf numFmtId="0" fontId="11" fillId="4" borderId="16" xfId="2" applyFill="1" applyBorder="1" applyAlignment="1">
      <alignment horizontal="left" vertical="center"/>
    </xf>
    <xf numFmtId="0" fontId="11" fillId="4" borderId="35" xfId="2" applyFill="1" applyBorder="1" applyAlignment="1">
      <alignment horizontal="left" vertical="center"/>
    </xf>
    <xf numFmtId="0" fontId="1" fillId="4" borderId="24" xfId="0" applyFont="1" applyFill="1" applyBorder="1" applyAlignment="1">
      <alignment horizontal="center" vertical="center" wrapText="1"/>
    </xf>
    <xf numFmtId="0" fontId="0" fillId="4" borderId="42" xfId="0" applyFill="1" applyBorder="1" applyAlignment="1">
      <alignment horizontal="center" vertical="center" wrapText="1"/>
    </xf>
    <xf numFmtId="0" fontId="0" fillId="4" borderId="25" xfId="0" applyFill="1" applyBorder="1" applyAlignment="1">
      <alignment horizontal="center" vertical="center" wrapText="1"/>
    </xf>
    <xf numFmtId="0" fontId="11" fillId="4" borderId="15" xfId="2" applyFill="1" applyBorder="1" applyAlignment="1">
      <alignment horizontal="left" vertical="center"/>
    </xf>
    <xf numFmtId="0" fontId="11" fillId="8" borderId="12" xfId="2" applyFill="1" applyBorder="1" applyAlignment="1">
      <alignment horizontal="center" vertical="center" wrapText="1"/>
    </xf>
    <xf numFmtId="0" fontId="11" fillId="8" borderId="17" xfId="2" applyFill="1" applyBorder="1" applyAlignment="1">
      <alignment horizontal="center" vertical="center" wrapText="1"/>
    </xf>
    <xf numFmtId="0" fontId="11" fillId="8" borderId="13" xfId="2" applyFill="1" applyBorder="1" applyAlignment="1">
      <alignment horizontal="center" vertical="center" wrapText="1"/>
    </xf>
    <xf numFmtId="0" fontId="11" fillId="8" borderId="19" xfId="2" applyFill="1" applyBorder="1" applyAlignment="1">
      <alignment horizontal="center" vertical="center" wrapText="1"/>
    </xf>
    <xf numFmtId="0" fontId="4" fillId="4" borderId="4" xfId="0" applyFont="1" applyFill="1" applyBorder="1" applyAlignment="1">
      <alignment horizontal="left" vertical="center" wrapText="1" indent="1"/>
    </xf>
    <xf numFmtId="0" fontId="8" fillId="4" borderId="4" xfId="0" applyFont="1" applyFill="1" applyBorder="1" applyAlignment="1">
      <alignment horizontal="left" vertical="center" wrapText="1" indent="1"/>
    </xf>
    <xf numFmtId="0" fontId="34" fillId="0" borderId="0" xfId="0" applyFont="1" applyAlignment="1">
      <alignment horizontal="left" vertical="top" wrapText="1"/>
    </xf>
    <xf numFmtId="0" fontId="1" fillId="4" borderId="3" xfId="0" applyFont="1" applyFill="1" applyBorder="1" applyAlignment="1">
      <alignment horizontal="left" vertical="center" wrapText="1" indent="1"/>
    </xf>
    <xf numFmtId="0" fontId="8" fillId="4" borderId="16" xfId="0" applyFont="1" applyFill="1" applyBorder="1" applyAlignment="1">
      <alignment horizontal="left" vertical="center" wrapText="1" indent="1"/>
    </xf>
    <xf numFmtId="0" fontId="8" fillId="4" borderId="15" xfId="0" applyFont="1" applyFill="1" applyBorder="1" applyAlignment="1">
      <alignment horizontal="left" vertical="center" wrapText="1" indent="1"/>
    </xf>
    <xf numFmtId="0" fontId="5" fillId="8" borderId="3" xfId="0" applyFont="1" applyFill="1" applyBorder="1" applyAlignment="1">
      <alignment horizontal="left" vertical="center" wrapText="1" indent="1"/>
    </xf>
    <xf numFmtId="0" fontId="8" fillId="8" borderId="16" xfId="0" applyFont="1" applyFill="1" applyBorder="1" applyAlignment="1">
      <alignment horizontal="left" vertical="center" wrapText="1" indent="1"/>
    </xf>
    <xf numFmtId="0" fontId="8" fillId="8" borderId="15" xfId="0" applyFont="1" applyFill="1" applyBorder="1" applyAlignment="1">
      <alignment horizontal="left" vertical="center" wrapText="1" indent="1"/>
    </xf>
    <xf numFmtId="0" fontId="11" fillId="8" borderId="3" xfId="0" applyFont="1" applyFill="1" applyBorder="1" applyAlignment="1">
      <alignment horizontal="left" vertical="center" wrapText="1" indent="1"/>
    </xf>
    <xf numFmtId="0" fontId="11" fillId="8" borderId="16" xfId="0" applyFont="1" applyFill="1" applyBorder="1" applyAlignment="1">
      <alignment horizontal="left" vertical="center" wrapText="1" indent="1"/>
    </xf>
    <xf numFmtId="0" fontId="11" fillId="8" borderId="15" xfId="0" applyFont="1" applyFill="1" applyBorder="1" applyAlignment="1">
      <alignment horizontal="left" vertical="center" wrapText="1" indent="1"/>
    </xf>
    <xf numFmtId="0" fontId="4" fillId="4" borderId="3" xfId="0" applyFont="1" applyFill="1" applyBorder="1" applyAlignment="1">
      <alignment horizontal="left" vertical="center" wrapText="1" indent="1"/>
    </xf>
    <xf numFmtId="0" fontId="39" fillId="6" borderId="3" xfId="0" applyFont="1" applyFill="1" applyBorder="1" applyAlignment="1" applyProtection="1">
      <alignment horizontal="left" vertical="center" wrapText="1"/>
      <protection locked="0"/>
    </xf>
    <xf numFmtId="0" fontId="39" fillId="6" borderId="16" xfId="0" applyFont="1" applyFill="1" applyBorder="1" applyAlignment="1" applyProtection="1">
      <alignment horizontal="left" vertical="center" wrapText="1"/>
      <protection locked="0"/>
    </xf>
    <xf numFmtId="0" fontId="0" fillId="0" borderId="15" xfId="0" applyBorder="1" applyProtection="1">
      <protection locked="0"/>
    </xf>
    <xf numFmtId="0" fontId="39" fillId="6" borderId="3" xfId="0" applyFont="1" applyFill="1" applyBorder="1" applyAlignment="1" applyProtection="1">
      <alignment horizontal="center" vertical="center"/>
      <protection locked="0"/>
    </xf>
    <xf numFmtId="0" fontId="24" fillId="4" borderId="20" xfId="0" applyFont="1" applyFill="1" applyBorder="1" applyAlignment="1">
      <alignment horizontal="center" vertical="center" wrapText="1"/>
    </xf>
    <xf numFmtId="0" fontId="24" fillId="4" borderId="22" xfId="0" applyFont="1" applyFill="1" applyBorder="1" applyAlignment="1">
      <alignment horizontal="center" vertical="center" wrapText="1"/>
    </xf>
    <xf numFmtId="0" fontId="24" fillId="4" borderId="21" xfId="0" applyFont="1" applyFill="1" applyBorder="1" applyAlignment="1">
      <alignment horizontal="center" vertical="center" wrapText="1"/>
    </xf>
    <xf numFmtId="0" fontId="25" fillId="5" borderId="3" xfId="0" applyFont="1" applyFill="1" applyBorder="1" applyAlignment="1">
      <alignment horizontal="left" vertical="center" wrapText="1" indent="1"/>
    </xf>
    <xf numFmtId="0" fontId="19" fillId="5" borderId="16" xfId="0" applyFont="1" applyFill="1" applyBorder="1" applyAlignment="1">
      <alignment horizontal="left" vertical="center" wrapText="1" indent="1"/>
    </xf>
    <xf numFmtId="0" fontId="19" fillId="5" borderId="15" xfId="0" applyFont="1" applyFill="1" applyBorder="1" applyAlignment="1">
      <alignment horizontal="left" vertical="center" wrapText="1" indent="1"/>
    </xf>
    <xf numFmtId="0" fontId="25" fillId="5" borderId="3" xfId="0" applyFont="1" applyFill="1" applyBorder="1" applyAlignment="1">
      <alignment horizontal="left" vertical="top" wrapText="1" indent="1"/>
    </xf>
    <xf numFmtId="0" fontId="25" fillId="5" borderId="15" xfId="0" applyFont="1" applyFill="1" applyBorder="1" applyAlignment="1">
      <alignment horizontal="left" vertical="top" wrapText="1" indent="1"/>
    </xf>
    <xf numFmtId="0" fontId="24" fillId="4" borderId="33" xfId="0" applyFont="1" applyFill="1" applyBorder="1" applyAlignment="1">
      <alignment horizontal="center" vertical="center" wrapText="1"/>
    </xf>
    <xf numFmtId="0" fontId="34" fillId="4" borderId="38" xfId="0" applyFont="1" applyFill="1" applyBorder="1" applyAlignment="1">
      <alignment horizontal="center" vertical="center"/>
    </xf>
    <xf numFmtId="0" fontId="34" fillId="4" borderId="39" xfId="0" applyFont="1" applyFill="1" applyBorder="1" applyAlignment="1">
      <alignment horizontal="center" vertical="center"/>
    </xf>
    <xf numFmtId="0" fontId="39" fillId="6" borderId="8" xfId="0" applyFont="1" applyFill="1" applyBorder="1" applyAlignment="1" applyProtection="1">
      <alignment horizontal="left" vertical="center" wrapText="1"/>
      <protection locked="0"/>
    </xf>
    <xf numFmtId="0" fontId="39" fillId="6" borderId="9" xfId="0" applyFont="1" applyFill="1" applyBorder="1" applyAlignment="1" applyProtection="1">
      <alignment horizontal="left" vertical="center" wrapText="1"/>
      <protection locked="0"/>
    </xf>
    <xf numFmtId="0" fontId="0" fillId="0" borderId="9" xfId="0" applyBorder="1" applyAlignment="1" applyProtection="1">
      <alignment vertical="center"/>
      <protection locked="0"/>
    </xf>
    <xf numFmtId="0" fontId="0" fillId="0" borderId="10" xfId="0" applyBorder="1" applyAlignment="1" applyProtection="1">
      <alignment vertical="center"/>
      <protection locked="0"/>
    </xf>
    <xf numFmtId="0" fontId="8" fillId="0" borderId="0" xfId="0" applyFont="1" applyAlignment="1">
      <alignment horizontal="left" vertical="top" wrapText="1"/>
    </xf>
    <xf numFmtId="0" fontId="0" fillId="0" borderId="0" xfId="0" applyAlignment="1">
      <alignment vertical="top" wrapText="1"/>
    </xf>
    <xf numFmtId="0" fontId="39" fillId="6" borderId="184" xfId="0" applyFont="1" applyFill="1" applyBorder="1" applyAlignment="1" applyProtection="1">
      <alignment horizontal="left" vertical="center" wrapText="1"/>
      <protection locked="0"/>
    </xf>
    <xf numFmtId="0" fontId="39" fillId="6" borderId="185" xfId="0" applyFont="1" applyFill="1" applyBorder="1" applyAlignment="1" applyProtection="1">
      <alignment horizontal="left" vertical="center" wrapText="1"/>
      <protection locked="0"/>
    </xf>
    <xf numFmtId="0" fontId="0" fillId="0" borderId="186" xfId="0" applyBorder="1" applyAlignment="1" applyProtection="1">
      <alignment wrapText="1"/>
      <protection locked="0"/>
    </xf>
    <xf numFmtId="0" fontId="5" fillId="0" borderId="4" xfId="0" applyFont="1" applyBorder="1" applyAlignment="1">
      <alignment horizontal="center" vertical="center" wrapText="1"/>
    </xf>
    <xf numFmtId="0" fontId="11" fillId="8" borderId="33" xfId="0" applyFont="1" applyFill="1" applyBorder="1" applyAlignment="1">
      <alignment horizontal="center" vertical="center" wrapText="1"/>
    </xf>
    <xf numFmtId="0" fontId="11" fillId="8" borderId="34" xfId="0" applyFont="1" applyFill="1" applyBorder="1" applyAlignment="1">
      <alignment horizontal="center" vertical="center" wrapText="1"/>
    </xf>
    <xf numFmtId="0" fontId="11" fillId="8" borderId="21" xfId="0" applyFont="1" applyFill="1" applyBorder="1" applyAlignment="1">
      <alignment horizontal="center" vertical="center" wrapText="1"/>
    </xf>
    <xf numFmtId="0" fontId="25" fillId="5" borderId="58" xfId="0" applyFont="1" applyFill="1" applyBorder="1" applyAlignment="1">
      <alignment horizontal="left" vertical="center" wrapText="1" indent="1"/>
    </xf>
    <xf numFmtId="0" fontId="19" fillId="5" borderId="59" xfId="0" applyFont="1" applyFill="1" applyBorder="1" applyAlignment="1">
      <alignment horizontal="left" vertical="center" wrapText="1" indent="1"/>
    </xf>
    <xf numFmtId="0" fontId="19" fillId="5" borderId="46" xfId="0" applyFont="1" applyFill="1" applyBorder="1" applyAlignment="1">
      <alignment horizontal="left" vertical="center" wrapText="1" indent="1"/>
    </xf>
    <xf numFmtId="0" fontId="25" fillId="5" borderId="58" xfId="0" applyFont="1" applyFill="1" applyBorder="1" applyAlignment="1">
      <alignment horizontal="left" vertical="top" wrapText="1" indent="1"/>
    </xf>
    <xf numFmtId="0" fontId="19" fillId="5" borderId="59" xfId="0" applyFont="1" applyFill="1" applyBorder="1" applyAlignment="1">
      <alignment horizontal="left" vertical="top" wrapText="1" indent="1"/>
    </xf>
    <xf numFmtId="0" fontId="19" fillId="5" borderId="46" xfId="0" applyFont="1" applyFill="1" applyBorder="1" applyAlignment="1">
      <alignment horizontal="left" vertical="top" wrapText="1" indent="1"/>
    </xf>
    <xf numFmtId="0" fontId="11" fillId="8" borderId="22" xfId="0" applyFont="1" applyFill="1" applyBorder="1" applyAlignment="1">
      <alignment horizontal="center" vertical="center" wrapText="1"/>
    </xf>
    <xf numFmtId="0" fontId="4" fillId="4" borderId="119" xfId="0" applyFont="1" applyFill="1" applyBorder="1" applyAlignment="1">
      <alignment horizontal="left" vertical="center" wrapText="1" indent="1"/>
    </xf>
    <xf numFmtId="0" fontId="5" fillId="4" borderId="119" xfId="0" applyFont="1" applyFill="1" applyBorder="1" applyAlignment="1">
      <alignment horizontal="left" vertical="center" wrapText="1" indent="1"/>
    </xf>
    <xf numFmtId="0" fontId="24" fillId="8" borderId="20" xfId="0" applyFont="1" applyFill="1" applyBorder="1" applyAlignment="1">
      <alignment horizontal="center" vertical="center"/>
    </xf>
    <xf numFmtId="0" fontId="24" fillId="8" borderId="21" xfId="0" applyFont="1" applyFill="1" applyBorder="1" applyAlignment="1">
      <alignment horizontal="center" vertical="center"/>
    </xf>
    <xf numFmtId="0" fontId="24" fillId="8" borderId="22" xfId="0" applyFont="1" applyFill="1" applyBorder="1" applyAlignment="1">
      <alignment horizontal="center" vertical="center"/>
    </xf>
    <xf numFmtId="0" fontId="24" fillId="8" borderId="33" xfId="0" applyFont="1" applyFill="1" applyBorder="1" applyAlignment="1">
      <alignment horizontal="center" vertical="center" wrapText="1"/>
    </xf>
    <xf numFmtId="0" fontId="24" fillId="8" borderId="21" xfId="0" applyFont="1" applyFill="1" applyBorder="1" applyAlignment="1">
      <alignment horizontal="center" vertical="center" wrapText="1"/>
    </xf>
    <xf numFmtId="0" fontId="24" fillId="8" borderId="22" xfId="0" applyFont="1" applyFill="1" applyBorder="1" applyAlignment="1">
      <alignment horizontal="center" vertical="center" wrapText="1"/>
    </xf>
    <xf numFmtId="0" fontId="39" fillId="6" borderId="119" xfId="0" applyFont="1" applyFill="1" applyBorder="1" applyAlignment="1" applyProtection="1">
      <alignment horizontal="left" vertical="center" wrapText="1"/>
      <protection locked="0"/>
    </xf>
    <xf numFmtId="0" fontId="0" fillId="0" borderId="119" xfId="0" applyBorder="1" applyAlignment="1" applyProtection="1">
      <alignment vertical="center" wrapText="1"/>
      <protection locked="0"/>
    </xf>
    <xf numFmtId="0" fontId="19" fillId="5" borderId="16" xfId="0" applyFont="1" applyFill="1" applyBorder="1" applyAlignment="1">
      <alignment horizontal="left" vertical="top" wrapText="1" indent="1"/>
    </xf>
    <xf numFmtId="0" fontId="19" fillId="5" borderId="15" xfId="0" applyFont="1" applyFill="1" applyBorder="1" applyAlignment="1">
      <alignment horizontal="left" vertical="top" wrapText="1" indent="1"/>
    </xf>
    <xf numFmtId="0" fontId="25" fillId="5" borderId="16" xfId="0" applyFont="1" applyFill="1" applyBorder="1" applyAlignment="1">
      <alignment horizontal="left" vertical="top" wrapText="1" indent="1"/>
    </xf>
    <xf numFmtId="0" fontId="24" fillId="8" borderId="20" xfId="0" applyFont="1" applyFill="1" applyBorder="1" applyAlignment="1">
      <alignment horizontal="center" vertical="center" wrapText="1"/>
    </xf>
    <xf numFmtId="0" fontId="24" fillId="0" borderId="0" xfId="0" applyFont="1" applyAlignment="1">
      <alignment horizontal="left" vertical="center" wrapText="1"/>
    </xf>
    <xf numFmtId="3" fontId="99" fillId="0" borderId="0" xfId="0" applyNumberFormat="1" applyFont="1" applyAlignment="1">
      <alignment horizontal="left" vertical="center" wrapText="1"/>
    </xf>
    <xf numFmtId="3" fontId="39" fillId="6" borderId="3" xfId="0" applyNumberFormat="1" applyFont="1" applyFill="1" applyBorder="1" applyAlignment="1" applyProtection="1">
      <alignment horizontal="center" vertical="center" wrapText="1"/>
      <protection locked="0"/>
    </xf>
    <xf numFmtId="3" fontId="39" fillId="6" borderId="16" xfId="0" applyNumberFormat="1" applyFont="1" applyFill="1" applyBorder="1" applyAlignment="1" applyProtection="1">
      <alignment horizontal="center" vertical="center" wrapText="1"/>
      <protection locked="0"/>
    </xf>
    <xf numFmtId="3" fontId="39" fillId="6" borderId="15" xfId="0" applyNumberFormat="1" applyFont="1" applyFill="1" applyBorder="1" applyAlignment="1" applyProtection="1">
      <alignment horizontal="center" vertical="center" wrapText="1"/>
      <protection locked="0"/>
    </xf>
    <xf numFmtId="0" fontId="1" fillId="4" borderId="4" xfId="0" applyFont="1" applyFill="1" applyBorder="1" applyAlignment="1">
      <alignment horizontal="left" vertical="center" wrapText="1" indent="1"/>
    </xf>
    <xf numFmtId="0" fontId="39" fillId="6" borderId="120" xfId="0" applyFont="1" applyFill="1" applyBorder="1" applyAlignment="1" applyProtection="1">
      <alignment vertical="center" wrapText="1"/>
      <protection locked="0"/>
    </xf>
    <xf numFmtId="0" fontId="0" fillId="0" borderId="121" xfId="0" applyBorder="1" applyAlignment="1" applyProtection="1">
      <alignment vertical="center" wrapText="1"/>
      <protection locked="0"/>
    </xf>
    <xf numFmtId="0" fontId="0" fillId="0" borderId="122" xfId="0" applyBorder="1" applyAlignment="1" applyProtection="1">
      <alignment vertical="center" wrapText="1"/>
      <protection locked="0"/>
    </xf>
    <xf numFmtId="0" fontId="1" fillId="0" borderId="4" xfId="0" applyFont="1" applyBorder="1" applyAlignment="1">
      <alignment horizontal="center" vertical="center" wrapText="1"/>
    </xf>
    <xf numFmtId="0" fontId="24" fillId="4" borderId="35" xfId="0" applyFont="1" applyFill="1" applyBorder="1" applyAlignment="1">
      <alignment horizontal="center" vertical="center" wrapText="1"/>
    </xf>
    <xf numFmtId="0" fontId="24" fillId="4" borderId="28" xfId="0" applyFont="1" applyFill="1" applyBorder="1" applyAlignment="1">
      <alignment horizontal="center" vertical="center" wrapText="1"/>
    </xf>
    <xf numFmtId="0" fontId="24" fillId="4" borderId="29" xfId="0" applyFont="1" applyFill="1" applyBorder="1" applyAlignment="1">
      <alignment horizontal="center" vertical="center" wrapText="1"/>
    </xf>
    <xf numFmtId="0" fontId="34" fillId="4" borderId="3" xfId="0" applyFont="1" applyFill="1" applyBorder="1" applyAlignment="1">
      <alignment horizontal="left" vertical="center" wrapText="1" indent="1"/>
    </xf>
    <xf numFmtId="0" fontId="34" fillId="4" borderId="15" xfId="0" applyFont="1" applyFill="1" applyBorder="1" applyAlignment="1">
      <alignment horizontal="left" vertical="center" wrapText="1" indent="1"/>
    </xf>
    <xf numFmtId="0" fontId="24" fillId="4" borderId="3" xfId="0" applyFont="1" applyFill="1" applyBorder="1" applyAlignment="1">
      <alignment horizontal="left" vertical="center" wrapText="1" indent="1"/>
    </xf>
    <xf numFmtId="0" fontId="24" fillId="4" borderId="16" xfId="0" applyFont="1" applyFill="1" applyBorder="1" applyAlignment="1">
      <alignment horizontal="left" vertical="center" wrapText="1" indent="1"/>
    </xf>
    <xf numFmtId="0" fontId="24" fillId="4" borderId="15" xfId="0" applyFont="1" applyFill="1" applyBorder="1" applyAlignment="1">
      <alignment horizontal="left" vertical="center" wrapText="1" indent="1"/>
    </xf>
    <xf numFmtId="0" fontId="1" fillId="6" borderId="3" xfId="0" applyFont="1" applyFill="1" applyBorder="1" applyAlignment="1" applyProtection="1">
      <alignment horizontal="center" vertical="center" wrapText="1"/>
      <protection locked="0"/>
    </xf>
    <xf numFmtId="0" fontId="1" fillId="6" borderId="16" xfId="0" applyFont="1" applyFill="1" applyBorder="1" applyAlignment="1" applyProtection="1">
      <alignment horizontal="center" vertical="center" wrapText="1"/>
      <protection locked="0"/>
    </xf>
    <xf numFmtId="0" fontId="1" fillId="6" borderId="15" xfId="0" applyFont="1" applyFill="1" applyBorder="1" applyAlignment="1" applyProtection="1">
      <alignment horizontal="center" vertical="center" wrapText="1"/>
      <protection locked="0"/>
    </xf>
    <xf numFmtId="0" fontId="11" fillId="4" borderId="4" xfId="0" applyFont="1" applyFill="1" applyBorder="1" applyAlignment="1">
      <alignment horizontal="left" vertical="center" wrapText="1" indent="1"/>
    </xf>
    <xf numFmtId="0" fontId="11" fillId="4" borderId="38" xfId="0" applyFont="1" applyFill="1" applyBorder="1" applyAlignment="1">
      <alignment horizontal="center" vertical="center" wrapText="1"/>
    </xf>
    <xf numFmtId="0" fontId="11" fillId="4" borderId="47" xfId="0" applyFont="1" applyFill="1" applyBorder="1" applyAlignment="1">
      <alignment horizontal="center" vertical="center" wrapText="1"/>
    </xf>
    <xf numFmtId="0" fontId="11" fillId="4" borderId="39" xfId="0" applyFont="1" applyFill="1" applyBorder="1" applyAlignment="1">
      <alignment horizontal="center" vertical="center" wrapText="1"/>
    </xf>
    <xf numFmtId="0" fontId="11" fillId="4" borderId="20" xfId="0" applyFont="1" applyFill="1" applyBorder="1" applyAlignment="1">
      <alignment horizontal="center" vertical="center" wrapText="1"/>
    </xf>
    <xf numFmtId="0" fontId="11" fillId="4" borderId="21" xfId="0" applyFont="1" applyFill="1" applyBorder="1" applyAlignment="1">
      <alignment horizontal="center" vertical="center" wrapText="1"/>
    </xf>
    <xf numFmtId="0" fontId="11" fillId="4" borderId="22" xfId="0" applyFont="1" applyFill="1" applyBorder="1" applyAlignment="1">
      <alignment horizontal="center" vertical="center" wrapText="1"/>
    </xf>
    <xf numFmtId="0" fontId="11" fillId="4" borderId="0" xfId="0" applyFont="1" applyFill="1" applyAlignment="1">
      <alignment horizontal="center" vertical="center" wrapText="1"/>
    </xf>
    <xf numFmtId="0" fontId="11" fillId="4" borderId="33" xfId="0" applyFont="1" applyFill="1" applyBorder="1" applyAlignment="1">
      <alignment horizontal="center" vertical="center" wrapText="1"/>
    </xf>
    <xf numFmtId="0" fontId="11" fillId="4" borderId="30" xfId="0" applyFont="1" applyFill="1" applyBorder="1" applyAlignment="1">
      <alignment horizontal="center" vertical="center" wrapText="1"/>
    </xf>
    <xf numFmtId="0" fontId="11" fillId="8" borderId="38" xfId="0" applyFont="1" applyFill="1" applyBorder="1" applyAlignment="1">
      <alignment horizontal="center" vertical="center" wrapText="1"/>
    </xf>
    <xf numFmtId="0" fontId="11" fillId="8" borderId="47" xfId="0" applyFont="1" applyFill="1" applyBorder="1" applyAlignment="1">
      <alignment horizontal="center" vertical="center" wrapText="1"/>
    </xf>
    <xf numFmtId="0" fontId="11" fillId="8" borderId="101" xfId="0" applyFont="1" applyFill="1" applyBorder="1" applyAlignment="1">
      <alignment horizontal="center" vertical="center" wrapText="1"/>
    </xf>
    <xf numFmtId="0" fontId="11" fillId="8" borderId="49" xfId="0" applyFont="1" applyFill="1" applyBorder="1" applyAlignment="1">
      <alignment horizontal="center" vertical="center" wrapText="1"/>
    </xf>
    <xf numFmtId="0" fontId="0" fillId="0" borderId="47" xfId="0" applyBorder="1" applyAlignment="1">
      <alignment horizontal="center" vertical="center" wrapText="1"/>
    </xf>
    <xf numFmtId="0" fontId="0" fillId="0" borderId="39" xfId="0" applyBorder="1" applyAlignment="1">
      <alignment horizontal="center" vertical="center" wrapText="1"/>
    </xf>
    <xf numFmtId="169" fontId="25" fillId="6" borderId="41" xfId="0" applyNumberFormat="1" applyFont="1" applyFill="1" applyBorder="1" applyAlignment="1" applyProtection="1">
      <alignment horizontal="right" vertical="center" wrapText="1"/>
      <protection locked="0"/>
    </xf>
    <xf numFmtId="0" fontId="0" fillId="4" borderId="21" xfId="0" applyFill="1" applyBorder="1"/>
    <xf numFmtId="0" fontId="0" fillId="4" borderId="23" xfId="0" applyFill="1" applyBorder="1"/>
    <xf numFmtId="0" fontId="0" fillId="4" borderId="24" xfId="0" applyFill="1" applyBorder="1"/>
    <xf numFmtId="0" fontId="34" fillId="4" borderId="21" xfId="0" applyFont="1" applyFill="1" applyBorder="1" applyAlignment="1">
      <alignment horizontal="center" vertical="center"/>
    </xf>
    <xf numFmtId="0" fontId="0" fillId="4" borderId="21" xfId="0" applyFill="1" applyBorder="1" applyAlignment="1">
      <alignment vertical="center"/>
    </xf>
    <xf numFmtId="0" fontId="0" fillId="0" borderId="22" xfId="0" applyBorder="1"/>
    <xf numFmtId="2" fontId="39" fillId="5" borderId="148" xfId="0" applyNumberFormat="1" applyFont="1" applyFill="1" applyBorder="1" applyAlignment="1">
      <alignment horizontal="center" vertical="center" wrapText="1"/>
    </xf>
    <xf numFmtId="0" fontId="39" fillId="0" borderId="148" xfId="0" applyFont="1" applyBorder="1" applyAlignment="1">
      <alignment vertical="center"/>
    </xf>
    <xf numFmtId="0" fontId="39" fillId="0" borderId="148" xfId="0" applyFont="1" applyBorder="1"/>
    <xf numFmtId="0" fontId="39" fillId="0" borderId="149" xfId="0" applyFont="1" applyBorder="1"/>
    <xf numFmtId="4" fontId="39" fillId="0" borderId="148" xfId="0" applyNumberFormat="1" applyFont="1" applyBorder="1" applyAlignment="1">
      <alignment horizontal="center" vertical="center" wrapText="1"/>
    </xf>
    <xf numFmtId="0" fontId="11" fillId="4" borderId="196" xfId="0" applyFont="1" applyFill="1" applyBorder="1" applyAlignment="1">
      <alignment horizontal="center" vertical="center" wrapText="1"/>
    </xf>
    <xf numFmtId="0" fontId="0" fillId="0" borderId="196" xfId="0" applyBorder="1"/>
    <xf numFmtId="0" fontId="39" fillId="6" borderId="119" xfId="0" applyFont="1" applyFill="1" applyBorder="1" applyAlignment="1" applyProtection="1">
      <alignment horizontal="center" vertical="center"/>
      <protection locked="0"/>
    </xf>
    <xf numFmtId="0" fontId="0" fillId="0" borderId="119" xfId="0" applyBorder="1" applyProtection="1">
      <protection locked="0"/>
    </xf>
    <xf numFmtId="0" fontId="0" fillId="0" borderId="146" xfId="0" applyBorder="1" applyProtection="1">
      <protection locked="0"/>
    </xf>
    <xf numFmtId="0" fontId="25" fillId="5" borderId="28" xfId="0" applyFont="1" applyFill="1" applyBorder="1" applyAlignment="1">
      <alignment horizontal="left" vertical="top" wrapText="1" indent="1"/>
    </xf>
    <xf numFmtId="0" fontId="19" fillId="5" borderId="29" xfId="0" applyFont="1" applyFill="1" applyBorder="1" applyAlignment="1">
      <alignment horizontal="left" indent="1"/>
    </xf>
    <xf numFmtId="3" fontId="39" fillId="6" borderId="119" xfId="0" applyNumberFormat="1" applyFont="1" applyFill="1" applyBorder="1" applyAlignment="1" applyProtection="1">
      <alignment horizontal="center" vertical="center" wrapText="1"/>
      <protection locked="0"/>
    </xf>
    <xf numFmtId="0" fontId="0" fillId="0" borderId="119" xfId="0" applyBorder="1" applyAlignment="1" applyProtection="1">
      <alignment horizontal="center"/>
      <protection locked="0"/>
    </xf>
    <xf numFmtId="0" fontId="0" fillId="0" borderId="146" xfId="0" applyBorder="1" applyAlignment="1" applyProtection="1">
      <alignment horizontal="center"/>
      <protection locked="0"/>
    </xf>
    <xf numFmtId="0" fontId="39" fillId="0" borderId="119" xfId="0" applyFont="1" applyBorder="1" applyAlignment="1" applyProtection="1">
      <alignment horizontal="center" vertical="center" wrapText="1"/>
      <protection hidden="1"/>
    </xf>
    <xf numFmtId="0" fontId="39" fillId="6" borderId="148" xfId="0" applyFont="1" applyFill="1" applyBorder="1" applyAlignment="1" applyProtection="1">
      <alignment horizontal="center" vertical="center"/>
      <protection locked="0"/>
    </xf>
    <xf numFmtId="0" fontId="0" fillId="0" borderId="148" xfId="0" applyBorder="1" applyProtection="1">
      <protection locked="0"/>
    </xf>
    <xf numFmtId="0" fontId="39" fillId="6" borderId="148" xfId="0" applyFont="1" applyFill="1" applyBorder="1" applyAlignment="1" applyProtection="1">
      <alignment horizontal="left" vertical="center"/>
      <protection locked="0"/>
    </xf>
    <xf numFmtId="0" fontId="21" fillId="5" borderId="28" xfId="0" applyFont="1" applyFill="1" applyBorder="1" applyAlignment="1">
      <alignment horizontal="left" vertical="top" wrapText="1" indent="1"/>
    </xf>
    <xf numFmtId="0" fontId="0" fillId="5" borderId="28" xfId="0" applyFill="1" applyBorder="1" applyAlignment="1">
      <alignment horizontal="left" indent="1"/>
    </xf>
    <xf numFmtId="3" fontId="39" fillId="0" borderId="119" xfId="0" applyNumberFormat="1" applyFont="1" applyBorder="1" applyAlignment="1">
      <alignment horizontal="center" vertical="center" wrapText="1"/>
    </xf>
    <xf numFmtId="0" fontId="0" fillId="0" borderId="119" xfId="0" applyBorder="1" applyAlignment="1">
      <alignment horizontal="center"/>
    </xf>
    <xf numFmtId="0" fontId="0" fillId="0" borderId="25" xfId="0" applyBorder="1"/>
    <xf numFmtId="0" fontId="25" fillId="6" borderId="145" xfId="0" applyFont="1" applyFill="1" applyBorder="1" applyAlignment="1" applyProtection="1">
      <alignment horizontal="left" vertical="center" wrapText="1"/>
      <protection locked="0"/>
    </xf>
    <xf numFmtId="0" fontId="25" fillId="6" borderId="119" xfId="0" applyFont="1" applyFill="1" applyBorder="1" applyAlignment="1" applyProtection="1">
      <alignment horizontal="left" vertical="center" wrapText="1"/>
      <protection locked="0"/>
    </xf>
    <xf numFmtId="0" fontId="25" fillId="6" borderId="198" xfId="0" applyFont="1" applyFill="1" applyBorder="1" applyAlignment="1" applyProtection="1">
      <alignment horizontal="left" vertical="center" wrapText="1"/>
      <protection locked="0"/>
    </xf>
    <xf numFmtId="0" fontId="25" fillId="6" borderId="124" xfId="0" applyFont="1" applyFill="1" applyBorder="1" applyAlignment="1" applyProtection="1">
      <alignment horizontal="left" vertical="center" wrapText="1"/>
      <protection locked="0"/>
    </xf>
    <xf numFmtId="0" fontId="39" fillId="0" borderId="124" xfId="0" applyFont="1" applyBorder="1" applyAlignment="1" applyProtection="1">
      <alignment horizontal="center" vertical="center" wrapText="1"/>
      <protection hidden="1"/>
    </xf>
    <xf numFmtId="0" fontId="4" fillId="4" borderId="27" xfId="0" applyFont="1" applyFill="1" applyBorder="1" applyAlignment="1">
      <alignment horizontal="left" vertical="center" wrapText="1"/>
    </xf>
    <xf numFmtId="0" fontId="28" fillId="4" borderId="28" xfId="0" applyFont="1" applyFill="1" applyBorder="1" applyAlignment="1">
      <alignment horizontal="left" vertical="center" wrapText="1"/>
    </xf>
    <xf numFmtId="0" fontId="0" fillId="0" borderId="28" xfId="0" applyBorder="1"/>
    <xf numFmtId="0" fontId="28" fillId="0" borderId="0" xfId="0" applyFont="1" applyAlignment="1">
      <alignment horizontal="left" vertical="top" wrapText="1"/>
    </xf>
    <xf numFmtId="0" fontId="0" fillId="0" borderId="0" xfId="0"/>
    <xf numFmtId="4" fontId="39" fillId="0" borderId="119" xfId="0" applyNumberFormat="1" applyFont="1" applyBorder="1" applyAlignment="1">
      <alignment horizontal="right" vertical="center" wrapText="1"/>
    </xf>
    <xf numFmtId="0" fontId="0" fillId="0" borderId="119" xfId="0" applyBorder="1"/>
    <xf numFmtId="4" fontId="39" fillId="0" borderId="128" xfId="0" applyNumberFormat="1" applyFont="1" applyBorder="1" applyAlignment="1">
      <alignment horizontal="right" vertical="center" wrapText="1"/>
    </xf>
    <xf numFmtId="0" fontId="0" fillId="0" borderId="128" xfId="0" applyBorder="1"/>
    <xf numFmtId="0" fontId="39" fillId="0" borderId="119" xfId="0" applyFont="1" applyBorder="1" applyAlignment="1">
      <alignment horizontal="center" vertical="center" wrapText="1"/>
    </xf>
    <xf numFmtId="0" fontId="25" fillId="0" borderId="200" xfId="0" applyFont="1" applyBorder="1" applyAlignment="1">
      <alignment horizontal="left" vertical="center" wrapText="1" indent="1"/>
    </xf>
    <xf numFmtId="0" fontId="25" fillId="0" borderId="128" xfId="0" applyFont="1" applyBorder="1" applyAlignment="1">
      <alignment horizontal="left" vertical="center" wrapText="1" indent="1"/>
    </xf>
    <xf numFmtId="0" fontId="39" fillId="0" borderId="128" xfId="0" applyFont="1" applyBorder="1" applyAlignment="1">
      <alignment horizontal="center" vertical="center" wrapText="1"/>
    </xf>
    <xf numFmtId="0" fontId="25" fillId="0" borderId="145" xfId="0" applyFont="1" applyBorder="1" applyAlignment="1">
      <alignment horizontal="left" vertical="center" wrapText="1" indent="1"/>
    </xf>
    <xf numFmtId="0" fontId="25" fillId="0" borderId="119" xfId="0" applyFont="1" applyBorder="1" applyAlignment="1">
      <alignment horizontal="left" vertical="center" wrapText="1" indent="1"/>
    </xf>
    <xf numFmtId="3" fontId="39" fillId="6" borderId="128" xfId="0" applyNumberFormat="1" applyFont="1" applyFill="1" applyBorder="1" applyAlignment="1" applyProtection="1">
      <alignment horizontal="right" vertical="center" wrapText="1"/>
      <protection locked="0"/>
    </xf>
    <xf numFmtId="0" fontId="0" fillId="0" borderId="128" xfId="0" applyBorder="1" applyProtection="1">
      <protection locked="0"/>
    </xf>
    <xf numFmtId="0" fontId="0" fillId="0" borderId="201" xfId="0" applyBorder="1" applyProtection="1">
      <protection locked="0"/>
    </xf>
    <xf numFmtId="0" fontId="11" fillId="8" borderId="192" xfId="0" applyFont="1" applyFill="1" applyBorder="1" applyAlignment="1">
      <alignment horizontal="left" vertical="center" indent="1"/>
    </xf>
    <xf numFmtId="0" fontId="11" fillId="8" borderId="194" xfId="0" applyFont="1" applyFill="1" applyBorder="1" applyAlignment="1">
      <alignment horizontal="left" vertical="center" indent="1"/>
    </xf>
    <xf numFmtId="3" fontId="39" fillId="0" borderId="194" xfId="0" applyNumberFormat="1" applyFont="1" applyBorder="1" applyAlignment="1">
      <alignment horizontal="center" vertical="center" wrapText="1"/>
    </xf>
    <xf numFmtId="0" fontId="0" fillId="0" borderId="194" xfId="0" applyBorder="1" applyAlignment="1">
      <alignment horizontal="center"/>
    </xf>
    <xf numFmtId="0" fontId="0" fillId="5" borderId="29" xfId="0" applyFill="1" applyBorder="1" applyAlignment="1">
      <alignment horizontal="left" indent="1"/>
    </xf>
    <xf numFmtId="0" fontId="24" fillId="8" borderId="203" xfId="0" applyFont="1" applyFill="1" applyBorder="1" applyAlignment="1">
      <alignment horizontal="center" vertical="center" wrapText="1"/>
    </xf>
    <xf numFmtId="0" fontId="0" fillId="0" borderId="204" xfId="0" applyBorder="1"/>
    <xf numFmtId="0" fontId="0" fillId="0" borderId="205" xfId="0" applyBorder="1"/>
    <xf numFmtId="0" fontId="11" fillId="8" borderId="206" xfId="0" applyFont="1" applyFill="1" applyBorder="1" applyAlignment="1">
      <alignment horizontal="center" vertical="center" wrapText="1"/>
    </xf>
    <xf numFmtId="0" fontId="0" fillId="0" borderId="207" xfId="0" applyBorder="1"/>
    <xf numFmtId="0" fontId="0" fillId="0" borderId="208" xfId="0" applyBorder="1"/>
    <xf numFmtId="0" fontId="0" fillId="0" borderId="193" xfId="0" applyBorder="1" applyAlignment="1">
      <alignment horizontal="center"/>
    </xf>
    <xf numFmtId="0" fontId="11" fillId="8" borderId="23" xfId="0" applyFont="1" applyFill="1" applyBorder="1" applyAlignment="1">
      <alignment horizontal="center" vertical="center" wrapText="1"/>
    </xf>
    <xf numFmtId="0" fontId="0" fillId="0" borderId="9" xfId="0" applyBorder="1" applyAlignment="1" applyProtection="1">
      <alignment vertical="center" wrapText="1"/>
      <protection locked="0"/>
    </xf>
    <xf numFmtId="0" fontId="0" fillId="0" borderId="10" xfId="0" applyBorder="1" applyAlignment="1" applyProtection="1">
      <alignment vertical="center" wrapText="1"/>
      <protection locked="0"/>
    </xf>
    <xf numFmtId="0" fontId="24" fillId="8" borderId="194" xfId="0" applyFont="1" applyFill="1" applyBorder="1" applyAlignment="1">
      <alignment horizontal="center" vertical="center" wrapText="1"/>
    </xf>
    <xf numFmtId="0" fontId="0" fillId="0" borderId="194" xfId="0" applyBorder="1"/>
    <xf numFmtId="172" fontId="39" fillId="0" borderId="148" xfId="0" applyNumberFormat="1" applyFont="1" applyBorder="1" applyAlignment="1">
      <alignment horizontal="right" vertical="center" wrapText="1"/>
    </xf>
    <xf numFmtId="0" fontId="0" fillId="0" borderId="148" xfId="0" applyBorder="1"/>
    <xf numFmtId="0" fontId="0" fillId="0" borderId="193" xfId="0" applyBorder="1"/>
    <xf numFmtId="0" fontId="0" fillId="0" borderId="149" xfId="0" applyBorder="1"/>
    <xf numFmtId="0" fontId="39" fillId="6" borderId="119" xfId="0" applyFont="1" applyFill="1" applyBorder="1" applyAlignment="1" applyProtection="1">
      <alignment horizontal="center" vertical="center" wrapText="1"/>
      <protection locked="0"/>
    </xf>
    <xf numFmtId="4" fontId="39" fillId="0" borderId="194" xfId="0" applyNumberFormat="1" applyFont="1" applyBorder="1" applyAlignment="1">
      <alignment horizontal="right" vertical="center" wrapText="1"/>
    </xf>
    <xf numFmtId="3" fontId="39" fillId="6" borderId="119" xfId="0" applyNumberFormat="1" applyFont="1" applyFill="1" applyBorder="1" applyAlignment="1" applyProtection="1">
      <alignment horizontal="right" vertical="center" wrapText="1"/>
      <protection locked="0"/>
    </xf>
    <xf numFmtId="0" fontId="28" fillId="0" borderId="0" xfId="0" applyFont="1" applyAlignment="1">
      <alignment horizontal="left" vertical="center" wrapText="1"/>
    </xf>
    <xf numFmtId="0" fontId="11" fillId="4" borderId="192" xfId="0" applyFont="1" applyFill="1" applyBorder="1" applyAlignment="1">
      <alignment horizontal="left" vertical="center" wrapText="1" indent="1"/>
    </xf>
    <xf numFmtId="0" fontId="11" fillId="4" borderId="194" xfId="0" applyFont="1" applyFill="1" applyBorder="1" applyAlignment="1">
      <alignment horizontal="left" vertical="center" wrapText="1" indent="1"/>
    </xf>
    <xf numFmtId="0" fontId="24" fillId="8" borderId="192" xfId="0" applyFont="1" applyFill="1" applyBorder="1" applyAlignment="1">
      <alignment horizontal="center" vertical="center" wrapText="1"/>
    </xf>
    <xf numFmtId="3" fontId="39" fillId="0" borderId="194" xfId="0" applyNumberFormat="1" applyFont="1" applyBorder="1" applyAlignment="1">
      <alignment horizontal="right" vertical="center" wrapText="1"/>
    </xf>
    <xf numFmtId="0" fontId="4" fillId="4" borderId="147" xfId="0" applyFont="1" applyFill="1" applyBorder="1" applyAlignment="1">
      <alignment horizontal="left" vertical="center" wrapText="1" indent="1"/>
    </xf>
    <xf numFmtId="0" fontId="28" fillId="4" borderId="148" xfId="0" applyFont="1" applyFill="1" applyBorder="1" applyAlignment="1">
      <alignment horizontal="left" vertical="center" wrapText="1" indent="1"/>
    </xf>
    <xf numFmtId="0" fontId="106" fillId="6" borderId="28" xfId="0" applyFont="1" applyFill="1" applyBorder="1" applyAlignment="1" applyProtection="1">
      <alignment horizontal="right" vertical="center" wrapText="1" indent="2"/>
      <protection locked="0"/>
    </xf>
    <xf numFmtId="0" fontId="0" fillId="0" borderId="28" xfId="0" applyBorder="1" applyAlignment="1">
      <alignment horizontal="right" indent="2"/>
    </xf>
    <xf numFmtId="0" fontId="0" fillId="0" borderId="29" xfId="0" applyBorder="1" applyAlignment="1">
      <alignment horizontal="right" indent="2"/>
    </xf>
    <xf numFmtId="0" fontId="25" fillId="5" borderId="29" xfId="0" applyFont="1" applyFill="1" applyBorder="1" applyAlignment="1">
      <alignment horizontal="left" vertical="top" wrapText="1" indent="1"/>
    </xf>
    <xf numFmtId="0" fontId="25" fillId="5" borderId="27" xfId="0" applyFont="1" applyFill="1" applyBorder="1" applyAlignment="1">
      <alignment horizontal="left" vertical="top" wrapText="1" indent="1"/>
    </xf>
    <xf numFmtId="0" fontId="25" fillId="5" borderId="27" xfId="0" applyFont="1" applyFill="1" applyBorder="1" applyAlignment="1">
      <alignment horizontal="left" vertical="center" wrapText="1" indent="1"/>
    </xf>
    <xf numFmtId="0" fontId="25" fillId="5" borderId="28" xfId="0" applyFont="1" applyFill="1" applyBorder="1" applyAlignment="1">
      <alignment horizontal="left" vertical="center" wrapText="1" indent="1"/>
    </xf>
    <xf numFmtId="0" fontId="25" fillId="5" borderId="29" xfId="0" applyFont="1" applyFill="1" applyBorder="1" applyAlignment="1">
      <alignment horizontal="left" vertical="center" wrapText="1" indent="1"/>
    </xf>
    <xf numFmtId="0" fontId="2" fillId="0" borderId="0" xfId="0" applyFont="1" applyAlignment="1">
      <alignment horizontal="left" vertical="top" wrapText="1"/>
    </xf>
    <xf numFmtId="0" fontId="0" fillId="0" borderId="119" xfId="0" applyBorder="1" applyAlignment="1" applyProtection="1">
      <alignment vertical="center"/>
      <protection locked="0"/>
    </xf>
    <xf numFmtId="0" fontId="0" fillId="0" borderId="146" xfId="0" applyBorder="1" applyAlignment="1" applyProtection="1">
      <alignment vertical="center"/>
      <protection locked="0"/>
    </xf>
    <xf numFmtId="0" fontId="1" fillId="4" borderId="119" xfId="0" applyFont="1" applyFill="1" applyBorder="1" applyAlignment="1">
      <alignment horizontal="center" vertical="center" wrapText="1"/>
    </xf>
    <xf numFmtId="0" fontId="39" fillId="6" borderId="28" xfId="0" applyFont="1" applyFill="1" applyBorder="1" applyAlignment="1" applyProtection="1">
      <alignment horizontal="center" vertical="center" wrapText="1"/>
      <protection locked="0"/>
    </xf>
    <xf numFmtId="0" fontId="0" fillId="0" borderId="29" xfId="0" applyBorder="1" applyProtection="1">
      <protection locked="0"/>
    </xf>
    <xf numFmtId="0" fontId="11" fillId="8" borderId="27" xfId="0" applyFont="1" applyFill="1" applyBorder="1" applyAlignment="1">
      <alignment horizontal="left" vertical="center" wrapText="1"/>
    </xf>
    <xf numFmtId="0" fontId="11" fillId="8" borderId="27" xfId="0" applyFont="1" applyFill="1" applyBorder="1" applyAlignment="1" applyProtection="1">
      <alignment horizontal="left" vertical="center" wrapText="1"/>
      <protection locked="0"/>
    </xf>
    <xf numFmtId="0" fontId="28" fillId="4" borderId="4" xfId="0" applyFont="1" applyFill="1" applyBorder="1" applyAlignment="1">
      <alignment horizontal="center" vertical="center" wrapText="1"/>
    </xf>
    <xf numFmtId="0" fontId="0" fillId="0" borderId="4" xfId="0" applyBorder="1" applyAlignment="1">
      <alignment vertical="center"/>
    </xf>
    <xf numFmtId="0" fontId="1" fillId="4" borderId="4" xfId="0" applyFont="1" applyFill="1" applyBorder="1" applyAlignment="1">
      <alignment horizontal="center" vertical="center" wrapText="1"/>
    </xf>
    <xf numFmtId="0" fontId="0" fillId="0" borderId="4" xfId="0" applyBorder="1"/>
    <xf numFmtId="2" fontId="28" fillId="0" borderId="4" xfId="0" applyNumberFormat="1" applyFont="1" applyBorder="1" applyAlignment="1">
      <alignment horizontal="center" vertical="center"/>
    </xf>
    <xf numFmtId="0" fontId="25" fillId="6" borderId="119" xfId="0" applyFont="1" applyFill="1" applyBorder="1" applyAlignment="1" applyProtection="1">
      <alignment horizontal="left" vertical="center"/>
      <protection locked="0"/>
    </xf>
    <xf numFmtId="3" fontId="39" fillId="6" borderId="163" xfId="0" applyNumberFormat="1" applyFont="1" applyFill="1" applyBorder="1" applyAlignment="1" applyProtection="1">
      <alignment horizontal="center" vertical="center" wrapText="1"/>
      <protection locked="0"/>
    </xf>
    <xf numFmtId="3" fontId="39" fillId="6" borderId="127" xfId="0" applyNumberFormat="1" applyFont="1" applyFill="1" applyBorder="1" applyAlignment="1" applyProtection="1">
      <alignment horizontal="center" vertical="center" wrapText="1"/>
      <protection locked="0"/>
    </xf>
    <xf numFmtId="3" fontId="39" fillId="6" borderId="211" xfId="0" applyNumberFormat="1" applyFont="1" applyFill="1" applyBorder="1" applyAlignment="1" applyProtection="1">
      <alignment horizontal="center" vertical="center" wrapText="1"/>
      <protection locked="0"/>
    </xf>
    <xf numFmtId="2" fontId="25" fillId="6" borderId="119" xfId="0" applyNumberFormat="1" applyFont="1" applyFill="1" applyBorder="1" applyAlignment="1" applyProtection="1">
      <alignment horizontal="left" vertical="center" wrapText="1"/>
      <protection locked="0"/>
    </xf>
    <xf numFmtId="0" fontId="0" fillId="0" borderId="119" xfId="0" applyBorder="1" applyAlignment="1" applyProtection="1">
      <alignment horizontal="left" vertical="center" wrapText="1"/>
      <protection locked="0"/>
    </xf>
    <xf numFmtId="0" fontId="11" fillId="8" borderId="28" xfId="0" applyFont="1" applyFill="1" applyBorder="1" applyAlignment="1">
      <alignment horizontal="center" vertical="center" wrapText="1"/>
    </xf>
    <xf numFmtId="0" fontId="0" fillId="0" borderId="29" xfId="0" applyBorder="1"/>
    <xf numFmtId="3" fontId="39" fillId="0" borderId="24" xfId="0" applyNumberFormat="1" applyFont="1" applyBorder="1" applyAlignment="1">
      <alignment horizontal="center" vertical="center" wrapText="1"/>
    </xf>
    <xf numFmtId="0" fontId="0" fillId="0" borderId="24" xfId="0" applyBorder="1" applyAlignment="1">
      <alignment horizontal="center"/>
    </xf>
    <xf numFmtId="0" fontId="0" fillId="0" borderId="25" xfId="0" applyBorder="1" applyAlignment="1">
      <alignment horizontal="center"/>
    </xf>
    <xf numFmtId="0" fontId="0" fillId="5" borderId="28" xfId="0" applyFill="1" applyBorder="1" applyAlignment="1">
      <alignment horizontal="left" vertical="top" wrapText="1" indent="1"/>
    </xf>
    <xf numFmtId="0" fontId="11" fillId="4" borderId="196" xfId="0" applyFont="1" applyFill="1" applyBorder="1" applyAlignment="1">
      <alignment horizontal="center" vertical="center"/>
    </xf>
    <xf numFmtId="0" fontId="0" fillId="4" borderId="196" xfId="0" applyFill="1" applyBorder="1"/>
    <xf numFmtId="2" fontId="28" fillId="0" borderId="119" xfId="0" applyNumberFormat="1" applyFont="1" applyBorder="1" applyAlignment="1">
      <alignment horizontal="center" vertical="center"/>
    </xf>
    <xf numFmtId="0" fontId="39" fillId="6" borderId="13" xfId="0" applyFont="1" applyFill="1" applyBorder="1" applyAlignment="1" applyProtection="1">
      <alignment horizontal="center" vertical="center"/>
      <protection locked="0"/>
    </xf>
    <xf numFmtId="0" fontId="39" fillId="6" borderId="19" xfId="0" applyFont="1" applyFill="1" applyBorder="1" applyAlignment="1" applyProtection="1">
      <alignment horizontal="center" vertical="center"/>
      <protection locked="0"/>
    </xf>
    <xf numFmtId="0" fontId="11" fillId="4" borderId="120" xfId="0" applyFont="1" applyFill="1" applyBorder="1" applyAlignment="1">
      <alignment horizontal="left" vertical="center" wrapText="1" indent="1"/>
    </xf>
    <xf numFmtId="0" fontId="11" fillId="4" borderId="121" xfId="0" applyFont="1" applyFill="1" applyBorder="1" applyAlignment="1">
      <alignment horizontal="left" vertical="center" wrapText="1" indent="1"/>
    </xf>
    <xf numFmtId="0" fontId="11" fillId="4" borderId="122" xfId="0" applyFont="1" applyFill="1" applyBorder="1" applyAlignment="1">
      <alignment horizontal="left" vertical="center" wrapText="1" indent="1"/>
    </xf>
    <xf numFmtId="0" fontId="11" fillId="4" borderId="119" xfId="0" applyFont="1" applyFill="1" applyBorder="1" applyAlignment="1">
      <alignment vertical="center" wrapText="1"/>
    </xf>
    <xf numFmtId="169" fontId="25" fillId="6" borderId="26" xfId="0" applyNumberFormat="1" applyFont="1" applyFill="1" applyBorder="1" applyAlignment="1" applyProtection="1">
      <alignment horizontal="right" vertical="center" wrapText="1"/>
      <protection locked="0"/>
    </xf>
    <xf numFmtId="0" fontId="11" fillId="4" borderId="40" xfId="0" applyFont="1" applyFill="1" applyBorder="1" applyAlignment="1">
      <alignment horizontal="center" vertical="center" wrapText="1"/>
    </xf>
    <xf numFmtId="0" fontId="11" fillId="4" borderId="23" xfId="0" applyFont="1" applyFill="1" applyBorder="1" applyAlignment="1">
      <alignment horizontal="center" vertical="center" wrapText="1"/>
    </xf>
    <xf numFmtId="0" fontId="24" fillId="8" borderId="63" xfId="0" applyFont="1" applyFill="1" applyBorder="1" applyAlignment="1">
      <alignment horizontal="center" vertical="center" wrapText="1"/>
    </xf>
    <xf numFmtId="0" fontId="2" fillId="4" borderId="41" xfId="0" applyFont="1" applyFill="1" applyBorder="1" applyAlignment="1">
      <alignment horizontal="center" vertical="center" wrapText="1"/>
    </xf>
    <xf numFmtId="0" fontId="0" fillId="0" borderId="41" xfId="0" applyBorder="1" applyAlignment="1">
      <alignment horizontal="center" vertical="center" wrapText="1"/>
    </xf>
    <xf numFmtId="0" fontId="11" fillId="4" borderId="42" xfId="0" applyFont="1" applyFill="1" applyBorder="1" applyAlignment="1">
      <alignment horizontal="center" vertical="center" wrapText="1"/>
    </xf>
    <xf numFmtId="0" fontId="11" fillId="4" borderId="25" xfId="0" applyFont="1" applyFill="1" applyBorder="1" applyAlignment="1">
      <alignment horizontal="center" vertical="center" wrapText="1"/>
    </xf>
    <xf numFmtId="0" fontId="11" fillId="4" borderId="3" xfId="0" applyFont="1" applyFill="1" applyBorder="1" applyAlignment="1">
      <alignment horizontal="left" vertical="center" wrapText="1" indent="1"/>
    </xf>
    <xf numFmtId="0" fontId="11" fillId="4" borderId="15" xfId="0" applyFont="1" applyFill="1" applyBorder="1" applyAlignment="1">
      <alignment horizontal="left" vertical="center" wrapText="1" indent="1"/>
    </xf>
    <xf numFmtId="0" fontId="1" fillId="0" borderId="0" xfId="0" applyFont="1" applyAlignment="1">
      <alignment horizontal="center" vertical="center"/>
    </xf>
    <xf numFmtId="0" fontId="1" fillId="4" borderId="3" xfId="0" applyFont="1" applyFill="1" applyBorder="1" applyAlignment="1">
      <alignment horizontal="left" vertical="center" wrapText="1"/>
    </xf>
    <xf numFmtId="0" fontId="1" fillId="4" borderId="16" xfId="0" applyFont="1" applyFill="1" applyBorder="1" applyAlignment="1">
      <alignment horizontal="left" vertical="center" wrapText="1"/>
    </xf>
    <xf numFmtId="0" fontId="0" fillId="0" borderId="16" xfId="0" applyBorder="1"/>
    <xf numFmtId="0" fontId="0" fillId="0" borderId="15" xfId="0" applyBorder="1"/>
    <xf numFmtId="0" fontId="39" fillId="6" borderId="15" xfId="0" applyFont="1" applyFill="1" applyBorder="1" applyAlignment="1" applyProtection="1">
      <alignment horizontal="center" vertical="center"/>
      <protection locked="0"/>
    </xf>
    <xf numFmtId="0" fontId="4" fillId="4" borderId="3" xfId="0" applyFont="1" applyFill="1" applyBorder="1" applyAlignment="1">
      <alignment horizontal="left" vertical="center" wrapText="1"/>
    </xf>
    <xf numFmtId="0" fontId="28" fillId="4" borderId="16" xfId="0" applyFont="1" applyFill="1" applyBorder="1" applyAlignment="1">
      <alignment horizontal="left" vertical="center" wrapText="1"/>
    </xf>
    <xf numFmtId="0" fontId="0" fillId="4" borderId="119" xfId="0" applyFill="1" applyBorder="1"/>
    <xf numFmtId="0" fontId="1" fillId="4" borderId="119" xfId="0" applyFont="1" applyFill="1" applyBorder="1" applyAlignment="1">
      <alignment vertical="center" wrapText="1"/>
    </xf>
    <xf numFmtId="2" fontId="25" fillId="6" borderId="120" xfId="0" applyNumberFormat="1" applyFont="1" applyFill="1" applyBorder="1" applyAlignment="1" applyProtection="1">
      <alignment horizontal="center" vertical="center" wrapText="1"/>
      <protection locked="0"/>
    </xf>
    <xf numFmtId="2" fontId="25" fillId="6" borderId="121" xfId="0" applyNumberFormat="1" applyFont="1" applyFill="1" applyBorder="1" applyAlignment="1" applyProtection="1">
      <alignment horizontal="center" vertical="center" wrapText="1"/>
      <protection locked="0"/>
    </xf>
    <xf numFmtId="2" fontId="25" fillId="6" borderId="122" xfId="0" applyNumberFormat="1" applyFont="1" applyFill="1" applyBorder="1" applyAlignment="1" applyProtection="1">
      <alignment horizontal="center" vertical="center" wrapText="1"/>
      <protection locked="0"/>
    </xf>
    <xf numFmtId="0" fontId="28" fillId="0" borderId="4" xfId="0" applyFont="1" applyBorder="1" applyAlignment="1" applyProtection="1">
      <alignment horizontal="center" vertical="center"/>
      <protection locked="0"/>
    </xf>
    <xf numFmtId="2" fontId="28" fillId="5" borderId="4" xfId="0" applyNumberFormat="1" applyFont="1" applyFill="1" applyBorder="1" applyAlignment="1">
      <alignment horizontal="center" vertical="center"/>
    </xf>
    <xf numFmtId="2" fontId="25" fillId="0" borderId="194" xfId="0" applyNumberFormat="1" applyFont="1" applyBorder="1" applyAlignment="1">
      <alignment horizontal="right" vertical="center" wrapText="1"/>
    </xf>
    <xf numFmtId="0" fontId="4" fillId="8" borderId="119" xfId="0" applyFont="1" applyFill="1" applyBorder="1" applyAlignment="1">
      <alignment horizontal="center" vertical="center"/>
    </xf>
    <xf numFmtId="0" fontId="7" fillId="8" borderId="119" xfId="0" applyFont="1" applyFill="1" applyBorder="1" applyAlignment="1">
      <alignment horizontal="center" vertical="center"/>
    </xf>
    <xf numFmtId="0" fontId="0" fillId="0" borderId="119" xfId="0" applyBorder="1" applyAlignment="1">
      <alignment horizontal="center" vertical="center"/>
    </xf>
    <xf numFmtId="0" fontId="0" fillId="0" borderId="128" xfId="0" applyBorder="1" applyAlignment="1">
      <alignment horizontal="center" vertical="center"/>
    </xf>
    <xf numFmtId="0" fontId="1" fillId="4" borderId="119" xfId="0" applyFont="1" applyFill="1" applyBorder="1" applyAlignment="1">
      <alignment horizontal="center" vertical="center"/>
    </xf>
    <xf numFmtId="0" fontId="11" fillId="8" borderId="119" xfId="0" applyFont="1" applyFill="1" applyBorder="1" applyAlignment="1">
      <alignment horizontal="center" vertical="center" wrapText="1"/>
    </xf>
    <xf numFmtId="0" fontId="11" fillId="8" borderId="128" xfId="0" applyFont="1" applyFill="1" applyBorder="1" applyAlignment="1">
      <alignment horizontal="center" vertical="center" wrapText="1"/>
    </xf>
    <xf numFmtId="0" fontId="7" fillId="4" borderId="119" xfId="0" applyFont="1" applyFill="1" applyBorder="1" applyAlignment="1">
      <alignment horizontal="center" vertical="center"/>
    </xf>
    <xf numFmtId="0" fontId="2" fillId="0" borderId="0" xfId="0" applyFont="1" applyAlignment="1">
      <alignment horizontal="left" wrapText="1"/>
    </xf>
    <xf numFmtId="0" fontId="2" fillId="4" borderId="27" xfId="0" applyFont="1" applyFill="1" applyBorder="1" applyAlignment="1">
      <alignment horizontal="left" vertical="center" wrapText="1"/>
    </xf>
    <xf numFmtId="0" fontId="65" fillId="0" borderId="0" xfId="0" applyFont="1" applyAlignment="1">
      <alignment horizontal="left" vertical="center" wrapText="1"/>
    </xf>
    <xf numFmtId="0" fontId="39" fillId="6" borderId="119" xfId="0" applyFont="1" applyFill="1" applyBorder="1" applyAlignment="1" applyProtection="1">
      <alignment horizontal="left" vertical="center"/>
      <protection locked="0"/>
    </xf>
    <xf numFmtId="0" fontId="28" fillId="5" borderId="119" xfId="0" applyFont="1" applyFill="1" applyBorder="1" applyAlignment="1">
      <alignment horizontal="center" vertical="center"/>
    </xf>
    <xf numFmtId="3" fontId="39" fillId="6" borderId="119" xfId="0" applyNumberFormat="1" applyFont="1" applyFill="1" applyBorder="1" applyAlignment="1" applyProtection="1">
      <alignment horizontal="right" vertical="center"/>
      <protection locked="0"/>
    </xf>
    <xf numFmtId="3" fontId="39" fillId="6" borderId="148" xfId="0" applyNumberFormat="1" applyFont="1" applyFill="1" applyBorder="1" applyAlignment="1" applyProtection="1">
      <alignment horizontal="right" vertical="center"/>
      <protection locked="0"/>
    </xf>
    <xf numFmtId="3" fontId="39" fillId="0" borderId="24" xfId="0" applyNumberFormat="1" applyFont="1" applyBorder="1" applyAlignment="1">
      <alignment horizontal="left" vertical="center" wrapText="1"/>
    </xf>
    <xf numFmtId="0" fontId="0" fillId="0" borderId="24" xfId="0" applyBorder="1"/>
    <xf numFmtId="0" fontId="0" fillId="0" borderId="149" xfId="0" applyBorder="1" applyProtection="1">
      <protection locked="0"/>
    </xf>
    <xf numFmtId="3" fontId="39" fillId="5" borderId="147" xfId="0" applyNumberFormat="1" applyFont="1" applyFill="1" applyBorder="1" applyAlignment="1">
      <alignment horizontal="left" vertical="center" indent="1"/>
    </xf>
    <xf numFmtId="0" fontId="39" fillId="0" borderId="148" xfId="0" applyFont="1" applyBorder="1" applyAlignment="1">
      <alignment horizontal="left" indent="1"/>
    </xf>
    <xf numFmtId="0" fontId="0" fillId="4" borderId="197" xfId="0" applyFill="1" applyBorder="1"/>
    <xf numFmtId="0" fontId="7" fillId="4" borderId="151" xfId="0" applyFont="1" applyFill="1" applyBorder="1" applyAlignment="1">
      <alignment horizontal="left" vertical="center" wrapText="1"/>
    </xf>
    <xf numFmtId="0" fontId="28" fillId="4" borderId="152" xfId="0" applyFont="1" applyFill="1" applyBorder="1" applyAlignment="1">
      <alignment horizontal="left" vertical="center" wrapText="1"/>
    </xf>
    <xf numFmtId="0" fontId="0" fillId="0" borderId="152" xfId="0" applyBorder="1"/>
    <xf numFmtId="0" fontId="0" fillId="0" borderId="153" xfId="0" applyBorder="1"/>
    <xf numFmtId="4" fontId="39" fillId="5" borderId="148" xfId="0" applyNumberFormat="1" applyFont="1" applyFill="1" applyBorder="1" applyAlignment="1">
      <alignment horizontal="center" vertical="center" wrapText="1"/>
    </xf>
    <xf numFmtId="0" fontId="39" fillId="0" borderId="148" xfId="0" applyFont="1" applyBorder="1" applyAlignment="1">
      <alignment horizontal="center" vertical="center" wrapText="1"/>
    </xf>
    <xf numFmtId="0" fontId="0" fillId="0" borderId="24" xfId="0" applyBorder="1" applyAlignment="1">
      <alignment vertical="center"/>
    </xf>
    <xf numFmtId="3" fontId="28" fillId="0" borderId="119" xfId="0" applyNumberFormat="1" applyFont="1" applyBorder="1" applyAlignment="1">
      <alignment horizontal="center" vertical="center"/>
    </xf>
    <xf numFmtId="3" fontId="0" fillId="0" borderId="119" xfId="0" applyNumberFormat="1" applyBorder="1"/>
    <xf numFmtId="3" fontId="39" fillId="0" borderId="158" xfId="0" applyNumberFormat="1" applyFont="1" applyBorder="1" applyAlignment="1">
      <alignment horizontal="center" vertical="center" wrapText="1"/>
    </xf>
    <xf numFmtId="3" fontId="39" fillId="0" borderId="155" xfId="0" applyNumberFormat="1" applyFont="1" applyBorder="1" applyAlignment="1">
      <alignment horizontal="center" vertical="center" wrapText="1"/>
    </xf>
    <xf numFmtId="3" fontId="39" fillId="0" borderId="160" xfId="0" applyNumberFormat="1" applyFont="1" applyBorder="1" applyAlignment="1">
      <alignment horizontal="center" vertical="center" wrapText="1"/>
    </xf>
    <xf numFmtId="0" fontId="24" fillId="4" borderId="142" xfId="0" applyFont="1" applyFill="1" applyBorder="1" applyAlignment="1">
      <alignment horizontal="center" vertical="center" wrapText="1"/>
    </xf>
    <xf numFmtId="0" fontId="24" fillId="4" borderId="143" xfId="0" applyFont="1" applyFill="1" applyBorder="1" applyAlignment="1">
      <alignment horizontal="center" vertical="center" wrapText="1"/>
    </xf>
    <xf numFmtId="0" fontId="0" fillId="0" borderId="143" xfId="0" applyBorder="1" applyAlignment="1">
      <alignment vertical="center"/>
    </xf>
    <xf numFmtId="0" fontId="0" fillId="0" borderId="144" xfId="0" applyBorder="1" applyAlignment="1">
      <alignment vertical="center"/>
    </xf>
    <xf numFmtId="0" fontId="39" fillId="6" borderId="128" xfId="0" applyFont="1" applyFill="1" applyBorder="1" applyAlignment="1" applyProtection="1">
      <alignment horizontal="left" vertical="center" wrapText="1"/>
      <protection locked="0"/>
    </xf>
    <xf numFmtId="0" fontId="68" fillId="4" borderId="194" xfId="0" applyFont="1" applyFill="1" applyBorder="1" applyAlignment="1">
      <alignment horizontal="left" vertical="center" wrapText="1"/>
    </xf>
    <xf numFmtId="0" fontId="11" fillId="4" borderId="147" xfId="0" applyFont="1" applyFill="1" applyBorder="1" applyAlignment="1">
      <alignment horizontal="center" vertical="center" wrapText="1"/>
    </xf>
    <xf numFmtId="0" fontId="11" fillId="4" borderId="149" xfId="0" applyFont="1" applyFill="1" applyBorder="1" applyAlignment="1">
      <alignment horizontal="center" vertical="center" wrapText="1"/>
    </xf>
    <xf numFmtId="2" fontId="25" fillId="5" borderId="119" xfId="0" applyNumberFormat="1" applyFont="1" applyFill="1" applyBorder="1" applyAlignment="1">
      <alignment horizontal="right" vertical="center" wrapText="1"/>
    </xf>
    <xf numFmtId="2" fontId="25" fillId="5" borderId="128" xfId="0" applyNumberFormat="1" applyFont="1" applyFill="1" applyBorder="1" applyAlignment="1">
      <alignment horizontal="right" vertical="center" wrapText="1"/>
    </xf>
    <xf numFmtId="0" fontId="11" fillId="4" borderId="148" xfId="0" applyFont="1" applyFill="1" applyBorder="1" applyAlignment="1">
      <alignment horizontal="center" vertical="center" wrapText="1"/>
    </xf>
    <xf numFmtId="0" fontId="0" fillId="0" borderId="148" xfId="0" applyBorder="1" applyAlignment="1">
      <alignment vertical="center"/>
    </xf>
    <xf numFmtId="0" fontId="0" fillId="0" borderId="149" xfId="0" applyBorder="1" applyAlignment="1">
      <alignment vertical="center"/>
    </xf>
    <xf numFmtId="0" fontId="24" fillId="4" borderId="144" xfId="0" applyFont="1" applyFill="1" applyBorder="1" applyAlignment="1">
      <alignment horizontal="center" vertical="center" wrapText="1"/>
    </xf>
    <xf numFmtId="2" fontId="1" fillId="0" borderId="119" xfId="0" applyNumberFormat="1" applyFont="1" applyBorder="1" applyAlignment="1">
      <alignment horizontal="center" vertical="center"/>
    </xf>
    <xf numFmtId="0" fontId="39" fillId="6" borderId="28" xfId="0" applyFont="1" applyFill="1" applyBorder="1" applyAlignment="1" applyProtection="1">
      <alignment horizontal="left" vertical="center" wrapText="1"/>
      <protection locked="0"/>
    </xf>
    <xf numFmtId="0" fontId="0" fillId="0" borderId="29" xfId="0" applyBorder="1" applyAlignment="1" applyProtection="1">
      <alignment vertical="center" wrapText="1"/>
      <protection locked="0"/>
    </xf>
    <xf numFmtId="0" fontId="11" fillId="4" borderId="100" xfId="0" applyFont="1" applyFill="1" applyBorder="1" applyAlignment="1">
      <alignment horizontal="center" vertical="center" wrapText="1"/>
    </xf>
    <xf numFmtId="0" fontId="11" fillId="4" borderId="108" xfId="0" applyFont="1" applyFill="1" applyBorder="1" applyAlignment="1">
      <alignment horizontal="center" vertical="center" wrapText="1"/>
    </xf>
    <xf numFmtId="0" fontId="11" fillId="4" borderId="101" xfId="0" applyFont="1" applyFill="1" applyBorder="1" applyAlignment="1">
      <alignment horizontal="center" vertical="center" wrapText="1"/>
    </xf>
    <xf numFmtId="0" fontId="11" fillId="4" borderId="49" xfId="0" applyFont="1" applyFill="1" applyBorder="1" applyAlignment="1">
      <alignment horizontal="center" vertical="center" wrapText="1"/>
    </xf>
    <xf numFmtId="0" fontId="5" fillId="4" borderId="22" xfId="0" applyFont="1" applyFill="1" applyBorder="1" applyAlignment="1">
      <alignment horizontal="center" vertical="center" wrapText="1"/>
    </xf>
    <xf numFmtId="0" fontId="28" fillId="4" borderId="37" xfId="0" applyFont="1" applyFill="1" applyBorder="1" applyAlignment="1">
      <alignment horizontal="center" vertical="center" wrapText="1"/>
    </xf>
    <xf numFmtId="0" fontId="5" fillId="4" borderId="20" xfId="0" applyFont="1" applyFill="1" applyBorder="1" applyAlignment="1">
      <alignment horizontal="center" vertical="center"/>
    </xf>
    <xf numFmtId="0" fontId="5" fillId="4" borderId="55" xfId="0" applyFont="1" applyFill="1" applyBorder="1" applyAlignment="1">
      <alignment horizontal="center" vertical="center"/>
    </xf>
    <xf numFmtId="0" fontId="11" fillId="4" borderId="65" xfId="0" applyFont="1" applyFill="1" applyBorder="1" applyAlignment="1">
      <alignment horizontal="center" vertical="center" wrapText="1"/>
    </xf>
    <xf numFmtId="0" fontId="11" fillId="4" borderId="48" xfId="0" applyFont="1" applyFill="1" applyBorder="1" applyAlignment="1">
      <alignment horizontal="center" vertical="center" wrapText="1"/>
    </xf>
    <xf numFmtId="0" fontId="39" fillId="6" borderId="41" xfId="0" applyFont="1" applyFill="1" applyBorder="1" applyAlignment="1" applyProtection="1">
      <alignment horizontal="left" vertical="center" wrapText="1"/>
      <protection locked="0"/>
    </xf>
    <xf numFmtId="0" fontId="39" fillId="6" borderId="41" xfId="0" applyFont="1" applyFill="1" applyBorder="1" applyAlignment="1" applyProtection="1">
      <alignment horizontal="center" vertical="center" wrapText="1"/>
      <protection locked="0"/>
    </xf>
    <xf numFmtId="0" fontId="39" fillId="6" borderId="42" xfId="0" applyFont="1" applyFill="1" applyBorder="1" applyAlignment="1" applyProtection="1">
      <alignment horizontal="center" vertical="center" wrapText="1"/>
      <protection locked="0"/>
    </xf>
    <xf numFmtId="0" fontId="39" fillId="5" borderId="41" xfId="0" applyFont="1" applyFill="1" applyBorder="1" applyAlignment="1">
      <alignment horizontal="left" vertical="center" wrapText="1"/>
    </xf>
    <xf numFmtId="0" fontId="21" fillId="45" borderId="32" xfId="0" applyFont="1" applyFill="1" applyBorder="1" applyAlignment="1">
      <alignment horizontal="left" vertical="top" wrapText="1"/>
    </xf>
    <xf numFmtId="0" fontId="21" fillId="45" borderId="74" xfId="0" applyFont="1" applyFill="1" applyBorder="1" applyAlignment="1">
      <alignment horizontal="left" vertical="top" wrapText="1"/>
    </xf>
    <xf numFmtId="0" fontId="11" fillId="8" borderId="29" xfId="0" applyFont="1" applyFill="1" applyBorder="1" applyAlignment="1">
      <alignment horizontal="center" vertical="center" wrapText="1"/>
    </xf>
    <xf numFmtId="0" fontId="32" fillId="8" borderId="28" xfId="0" applyFont="1" applyFill="1" applyBorder="1" applyAlignment="1">
      <alignment horizontal="center" vertical="center"/>
    </xf>
    <xf numFmtId="0" fontId="32" fillId="8" borderId="29" xfId="0" applyFont="1" applyFill="1" applyBorder="1" applyAlignment="1">
      <alignment horizontal="center" vertical="center"/>
    </xf>
    <xf numFmtId="0" fontId="25" fillId="5" borderId="129" xfId="0" applyFont="1" applyFill="1" applyBorder="1" applyAlignment="1">
      <alignment horizontal="left" vertical="top" wrapText="1" indent="1"/>
    </xf>
    <xf numFmtId="0" fontId="25" fillId="5" borderId="35" xfId="0" applyFont="1" applyFill="1" applyBorder="1" applyAlignment="1">
      <alignment horizontal="left" vertical="top" wrapText="1" indent="1"/>
    </xf>
    <xf numFmtId="0" fontId="39" fillId="6" borderId="63" xfId="0" applyFont="1" applyFill="1" applyBorder="1" applyAlignment="1" applyProtection="1">
      <alignment horizontal="center" vertical="center" wrapText="1"/>
      <protection locked="0"/>
    </xf>
    <xf numFmtId="0" fontId="39" fillId="6" borderId="64" xfId="0" applyFont="1" applyFill="1" applyBorder="1" applyAlignment="1" applyProtection="1">
      <alignment horizontal="center" vertical="center" wrapText="1"/>
      <protection locked="0"/>
    </xf>
    <xf numFmtId="0" fontId="21" fillId="45" borderId="212" xfId="0" applyFont="1" applyFill="1" applyBorder="1" applyAlignment="1">
      <alignment horizontal="left" vertical="top" wrapText="1"/>
    </xf>
    <xf numFmtId="0" fontId="4" fillId="8" borderId="4" xfId="0" applyFont="1" applyFill="1" applyBorder="1" applyAlignment="1">
      <alignment horizontal="center" vertical="center"/>
    </xf>
    <xf numFmtId="0" fontId="1" fillId="8" borderId="4" xfId="0" applyFont="1" applyFill="1" applyBorder="1" applyAlignment="1">
      <alignment horizontal="left" vertical="center" indent="1"/>
    </xf>
    <xf numFmtId="0" fontId="39" fillId="6" borderId="26" xfId="0" applyFont="1" applyFill="1" applyBorder="1" applyAlignment="1" applyProtection="1">
      <alignment horizontal="center" vertical="center" wrapText="1"/>
      <protection locked="0"/>
    </xf>
    <xf numFmtId="0" fontId="39" fillId="6" borderId="37" xfId="0" applyFont="1" applyFill="1" applyBorder="1" applyAlignment="1" applyProtection="1">
      <alignment horizontal="center" vertical="center" wrapText="1"/>
      <protection locked="0"/>
    </xf>
    <xf numFmtId="0" fontId="28" fillId="8" borderId="27" xfId="0" applyFont="1" applyFill="1" applyBorder="1" applyAlignment="1">
      <alignment horizontal="center" vertical="center"/>
    </xf>
    <xf numFmtId="0" fontId="28" fillId="8" borderId="28" xfId="0" applyFont="1" applyFill="1" applyBorder="1" applyAlignment="1">
      <alignment horizontal="center" vertical="center"/>
    </xf>
    <xf numFmtId="0" fontId="11" fillId="8" borderId="100" xfId="0" applyFont="1" applyFill="1" applyBorder="1" applyAlignment="1">
      <alignment horizontal="center" vertical="center" wrapText="1"/>
    </xf>
    <xf numFmtId="0" fontId="4" fillId="4" borderId="28" xfId="0" applyFont="1" applyFill="1" applyBorder="1" applyAlignment="1">
      <alignment horizontal="left" vertical="center" wrapText="1"/>
    </xf>
    <xf numFmtId="0" fontId="28" fillId="4" borderId="27" xfId="0" applyFont="1" applyFill="1" applyBorder="1" applyAlignment="1">
      <alignment horizontal="left" vertical="center" wrapText="1"/>
    </xf>
    <xf numFmtId="0" fontId="39" fillId="6" borderId="27" xfId="0" applyFont="1" applyFill="1" applyBorder="1" applyAlignment="1" applyProtection="1">
      <alignment horizontal="center" vertical="top" wrapText="1"/>
      <protection locked="0"/>
    </xf>
    <xf numFmtId="0" fontId="39" fillId="6" borderId="28" xfId="0" applyFont="1" applyFill="1" applyBorder="1" applyAlignment="1" applyProtection="1">
      <alignment horizontal="center" vertical="top" wrapText="1"/>
      <protection locked="0"/>
    </xf>
    <xf numFmtId="0" fontId="39" fillId="6" borderId="29" xfId="0" applyFont="1" applyFill="1" applyBorder="1" applyAlignment="1" applyProtection="1">
      <alignment horizontal="center" vertical="top" wrapText="1"/>
      <protection locked="0"/>
    </xf>
    <xf numFmtId="0" fontId="28" fillId="0" borderId="14" xfId="0" applyFont="1" applyBorder="1" applyAlignment="1">
      <alignment horizontal="left" vertical="top" wrapText="1"/>
    </xf>
    <xf numFmtId="0" fontId="39" fillId="6" borderId="28" xfId="0" applyFont="1" applyFill="1" applyBorder="1" applyAlignment="1">
      <alignment horizontal="center" vertical="center" wrapText="1"/>
    </xf>
    <xf numFmtId="0" fontId="39" fillId="6" borderId="29" xfId="0" applyFont="1" applyFill="1" applyBorder="1" applyAlignment="1">
      <alignment horizontal="center" vertical="center" wrapText="1"/>
    </xf>
    <xf numFmtId="0" fontId="28" fillId="8" borderId="27" xfId="0" applyFont="1" applyFill="1" applyBorder="1" applyAlignment="1">
      <alignment horizontal="left" vertical="center" wrapText="1"/>
    </xf>
    <xf numFmtId="0" fontId="28" fillId="8" borderId="28" xfId="0" applyFont="1" applyFill="1" applyBorder="1" applyAlignment="1">
      <alignment horizontal="left" vertical="center" wrapText="1"/>
    </xf>
    <xf numFmtId="0" fontId="90" fillId="0" borderId="0" xfId="0" applyFont="1" applyAlignment="1">
      <alignment horizontal="left" wrapText="1"/>
    </xf>
    <xf numFmtId="0" fontId="117" fillId="0" borderId="2" xfId="0" applyFont="1" applyBorder="1" applyAlignment="1">
      <alignment horizontal="left" vertical="top" wrapText="1"/>
    </xf>
    <xf numFmtId="0" fontId="39" fillId="6" borderId="26" xfId="0" applyFont="1" applyFill="1" applyBorder="1" applyAlignment="1" applyProtection="1">
      <alignment horizontal="left" vertical="center" wrapText="1"/>
      <protection locked="0"/>
    </xf>
    <xf numFmtId="0" fontId="28" fillId="8" borderId="27" xfId="0" applyFont="1" applyFill="1" applyBorder="1" applyAlignment="1">
      <alignment horizontal="left" vertical="center" indent="1"/>
    </xf>
    <xf numFmtId="0" fontId="28" fillId="8" borderId="28" xfId="0" applyFont="1" applyFill="1" applyBorder="1" applyAlignment="1">
      <alignment horizontal="left" vertical="center" indent="1"/>
    </xf>
    <xf numFmtId="0" fontId="99" fillId="0" borderId="128" xfId="0" applyFont="1" applyBorder="1" applyAlignment="1">
      <alignment horizontal="left" vertical="center" wrapText="1" indent="1"/>
    </xf>
    <xf numFmtId="0" fontId="99" fillId="0" borderId="161" xfId="0" applyFont="1" applyBorder="1" applyAlignment="1">
      <alignment horizontal="left" vertical="center" wrapText="1" indent="1"/>
    </xf>
    <xf numFmtId="0" fontId="39" fillId="5" borderId="162" xfId="0" applyFont="1" applyFill="1" applyBorder="1" applyAlignment="1">
      <alignment horizontal="right" vertical="center" wrapText="1"/>
    </xf>
    <xf numFmtId="0" fontId="39" fillId="5" borderId="128" xfId="0" applyFont="1" applyFill="1" applyBorder="1" applyAlignment="1">
      <alignment horizontal="right" vertical="center" wrapText="1"/>
    </xf>
    <xf numFmtId="0" fontId="39" fillId="0" borderId="203" xfId="0" applyFont="1" applyBorder="1" applyAlignment="1">
      <alignment horizontal="left" vertical="center" wrapText="1" indent="1"/>
    </xf>
    <xf numFmtId="0" fontId="39" fillId="0" borderId="204" xfId="0" applyFont="1" applyBorder="1" applyAlignment="1">
      <alignment horizontal="left" vertical="center" wrapText="1" indent="1"/>
    </xf>
    <xf numFmtId="0" fontId="39" fillId="0" borderId="215" xfId="0" applyFont="1" applyBorder="1" applyAlignment="1">
      <alignment horizontal="left" vertical="center" wrapText="1" indent="1"/>
    </xf>
    <xf numFmtId="0" fontId="39" fillId="6" borderId="33" xfId="0" applyFont="1" applyFill="1" applyBorder="1" applyAlignment="1" applyProtection="1">
      <alignment horizontal="center" vertical="center" wrapText="1"/>
      <protection locked="0"/>
    </xf>
    <xf numFmtId="0" fontId="39" fillId="6" borderId="21" xfId="0" applyFont="1" applyFill="1" applyBorder="1" applyAlignment="1" applyProtection="1">
      <alignment horizontal="center" vertical="center" wrapText="1"/>
      <protection locked="0"/>
    </xf>
    <xf numFmtId="0" fontId="0" fillId="0" borderId="21"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39" fillId="0" borderId="213" xfId="0" applyFont="1" applyBorder="1" applyAlignment="1">
      <alignment horizontal="left" vertical="center" wrapText="1" indent="1"/>
    </xf>
    <xf numFmtId="0" fontId="39" fillId="0" borderId="214" xfId="0" applyFont="1" applyBorder="1" applyAlignment="1">
      <alignment horizontal="left" vertical="center" wrapText="1" indent="1"/>
    </xf>
    <xf numFmtId="0" fontId="39" fillId="0" borderId="216" xfId="0" applyFont="1" applyBorder="1" applyAlignment="1">
      <alignment horizontal="left" vertical="center" wrapText="1" indent="1"/>
    </xf>
    <xf numFmtId="0" fontId="39" fillId="6" borderId="44" xfId="0" applyFont="1" applyFill="1" applyBorder="1" applyAlignment="1" applyProtection="1">
      <alignment horizontal="left" vertical="center" wrapText="1"/>
      <protection locked="0"/>
    </xf>
    <xf numFmtId="0" fontId="39" fillId="6" borderId="42" xfId="0" applyFont="1" applyFill="1" applyBorder="1" applyAlignment="1" applyProtection="1">
      <alignment horizontal="left" vertical="center" wrapText="1"/>
      <protection locked="0"/>
    </xf>
    <xf numFmtId="0" fontId="39" fillId="6" borderId="44" xfId="0" applyFont="1" applyFill="1" applyBorder="1" applyAlignment="1" applyProtection="1">
      <alignment horizontal="right" vertical="center" wrapText="1"/>
      <protection locked="0"/>
    </xf>
    <xf numFmtId="0" fontId="39" fillId="6" borderId="41" xfId="0" applyFont="1" applyFill="1" applyBorder="1" applyAlignment="1" applyProtection="1">
      <alignment horizontal="right" vertical="center" wrapText="1"/>
      <protection locked="0"/>
    </xf>
    <xf numFmtId="0" fontId="39" fillId="6" borderId="42" xfId="0" applyFont="1" applyFill="1" applyBorder="1" applyAlignment="1" applyProtection="1">
      <alignment horizontal="right" vertical="center" wrapText="1"/>
      <protection locked="0"/>
    </xf>
    <xf numFmtId="0" fontId="39" fillId="0" borderId="206" xfId="0" applyFont="1" applyBorder="1" applyAlignment="1">
      <alignment horizontal="left" vertical="center" wrapText="1" indent="1"/>
    </xf>
    <xf numFmtId="0" fontId="39" fillId="0" borderId="207" xfId="0" applyFont="1" applyBorder="1" applyAlignment="1">
      <alignment horizontal="left" vertical="center" wrapText="1" indent="1"/>
    </xf>
    <xf numFmtId="0" fontId="39" fillId="0" borderId="217" xfId="0" applyFont="1" applyBorder="1" applyAlignment="1">
      <alignment horizontal="left" vertical="center" wrapText="1" indent="1"/>
    </xf>
    <xf numFmtId="0" fontId="39" fillId="6" borderId="34" xfId="0" applyFont="1" applyFill="1" applyBorder="1" applyAlignment="1" applyProtection="1">
      <alignment horizontal="left" vertical="center" wrapText="1"/>
      <protection locked="0"/>
    </xf>
    <xf numFmtId="0" fontId="39" fillId="6" borderId="24" xfId="0" applyFont="1" applyFill="1" applyBorder="1" applyAlignment="1" applyProtection="1">
      <alignment horizontal="left" vertical="center" wrapText="1"/>
      <protection locked="0"/>
    </xf>
    <xf numFmtId="0" fontId="39" fillId="6" borderId="25" xfId="0" applyFont="1" applyFill="1" applyBorder="1" applyAlignment="1" applyProtection="1">
      <alignment horizontal="left" vertical="center" wrapText="1"/>
      <protection locked="0"/>
    </xf>
    <xf numFmtId="0" fontId="1" fillId="0" borderId="0" xfId="0" applyFont="1" applyAlignment="1">
      <alignment horizontal="left" vertical="center" wrapText="1"/>
    </xf>
    <xf numFmtId="0" fontId="39" fillId="6" borderId="10" xfId="0" applyFont="1" applyFill="1" applyBorder="1" applyAlignment="1" applyProtection="1">
      <alignment horizontal="left" vertical="center" wrapText="1"/>
      <protection locked="0"/>
    </xf>
    <xf numFmtId="0" fontId="25" fillId="5" borderId="119" xfId="0" applyFont="1" applyFill="1" applyBorder="1" applyAlignment="1">
      <alignment horizontal="left" vertical="top" wrapText="1" indent="1"/>
    </xf>
    <xf numFmtId="0" fontId="25" fillId="5" borderId="120" xfId="0" applyFont="1" applyFill="1" applyBorder="1" applyAlignment="1">
      <alignment horizontal="left" vertical="top" wrapText="1" indent="1"/>
    </xf>
    <xf numFmtId="0" fontId="25" fillId="5" borderId="122" xfId="0" applyFont="1" applyFill="1" applyBorder="1" applyAlignment="1">
      <alignment horizontal="left" vertical="top" wrapText="1" indent="1"/>
    </xf>
    <xf numFmtId="0" fontId="21" fillId="45" borderId="31" xfId="0" applyFont="1" applyFill="1" applyBorder="1" applyAlignment="1">
      <alignment vertical="top" wrapText="1"/>
    </xf>
    <xf numFmtId="0" fontId="21" fillId="45" borderId="34" xfId="0" applyFont="1" applyFill="1" applyBorder="1" applyAlignment="1">
      <alignment vertical="top" wrapText="1"/>
    </xf>
    <xf numFmtId="0" fontId="21" fillId="45" borderId="31" xfId="0" applyFont="1" applyFill="1" applyBorder="1" applyAlignment="1">
      <alignment horizontal="left" vertical="top" wrapText="1"/>
    </xf>
    <xf numFmtId="0" fontId="21" fillId="45" borderId="61" xfId="0" applyFont="1" applyFill="1" applyBorder="1" applyAlignment="1">
      <alignment horizontal="left" vertical="top" wrapText="1"/>
    </xf>
    <xf numFmtId="0" fontId="21" fillId="45" borderId="34" xfId="0" applyFont="1" applyFill="1" applyBorder="1" applyAlignment="1">
      <alignment horizontal="left" vertical="top" wrapText="1"/>
    </xf>
    <xf numFmtId="0" fontId="21" fillId="45" borderId="14" xfId="0" applyFont="1" applyFill="1" applyBorder="1" applyAlignment="1">
      <alignment horizontal="left" vertical="top" wrapText="1"/>
    </xf>
    <xf numFmtId="0" fontId="21" fillId="45" borderId="19" xfId="0" applyFont="1" applyFill="1" applyBorder="1" applyAlignment="1">
      <alignment horizontal="left" vertical="top" wrapText="1"/>
    </xf>
    <xf numFmtId="0" fontId="34" fillId="8" borderId="20" xfId="0" applyFont="1" applyFill="1" applyBorder="1" applyAlignment="1">
      <alignment horizontal="center" vertical="center" wrapText="1"/>
    </xf>
    <xf numFmtId="0" fontId="34" fillId="8" borderId="33" xfId="0" applyFont="1" applyFill="1" applyBorder="1" applyAlignment="1">
      <alignment horizontal="center" vertical="center" wrapText="1"/>
    </xf>
    <xf numFmtId="0" fontId="34" fillId="8" borderId="21" xfId="0" applyFont="1" applyFill="1" applyBorder="1" applyAlignment="1">
      <alignment horizontal="center" vertical="center" wrapText="1"/>
    </xf>
    <xf numFmtId="0" fontId="34" fillId="8" borderId="22" xfId="0" applyFont="1" applyFill="1" applyBorder="1" applyAlignment="1">
      <alignment horizontal="center" vertical="center" wrapText="1"/>
    </xf>
    <xf numFmtId="0" fontId="0" fillId="0" borderId="0" xfId="0" applyAlignment="1">
      <alignment wrapText="1"/>
    </xf>
    <xf numFmtId="0" fontId="34" fillId="8" borderId="38" xfId="0" applyFont="1" applyFill="1" applyBorder="1" applyAlignment="1">
      <alignment horizontal="center" vertical="center" wrapText="1"/>
    </xf>
    <xf numFmtId="0" fontId="0" fillId="0" borderId="33" xfId="0" applyBorder="1" applyAlignment="1">
      <alignment horizontal="center" vertical="center" wrapText="1"/>
    </xf>
    <xf numFmtId="0" fontId="1" fillId="0" borderId="0" xfId="0" applyFont="1" applyAlignment="1">
      <alignment horizontal="left" vertical="top" wrapText="1"/>
    </xf>
    <xf numFmtId="0" fontId="28" fillId="5" borderId="0" xfId="0" applyFont="1" applyFill="1" applyAlignment="1">
      <alignment horizontal="left" vertical="center" wrapText="1"/>
    </xf>
    <xf numFmtId="0" fontId="39" fillId="5" borderId="0" xfId="0" applyFont="1" applyFill="1" applyAlignment="1" applyProtection="1">
      <alignment horizontal="left" vertical="center" wrapText="1"/>
      <protection locked="0"/>
    </xf>
    <xf numFmtId="0" fontId="24" fillId="8" borderId="119" xfId="0" applyFont="1" applyFill="1" applyBorder="1" applyAlignment="1">
      <alignment horizontal="center" vertical="center" wrapText="1"/>
    </xf>
    <xf numFmtId="0" fontId="24" fillId="8" borderId="120" xfId="0" applyFont="1" applyFill="1" applyBorder="1" applyAlignment="1">
      <alignment horizontal="center" vertical="center" wrapText="1"/>
    </xf>
    <xf numFmtId="0" fontId="24" fillId="8" borderId="122" xfId="0" applyFont="1" applyFill="1" applyBorder="1" applyAlignment="1">
      <alignment horizontal="center" vertical="center" wrapText="1"/>
    </xf>
    <xf numFmtId="0" fontId="39" fillId="6" borderId="63" xfId="0" applyFont="1" applyFill="1" applyBorder="1" applyAlignment="1" applyProtection="1">
      <alignment horizontal="center" vertical="center"/>
      <protection locked="0"/>
    </xf>
    <xf numFmtId="0" fontId="39" fillId="6" borderId="41" xfId="0" applyFont="1" applyFill="1" applyBorder="1" applyAlignment="1" applyProtection="1">
      <alignment horizontal="center" vertical="center"/>
      <protection locked="0"/>
    </xf>
    <xf numFmtId="0" fontId="39" fillId="6" borderId="43" xfId="0" applyFont="1" applyFill="1" applyBorder="1" applyAlignment="1" applyProtection="1">
      <alignment horizontal="center" vertical="center"/>
      <protection locked="0"/>
    </xf>
    <xf numFmtId="0" fontId="39" fillId="6" borderId="46" xfId="0" applyFont="1" applyFill="1" applyBorder="1" applyAlignment="1" applyProtection="1">
      <alignment horizontal="center" vertical="center"/>
      <protection locked="0"/>
    </xf>
    <xf numFmtId="0" fontId="39" fillId="6" borderId="32" xfId="0" applyFont="1" applyFill="1" applyBorder="1" applyAlignment="1" applyProtection="1">
      <alignment horizontal="center" vertical="center"/>
      <protection locked="0"/>
    </xf>
    <xf numFmtId="0" fontId="39" fillId="6" borderId="212" xfId="0" applyFont="1" applyFill="1" applyBorder="1" applyAlignment="1" applyProtection="1">
      <alignment horizontal="center" vertical="center"/>
      <protection locked="0"/>
    </xf>
    <xf numFmtId="0" fontId="39" fillId="6" borderId="24" xfId="0" applyFont="1" applyFill="1" applyBorder="1" applyAlignment="1" applyProtection="1">
      <alignment horizontal="center" vertical="center"/>
      <protection locked="0"/>
    </xf>
    <xf numFmtId="0" fontId="39" fillId="6" borderId="25" xfId="0" applyFont="1" applyFill="1" applyBorder="1" applyAlignment="1" applyProtection="1">
      <alignment horizontal="center" vertical="center"/>
      <protection locked="0"/>
    </xf>
    <xf numFmtId="0" fontId="30" fillId="5" borderId="0" xfId="0" applyFont="1" applyFill="1" applyAlignment="1">
      <alignment horizontal="left" vertical="top" wrapText="1"/>
    </xf>
    <xf numFmtId="0" fontId="39" fillId="6" borderId="24" xfId="0" applyFont="1" applyFill="1" applyBorder="1" applyAlignment="1" applyProtection="1">
      <alignment horizontal="center" vertical="center" wrapText="1"/>
      <protection locked="0"/>
    </xf>
    <xf numFmtId="0" fontId="39" fillId="6" borderId="25" xfId="0" applyFont="1" applyFill="1" applyBorder="1" applyAlignment="1" applyProtection="1">
      <alignment horizontal="center" vertical="center" wrapText="1"/>
      <protection locked="0"/>
    </xf>
    <xf numFmtId="0" fontId="19" fillId="5" borderId="28" xfId="0" applyFont="1" applyFill="1" applyBorder="1" applyAlignment="1">
      <alignment horizontal="left" vertical="top" wrapText="1" indent="1"/>
    </xf>
    <xf numFmtId="0" fontId="39" fillId="6" borderId="7" xfId="0" applyFont="1" applyFill="1" applyBorder="1" applyAlignment="1" applyProtection="1">
      <alignment horizontal="left" vertical="top"/>
      <protection locked="0"/>
    </xf>
    <xf numFmtId="0" fontId="39" fillId="6" borderId="53" xfId="0" applyFont="1" applyFill="1" applyBorder="1" applyAlignment="1" applyProtection="1">
      <alignment horizontal="left" vertical="top"/>
      <protection locked="0"/>
    </xf>
    <xf numFmtId="0" fontId="39" fillId="6" borderId="54" xfId="0" applyFont="1" applyFill="1" applyBorder="1" applyAlignment="1" applyProtection="1">
      <alignment horizontal="left" vertical="top"/>
      <protection locked="0"/>
    </xf>
    <xf numFmtId="0" fontId="4" fillId="0" borderId="0" xfId="0" applyFont="1" applyAlignment="1">
      <alignment horizontal="left" vertical="top" wrapText="1"/>
    </xf>
    <xf numFmtId="0" fontId="39" fillId="6" borderId="27" xfId="0" applyFont="1" applyFill="1" applyBorder="1" applyAlignment="1" applyProtection="1">
      <alignment horizontal="left" vertical="top"/>
      <protection locked="0"/>
    </xf>
    <xf numFmtId="0" fontId="39" fillId="6" borderId="28" xfId="0" applyFont="1" applyFill="1" applyBorder="1" applyAlignment="1" applyProtection="1">
      <alignment horizontal="left" vertical="top"/>
      <protection locked="0"/>
    </xf>
    <xf numFmtId="0" fontId="4" fillId="0" borderId="0" xfId="0" applyFont="1" applyAlignment="1">
      <alignment vertical="top" wrapText="1"/>
    </xf>
    <xf numFmtId="0" fontId="28" fillId="0" borderId="0" xfId="0" applyFont="1" applyAlignment="1">
      <alignment vertical="top" wrapText="1"/>
    </xf>
    <xf numFmtId="0" fontId="11" fillId="8" borderId="28" xfId="0" applyFont="1" applyFill="1" applyBorder="1" applyAlignment="1">
      <alignment horizontal="left" vertical="center" wrapText="1"/>
    </xf>
    <xf numFmtId="0" fontId="24" fillId="8" borderId="12" xfId="0" applyFont="1" applyFill="1" applyBorder="1" applyAlignment="1">
      <alignment horizontal="center" vertical="center"/>
    </xf>
    <xf numFmtId="0" fontId="24" fillId="8" borderId="17" xfId="0" applyFont="1" applyFill="1" applyBorder="1" applyAlignment="1">
      <alignment horizontal="center" vertical="center"/>
    </xf>
    <xf numFmtId="0" fontId="24" fillId="8" borderId="1" xfId="0" applyFont="1" applyFill="1" applyBorder="1" applyAlignment="1">
      <alignment horizontal="center" vertical="center"/>
    </xf>
    <xf numFmtId="0" fontId="24" fillId="8" borderId="18" xfId="0" applyFont="1" applyFill="1" applyBorder="1" applyAlignment="1">
      <alignment horizontal="center" vertical="center"/>
    </xf>
    <xf numFmtId="0" fontId="24" fillId="8" borderId="13" xfId="0" applyFont="1" applyFill="1" applyBorder="1" applyAlignment="1">
      <alignment horizontal="center" vertical="center"/>
    </xf>
    <xf numFmtId="0" fontId="24" fillId="8" borderId="19" xfId="0" applyFont="1" applyFill="1" applyBorder="1" applyAlignment="1">
      <alignment horizontal="center" vertical="center"/>
    </xf>
    <xf numFmtId="0" fontId="34" fillId="8" borderId="6" xfId="0" applyFont="1" applyFill="1" applyBorder="1" applyAlignment="1">
      <alignment horizontal="center" vertical="center"/>
    </xf>
    <xf numFmtId="0" fontId="34" fillId="8" borderId="5" xfId="0" applyFont="1" applyFill="1" applyBorder="1" applyAlignment="1">
      <alignment horizontal="center" vertical="center"/>
    </xf>
    <xf numFmtId="0" fontId="34" fillId="8" borderId="45" xfId="0" applyFont="1" applyFill="1" applyBorder="1" applyAlignment="1">
      <alignment horizontal="center" vertical="center"/>
    </xf>
    <xf numFmtId="0" fontId="10" fillId="4" borderId="55" xfId="0" applyFont="1" applyFill="1" applyBorder="1" applyAlignment="1">
      <alignment horizontal="center" vertical="center"/>
    </xf>
    <xf numFmtId="0" fontId="10" fillId="4" borderId="62" xfId="0" applyFont="1" applyFill="1" applyBorder="1" applyAlignment="1">
      <alignment horizontal="center" vertical="center"/>
    </xf>
    <xf numFmtId="0" fontId="10" fillId="4" borderId="48" xfId="0" applyFont="1" applyFill="1" applyBorder="1" applyAlignment="1">
      <alignment horizontal="center" vertical="center"/>
    </xf>
    <xf numFmtId="0" fontId="10" fillId="4" borderId="37" xfId="0" applyFont="1" applyFill="1" applyBorder="1" applyAlignment="1">
      <alignment horizontal="center" vertical="center"/>
    </xf>
    <xf numFmtId="0" fontId="10" fillId="4" borderId="72" xfId="0" applyFont="1" applyFill="1" applyBorder="1" applyAlignment="1">
      <alignment horizontal="center" vertical="center"/>
    </xf>
    <xf numFmtId="0" fontId="10" fillId="4" borderId="49" xfId="0" applyFont="1" applyFill="1" applyBorder="1" applyAlignment="1">
      <alignment horizontal="center" vertical="center"/>
    </xf>
    <xf numFmtId="0" fontId="24" fillId="8" borderId="38" xfId="0" applyFont="1" applyFill="1" applyBorder="1" applyAlignment="1">
      <alignment horizontal="center" vertical="center"/>
    </xf>
    <xf numFmtId="0" fontId="24" fillId="8" borderId="39" xfId="0" applyFont="1" applyFill="1" applyBorder="1" applyAlignment="1">
      <alignment horizontal="center" vertical="center"/>
    </xf>
    <xf numFmtId="0" fontId="24" fillId="8" borderId="12" xfId="0" applyFont="1" applyFill="1" applyBorder="1" applyAlignment="1">
      <alignment horizontal="center" vertical="center" wrapText="1"/>
    </xf>
    <xf numFmtId="0" fontId="24" fillId="8" borderId="1" xfId="0" applyFont="1" applyFill="1" applyBorder="1" applyAlignment="1">
      <alignment horizontal="center" vertical="center" wrapText="1"/>
    </xf>
    <xf numFmtId="0" fontId="24" fillId="8" borderId="13" xfId="0" applyFont="1" applyFill="1" applyBorder="1" applyAlignment="1">
      <alignment horizontal="center" vertical="center" wrapText="1"/>
    </xf>
    <xf numFmtId="0" fontId="11" fillId="0" borderId="27" xfId="0" applyFont="1" applyBorder="1" applyAlignment="1">
      <alignment horizontal="left" vertical="center" wrapText="1" indent="1"/>
    </xf>
    <xf numFmtId="0" fontId="11" fillId="0" borderId="28" xfId="0" applyFont="1" applyBorder="1" applyAlignment="1">
      <alignment horizontal="left" vertical="center" wrapText="1" indent="1"/>
    </xf>
    <xf numFmtId="0" fontId="11" fillId="0" borderId="62" xfId="0" applyFont="1" applyBorder="1" applyAlignment="1">
      <alignment horizontal="left" vertical="center" wrapText="1" indent="1"/>
    </xf>
    <xf numFmtId="0" fontId="11" fillId="0" borderId="48" xfId="0" applyFont="1" applyBorder="1" applyAlignment="1">
      <alignment horizontal="left" vertical="center" wrapText="1" indent="1"/>
    </xf>
    <xf numFmtId="0" fontId="10" fillId="0" borderId="65" xfId="0" applyFont="1" applyBorder="1" applyAlignment="1">
      <alignment horizontal="left" vertical="center" indent="1"/>
    </xf>
    <xf numFmtId="0" fontId="10" fillId="0" borderId="62" xfId="0" applyFont="1" applyBorder="1" applyAlignment="1">
      <alignment horizontal="left" vertical="center" indent="1"/>
    </xf>
    <xf numFmtId="0" fontId="11" fillId="0" borderId="20" xfId="0" applyFont="1" applyBorder="1" applyAlignment="1">
      <alignment horizontal="left" vertical="center" wrapText="1" indent="1"/>
    </xf>
    <xf numFmtId="0" fontId="11" fillId="0" borderId="40" xfId="0" applyFont="1" applyBorder="1" applyAlignment="1">
      <alignment horizontal="left" vertical="center" wrapText="1" indent="1"/>
    </xf>
    <xf numFmtId="0" fontId="11" fillId="0" borderId="23" xfId="0" applyFont="1" applyBorder="1" applyAlignment="1">
      <alignment horizontal="left" vertical="center" wrapText="1" indent="1"/>
    </xf>
    <xf numFmtId="0" fontId="11" fillId="0" borderId="37" xfId="0" applyFont="1" applyBorder="1" applyAlignment="1">
      <alignment horizontal="left" vertical="center" wrapText="1" indent="1"/>
    </xf>
    <xf numFmtId="0" fontId="11" fillId="0" borderId="64" xfId="0" applyFont="1" applyBorder="1" applyAlignment="1">
      <alignment horizontal="left" vertical="center" wrapText="1" indent="1"/>
    </xf>
    <xf numFmtId="0" fontId="11" fillId="0" borderId="101" xfId="0" applyFont="1" applyBorder="1" applyAlignment="1">
      <alignment horizontal="left" vertical="center" wrapText="1" indent="1"/>
    </xf>
    <xf numFmtId="0" fontId="11" fillId="4" borderId="129" xfId="0" applyFont="1" applyFill="1" applyBorder="1" applyAlignment="1">
      <alignment horizontal="left" vertical="center" wrapText="1" indent="1"/>
    </xf>
    <xf numFmtId="0" fontId="11" fillId="0" borderId="12" xfId="0" applyFont="1" applyBorder="1" applyAlignment="1">
      <alignment horizontal="left" vertical="center" wrapText="1" indent="1"/>
    </xf>
    <xf numFmtId="0" fontId="0" fillId="0" borderId="13" xfId="0" applyBorder="1" applyAlignment="1">
      <alignment horizontal="left" vertical="center" wrapText="1" indent="1"/>
    </xf>
    <xf numFmtId="0" fontId="0" fillId="0" borderId="49" xfId="0" applyBorder="1" applyAlignment="1">
      <alignment horizontal="left" vertical="center" wrapText="1" indent="1"/>
    </xf>
    <xf numFmtId="0" fontId="10" fillId="8" borderId="6" xfId="0" applyFont="1" applyFill="1" applyBorder="1" applyAlignment="1">
      <alignment horizontal="left" vertical="center" wrapText="1" indent="1"/>
    </xf>
    <xf numFmtId="0" fontId="0" fillId="0" borderId="45" xfId="0" applyBorder="1" applyAlignment="1">
      <alignment horizontal="left" vertical="center" wrapText="1" indent="1"/>
    </xf>
    <xf numFmtId="0" fontId="4" fillId="0" borderId="20" xfId="0" applyFont="1" applyBorder="1" applyAlignment="1">
      <alignment horizontal="left" vertical="center" wrapText="1" indent="1"/>
    </xf>
    <xf numFmtId="0" fontId="10" fillId="0" borderId="23" xfId="0" applyFont="1" applyBorder="1" applyAlignment="1">
      <alignment horizontal="left" vertical="center" wrapText="1" indent="1"/>
    </xf>
    <xf numFmtId="0" fontId="11" fillId="0" borderId="72" xfId="0" applyFont="1" applyBorder="1" applyAlignment="1">
      <alignment horizontal="left" vertical="center" wrapText="1" indent="1"/>
    </xf>
    <xf numFmtId="3" fontId="115" fillId="8" borderId="6" xfId="0" applyNumberFormat="1" applyFont="1" applyFill="1" applyBorder="1" applyAlignment="1">
      <alignment horizontal="left" vertical="top" wrapText="1" indent="1"/>
    </xf>
    <xf numFmtId="3" fontId="115" fillId="8" borderId="5" xfId="0" applyNumberFormat="1" applyFont="1" applyFill="1" applyBorder="1" applyAlignment="1">
      <alignment horizontal="left" vertical="top" wrapText="1" indent="1"/>
    </xf>
    <xf numFmtId="3" fontId="115" fillId="8" borderId="45" xfId="0" applyNumberFormat="1" applyFont="1" applyFill="1" applyBorder="1" applyAlignment="1">
      <alignment horizontal="left" vertical="top" wrapText="1" indent="1"/>
    </xf>
    <xf numFmtId="0" fontId="34" fillId="4" borderId="4" xfId="0" applyFont="1" applyFill="1" applyBorder="1" applyAlignment="1">
      <alignment horizontal="center" vertical="center"/>
    </xf>
    <xf numFmtId="0" fontId="9" fillId="6" borderId="165" xfId="0" applyFont="1" applyFill="1" applyBorder="1" applyAlignment="1" applyProtection="1">
      <alignment horizontal="left" vertical="center" wrapText="1"/>
      <protection locked="0"/>
    </xf>
    <xf numFmtId="0" fontId="9" fillId="6" borderId="166" xfId="0" applyFont="1" applyFill="1" applyBorder="1" applyAlignment="1" applyProtection="1">
      <alignment horizontal="left" vertical="center" wrapText="1"/>
      <protection locked="0"/>
    </xf>
    <xf numFmtId="0" fontId="9" fillId="6" borderId="167" xfId="0" applyFont="1" applyFill="1" applyBorder="1" applyAlignment="1" applyProtection="1">
      <alignment horizontal="left" vertical="center" wrapText="1"/>
      <protection locked="0"/>
    </xf>
    <xf numFmtId="0" fontId="9" fillId="6" borderId="168" xfId="0" applyFont="1" applyFill="1" applyBorder="1" applyAlignment="1" applyProtection="1">
      <alignment horizontal="left" vertical="center" wrapText="1"/>
      <protection locked="0"/>
    </xf>
    <xf numFmtId="0" fontId="9" fillId="6" borderId="169" xfId="0" applyFont="1" applyFill="1" applyBorder="1" applyAlignment="1" applyProtection="1">
      <alignment horizontal="left" vertical="center" wrapText="1"/>
      <protection locked="0"/>
    </xf>
    <xf numFmtId="0" fontId="9" fillId="6" borderId="170" xfId="0" applyFont="1" applyFill="1" applyBorder="1" applyAlignment="1" applyProtection="1">
      <alignment horizontal="left" vertical="center" wrapText="1"/>
      <protection locked="0"/>
    </xf>
    <xf numFmtId="0" fontId="11" fillId="0" borderId="0" xfId="421" applyAlignment="1">
      <alignment horizontal="left" vertical="top" wrapText="1"/>
    </xf>
    <xf numFmtId="0" fontId="122" fillId="4" borderId="233" xfId="445" applyFont="1" applyFill="1" applyBorder="1" applyAlignment="1">
      <alignment horizontal="center"/>
    </xf>
    <xf numFmtId="0" fontId="122" fillId="4" borderId="235" xfId="445" applyFont="1" applyFill="1" applyBorder="1" applyAlignment="1">
      <alignment horizontal="center"/>
    </xf>
    <xf numFmtId="0" fontId="122" fillId="4" borderId="234" xfId="445" applyFont="1" applyFill="1" applyBorder="1" applyAlignment="1">
      <alignment horizontal="center"/>
    </xf>
    <xf numFmtId="0" fontId="24" fillId="0" borderId="0" xfId="444" applyFont="1" applyAlignment="1">
      <alignment horizontal="left" vertical="center" wrapText="1" indent="1"/>
    </xf>
    <xf numFmtId="0" fontId="30" fillId="0" borderId="0" xfId="421" applyFont="1" applyAlignment="1">
      <alignment horizontal="left" vertical="top" wrapText="1" indent="1"/>
    </xf>
    <xf numFmtId="0" fontId="38" fillId="0" borderId="0" xfId="421" applyFont="1" applyAlignment="1">
      <alignment horizontal="left" vertical="top" wrapText="1"/>
    </xf>
    <xf numFmtId="0" fontId="63" fillId="0" borderId="23" xfId="2" applyFont="1" applyBorder="1" applyAlignment="1">
      <alignment horizontal="left" vertical="center" wrapText="1"/>
    </xf>
    <xf numFmtId="0" fontId="63" fillId="0" borderId="24" xfId="2" applyFont="1" applyBorder="1" applyAlignment="1">
      <alignment horizontal="left" vertical="center" wrapText="1"/>
    </xf>
    <xf numFmtId="0" fontId="25" fillId="5" borderId="24" xfId="2" applyFont="1" applyFill="1" applyBorder="1" applyAlignment="1">
      <alignment horizontal="left" vertical="center"/>
    </xf>
    <xf numFmtId="0" fontId="25" fillId="5" borderId="25" xfId="2" applyFont="1" applyFill="1" applyBorder="1" applyAlignment="1">
      <alignment horizontal="left" vertical="center"/>
    </xf>
    <xf numFmtId="3" fontId="25" fillId="0" borderId="119" xfId="2" applyNumberFormat="1" applyFont="1" applyBorder="1" applyAlignment="1">
      <alignment horizontal="left" vertical="center" wrapText="1" indent="1"/>
    </xf>
    <xf numFmtId="0" fontId="25" fillId="0" borderId="119" xfId="2" applyFont="1" applyBorder="1" applyAlignment="1">
      <alignment horizontal="left" vertical="center" wrapText="1" indent="1"/>
    </xf>
    <xf numFmtId="168" fontId="25" fillId="0" borderId="119" xfId="10" applyNumberFormat="1" applyFont="1" applyFill="1" applyBorder="1" applyAlignment="1">
      <alignment horizontal="center" vertical="center"/>
    </xf>
    <xf numFmtId="0" fontId="39" fillId="0" borderId="119" xfId="0" applyFont="1" applyBorder="1" applyAlignment="1">
      <alignment horizontal="center" vertical="center"/>
    </xf>
    <xf numFmtId="168" fontId="25" fillId="0" borderId="119" xfId="10" applyNumberFormat="1" applyFont="1" applyFill="1" applyBorder="1" applyAlignment="1" applyProtection="1">
      <alignment horizontal="center" vertical="center"/>
    </xf>
    <xf numFmtId="0" fontId="11" fillId="4" borderId="119" xfId="2" applyFill="1" applyBorder="1" applyAlignment="1">
      <alignment horizontal="left" vertical="center" wrapText="1" indent="1"/>
    </xf>
    <xf numFmtId="0" fontId="24" fillId="0" borderId="0" xfId="2" applyFont="1" applyAlignment="1">
      <alignment horizontal="left" vertical="top" wrapText="1"/>
    </xf>
    <xf numFmtId="0" fontId="11" fillId="0" borderId="0" xfId="2" applyAlignment="1">
      <alignment horizontal="left" vertical="top"/>
    </xf>
    <xf numFmtId="0" fontId="11" fillId="0" borderId="127" xfId="2" applyBorder="1" applyAlignment="1">
      <alignment horizontal="left" vertical="top" wrapText="1"/>
    </xf>
    <xf numFmtId="0" fontId="11" fillId="0" borderId="0" xfId="2" applyAlignment="1">
      <alignment horizontal="left" vertical="top" wrapText="1"/>
    </xf>
    <xf numFmtId="0" fontId="11" fillId="4" borderId="119" xfId="2" applyFill="1" applyBorder="1" applyAlignment="1">
      <alignment horizontal="center" vertical="center" wrapText="1"/>
    </xf>
    <xf numFmtId="0" fontId="0" fillId="0" borderId="119" xfId="0" applyBorder="1" applyAlignment="1">
      <alignment horizontal="center" vertical="center" wrapText="1"/>
    </xf>
    <xf numFmtId="49" fontId="11" fillId="4" borderId="119" xfId="2" applyNumberFormat="1" applyFill="1" applyBorder="1" applyAlignment="1">
      <alignment horizontal="center" vertical="center" wrapText="1"/>
    </xf>
    <xf numFmtId="49" fontId="11" fillId="0" borderId="0" xfId="2" applyNumberFormat="1" applyAlignment="1">
      <alignment horizontal="center" vertical="center" wrapText="1"/>
    </xf>
    <xf numFmtId="0" fontId="11" fillId="0" borderId="0" xfId="2" applyAlignment="1">
      <alignment horizontal="center" vertical="center" wrapText="1"/>
    </xf>
    <xf numFmtId="0" fontId="25" fillId="5" borderId="41" xfId="2" applyFont="1" applyFill="1" applyBorder="1" applyAlignment="1">
      <alignment horizontal="left" vertical="center"/>
    </xf>
    <xf numFmtId="0" fontId="25" fillId="5" borderId="42" xfId="2" applyFont="1" applyFill="1" applyBorder="1" applyAlignment="1">
      <alignment horizontal="left" vertical="center"/>
    </xf>
    <xf numFmtId="0" fontId="25" fillId="5" borderId="41" xfId="2" applyFont="1" applyFill="1" applyBorder="1" applyAlignment="1" applyProtection="1">
      <alignment horizontal="left" vertical="center"/>
      <protection locked="0"/>
    </xf>
    <xf numFmtId="0" fontId="25" fillId="5" borderId="42" xfId="2" applyFont="1" applyFill="1" applyBorder="1" applyAlignment="1" applyProtection="1">
      <alignment horizontal="left" vertical="center"/>
      <protection locked="0"/>
    </xf>
    <xf numFmtId="0" fontId="11" fillId="47" borderId="6" xfId="2" applyFill="1" applyBorder="1" applyAlignment="1">
      <alignment horizontal="center" vertical="center" wrapText="1"/>
    </xf>
    <xf numFmtId="0" fontId="11" fillId="47" borderId="45" xfId="2" applyFill="1" applyBorder="1" applyAlignment="1">
      <alignment horizontal="center" vertical="center" wrapText="1"/>
    </xf>
    <xf numFmtId="0" fontId="11" fillId="47" borderId="5" xfId="2" applyFill="1" applyBorder="1" applyAlignment="1">
      <alignment horizontal="center" vertical="center" wrapText="1"/>
    </xf>
    <xf numFmtId="0" fontId="63" fillId="0" borderId="40" xfId="2" applyFont="1" applyBorder="1" applyAlignment="1">
      <alignment horizontal="left" vertical="center" wrapText="1"/>
    </xf>
    <xf numFmtId="0" fontId="63" fillId="0" borderId="41" xfId="2" applyFont="1" applyBorder="1" applyAlignment="1">
      <alignment horizontal="left" vertical="center" wrapText="1"/>
    </xf>
    <xf numFmtId="3" fontId="11" fillId="5" borderId="3" xfId="2" applyNumberFormat="1" applyFill="1" applyBorder="1" applyAlignment="1">
      <alignment horizontal="left" vertical="center" wrapText="1"/>
    </xf>
    <xf numFmtId="0" fontId="0" fillId="0" borderId="16" xfId="0" applyBorder="1" applyAlignment="1">
      <alignment horizontal="left" vertical="center" wrapText="1"/>
    </xf>
    <xf numFmtId="0" fontId="0" fillId="0" borderId="15" xfId="0" applyBorder="1" applyAlignment="1">
      <alignment horizontal="left" vertical="center" wrapText="1"/>
    </xf>
    <xf numFmtId="0" fontId="29" fillId="0" borderId="0" xfId="2" applyFont="1" applyAlignment="1">
      <alignment horizontal="left" vertical="top" wrapText="1"/>
    </xf>
    <xf numFmtId="3" fontId="11" fillId="5" borderId="0" xfId="2" applyNumberFormat="1" applyFill="1" applyAlignment="1">
      <alignment horizontal="left" vertical="center" wrapText="1"/>
    </xf>
    <xf numFmtId="0" fontId="11" fillId="0" borderId="0" xfId="2" applyAlignment="1">
      <alignment horizontal="left" vertical="center" wrapText="1"/>
    </xf>
    <xf numFmtId="3" fontId="11" fillId="9" borderId="0" xfId="2" applyNumberFormat="1" applyFill="1" applyAlignment="1">
      <alignment horizontal="left" vertical="top" wrapText="1"/>
    </xf>
    <xf numFmtId="3" fontId="11" fillId="5" borderId="0" xfId="2" applyNumberFormat="1" applyFill="1" applyAlignment="1">
      <alignment horizontal="left" vertical="top" wrapText="1"/>
    </xf>
    <xf numFmtId="0" fontId="25" fillId="0" borderId="119" xfId="2" applyFont="1" applyBorder="1" applyAlignment="1">
      <alignment horizontal="center" vertical="center" wrapText="1"/>
    </xf>
    <xf numFmtId="0" fontId="19" fillId="0" borderId="119" xfId="0" applyFont="1" applyBorder="1" applyAlignment="1">
      <alignment horizontal="center" vertical="center"/>
    </xf>
    <xf numFmtId="49" fontId="11" fillId="8" borderId="119" xfId="2" applyNumberFormat="1" applyFill="1" applyBorder="1" applyAlignment="1">
      <alignment horizontal="center" vertical="center" wrapText="1"/>
    </xf>
    <xf numFmtId="0" fontId="0" fillId="0" borderId="119" xfId="0" applyBorder="1" applyAlignment="1">
      <alignment vertical="center"/>
    </xf>
    <xf numFmtId="0" fontId="19" fillId="6" borderId="119" xfId="0" applyFont="1" applyFill="1" applyBorder="1" applyAlignment="1" applyProtection="1">
      <alignment horizontal="center" vertical="center"/>
      <protection locked="0"/>
    </xf>
    <xf numFmtId="0" fontId="0" fillId="0" borderId="119" xfId="0" applyBorder="1" applyAlignment="1" applyProtection="1">
      <alignment horizontal="center" vertical="center"/>
      <protection locked="0"/>
    </xf>
    <xf numFmtId="0" fontId="25" fillId="6" borderId="119" xfId="2" applyFont="1" applyFill="1" applyBorder="1" applyAlignment="1" applyProtection="1">
      <alignment horizontal="center" vertical="center" wrapText="1"/>
      <protection locked="0"/>
    </xf>
    <xf numFmtId="0" fontId="0" fillId="4" borderId="119" xfId="0" applyFill="1" applyBorder="1" applyAlignment="1">
      <alignment horizontal="center" vertical="center" wrapText="1"/>
    </xf>
    <xf numFmtId="3" fontId="11" fillId="8" borderId="119" xfId="2" applyNumberFormat="1" applyFill="1" applyBorder="1" applyAlignment="1">
      <alignment horizontal="left" vertical="center" wrapText="1"/>
    </xf>
    <xf numFmtId="0" fontId="0" fillId="0" borderId="119" xfId="0" applyBorder="1" applyAlignment="1">
      <alignment horizontal="left" vertical="center"/>
    </xf>
    <xf numFmtId="0" fontId="25" fillId="6" borderId="119" xfId="2" applyFont="1" applyFill="1" applyBorder="1" applyAlignment="1" applyProtection="1">
      <alignment horizontal="left" vertical="center"/>
      <protection locked="0"/>
    </xf>
    <xf numFmtId="0" fontId="0" fillId="0" borderId="119" xfId="0" applyBorder="1" applyAlignment="1" applyProtection="1">
      <alignment horizontal="left" vertical="center"/>
      <protection locked="0"/>
    </xf>
    <xf numFmtId="0" fontId="11" fillId="8" borderId="119" xfId="2" applyFill="1" applyBorder="1" applyAlignment="1">
      <alignment horizontal="left" vertical="center"/>
    </xf>
    <xf numFmtId="49" fontId="24" fillId="0" borderId="0" xfId="2" applyNumberFormat="1" applyFont="1" applyAlignment="1">
      <alignment horizontal="left" vertical="top"/>
    </xf>
    <xf numFmtId="0" fontId="24" fillId="0" borderId="0" xfId="2" applyFont="1" applyAlignment="1">
      <alignment horizontal="left" vertical="top"/>
    </xf>
    <xf numFmtId="0" fontId="11" fillId="9" borderId="0" xfId="2" applyFill="1" applyAlignment="1">
      <alignment horizontal="left" vertical="top" wrapText="1"/>
    </xf>
    <xf numFmtId="49" fontId="24" fillId="8" borderId="119" xfId="2" applyNumberFormat="1" applyFont="1" applyFill="1" applyBorder="1" applyAlignment="1">
      <alignment horizontal="center" vertical="center" wrapText="1"/>
    </xf>
    <xf numFmtId="0" fontId="25" fillId="6" borderId="119" xfId="2" applyFont="1" applyFill="1" applyBorder="1" applyAlignment="1" applyProtection="1">
      <alignment horizontal="left" vertical="center" wrapText="1"/>
      <protection locked="0"/>
    </xf>
    <xf numFmtId="0" fontId="0" fillId="0" borderId="119" xfId="0" applyBorder="1" applyAlignment="1" applyProtection="1">
      <alignment horizontal="center" vertical="center" wrapText="1"/>
      <protection locked="0"/>
    </xf>
    <xf numFmtId="197" fontId="25" fillId="5" borderId="119" xfId="2" applyNumberFormat="1" applyFont="1" applyFill="1" applyBorder="1" applyAlignment="1">
      <alignment horizontal="right" vertical="center" wrapText="1"/>
    </xf>
    <xf numFmtId="197" fontId="0" fillId="5" borderId="119" xfId="0" applyNumberFormat="1" applyFill="1" applyBorder="1" applyAlignment="1">
      <alignment horizontal="right" vertical="center" wrapText="1"/>
    </xf>
    <xf numFmtId="0" fontId="11" fillId="4" borderId="119" xfId="2" applyFill="1" applyBorder="1" applyAlignment="1">
      <alignment horizontal="center" vertical="center"/>
    </xf>
    <xf numFmtId="0" fontId="11" fillId="4" borderId="119" xfId="2" applyFill="1" applyBorder="1"/>
    <xf numFmtId="0" fontId="11" fillId="4" borderId="119" xfId="0" applyFont="1" applyFill="1" applyBorder="1" applyAlignment="1">
      <alignment vertical="center"/>
    </xf>
    <xf numFmtId="0" fontId="11" fillId="4" borderId="119" xfId="0" applyFont="1" applyFill="1" applyBorder="1" applyAlignment="1">
      <alignment horizontal="center" vertical="center" wrapText="1"/>
    </xf>
    <xf numFmtId="0" fontId="11" fillId="4" borderId="119" xfId="0" applyFont="1" applyFill="1" applyBorder="1"/>
    <xf numFmtId="3" fontId="25" fillId="6" borderId="119" xfId="2" applyNumberFormat="1" applyFont="1" applyFill="1" applyBorder="1" applyAlignment="1" applyProtection="1">
      <alignment horizontal="left" vertical="center" wrapText="1"/>
      <protection locked="0"/>
    </xf>
    <xf numFmtId="0" fontId="25" fillId="6" borderId="119" xfId="2" applyFont="1" applyFill="1" applyBorder="1" applyProtection="1">
      <protection locked="0"/>
    </xf>
    <xf numFmtId="174" fontId="25" fillId="6" borderId="119" xfId="11" applyNumberFormat="1" applyFont="1" applyFill="1" applyBorder="1" applyAlignment="1" applyProtection="1">
      <alignment horizontal="center" vertical="center" wrapText="1"/>
      <protection locked="0"/>
    </xf>
    <xf numFmtId="174" fontId="25" fillId="6" borderId="119" xfId="0" applyNumberFormat="1" applyFont="1" applyFill="1" applyBorder="1" applyAlignment="1" applyProtection="1">
      <alignment horizontal="center"/>
      <protection locked="0"/>
    </xf>
    <xf numFmtId="174" fontId="39" fillId="6" borderId="119" xfId="0" applyNumberFormat="1" applyFont="1" applyFill="1" applyBorder="1" applyAlignment="1" applyProtection="1">
      <alignment horizontal="center"/>
      <protection locked="0"/>
    </xf>
    <xf numFmtId="0" fontId="11" fillId="4" borderId="119" xfId="2" applyFill="1" applyBorder="1" applyAlignment="1">
      <alignment horizontal="left" vertical="center" wrapText="1"/>
    </xf>
    <xf numFmtId="0" fontId="16" fillId="0" borderId="119" xfId="0" applyFont="1" applyBorder="1" applyAlignment="1">
      <alignment horizontal="left" vertical="center" wrapText="1"/>
    </xf>
    <xf numFmtId="0" fontId="16" fillId="0" borderId="119" xfId="0" applyFont="1" applyBorder="1" applyAlignment="1">
      <alignment horizontal="left" vertical="center"/>
    </xf>
    <xf numFmtId="172" fontId="25" fillId="0" borderId="119" xfId="2" applyNumberFormat="1" applyFont="1" applyBorder="1" applyAlignment="1">
      <alignment horizontal="center" vertical="center"/>
    </xf>
    <xf numFmtId="174" fontId="25" fillId="9" borderId="119" xfId="11" applyNumberFormat="1" applyFont="1" applyFill="1" applyBorder="1" applyAlignment="1">
      <alignment horizontal="center" vertical="center" wrapText="1"/>
    </xf>
    <xf numFmtId="0" fontId="11" fillId="4" borderId="119" xfId="2" applyFill="1" applyBorder="1" applyAlignment="1">
      <alignment horizontal="left" vertical="center"/>
    </xf>
    <xf numFmtId="168" fontId="25" fillId="5" borderId="119" xfId="10" applyNumberFormat="1" applyFont="1" applyFill="1" applyBorder="1" applyAlignment="1">
      <alignment horizontal="center" vertical="center" wrapText="1"/>
    </xf>
    <xf numFmtId="0" fontId="39" fillId="5" borderId="119" xfId="0" applyFont="1" applyFill="1" applyBorder="1" applyAlignment="1">
      <alignment vertical="center" wrapText="1"/>
    </xf>
    <xf numFmtId="0" fontId="11" fillId="0" borderId="0" xfId="2" applyAlignment="1">
      <alignment horizontal="left" vertical="center"/>
    </xf>
    <xf numFmtId="0" fontId="25" fillId="0" borderId="119" xfId="0" applyFont="1" applyBorder="1" applyAlignment="1">
      <alignment horizontal="left" vertical="center"/>
    </xf>
    <xf numFmtId="172" fontId="25" fillId="5" borderId="119" xfId="12" applyNumberFormat="1" applyFont="1" applyFill="1" applyBorder="1" applyAlignment="1">
      <alignment horizontal="right" vertical="center" wrapText="1"/>
    </xf>
    <xf numFmtId="172" fontId="19" fillId="0" borderId="119" xfId="0" applyNumberFormat="1" applyFont="1" applyBorder="1" applyAlignment="1">
      <alignment horizontal="right" vertical="center"/>
    </xf>
    <xf numFmtId="174" fontId="25" fillId="6" borderId="119" xfId="11" applyNumberFormat="1" applyFont="1" applyFill="1" applyBorder="1" applyAlignment="1" applyProtection="1">
      <alignment vertical="center" wrapText="1"/>
      <protection locked="0"/>
    </xf>
    <xf numFmtId="3" fontId="11" fillId="0" borderId="0" xfId="2" applyNumberFormat="1" applyAlignment="1">
      <alignment horizontal="left" vertical="top" wrapText="1"/>
    </xf>
    <xf numFmtId="0" fontId="16" fillId="8" borderId="119" xfId="0" applyFont="1" applyFill="1" applyBorder="1" applyAlignment="1">
      <alignment horizontal="center" vertical="center" wrapText="1"/>
    </xf>
    <xf numFmtId="0" fontId="16" fillId="0" borderId="119" xfId="0" applyFont="1" applyBorder="1" applyAlignment="1">
      <alignment vertical="center"/>
    </xf>
    <xf numFmtId="0" fontId="11" fillId="8" borderId="119" xfId="2" applyFill="1" applyBorder="1" applyAlignment="1">
      <alignment horizontal="center" vertical="center" wrapText="1"/>
    </xf>
    <xf numFmtId="0" fontId="16" fillId="8" borderId="119" xfId="0" applyFont="1" applyFill="1" applyBorder="1" applyAlignment="1">
      <alignment vertical="center"/>
    </xf>
    <xf numFmtId="0" fontId="97" fillId="8" borderId="119" xfId="0" applyFont="1" applyFill="1" applyBorder="1" applyAlignment="1">
      <alignment vertical="center"/>
    </xf>
    <xf numFmtId="49" fontId="11" fillId="8" borderId="128" xfId="2" applyNumberFormat="1" applyFill="1" applyBorder="1" applyAlignment="1">
      <alignment horizontal="center" vertical="center" wrapText="1"/>
    </xf>
    <xf numFmtId="49" fontId="11" fillId="8" borderId="124" xfId="2" applyNumberFormat="1" applyFill="1" applyBorder="1" applyAlignment="1">
      <alignment horizontal="center" vertical="center" wrapText="1"/>
    </xf>
    <xf numFmtId="3" fontId="25" fillId="5" borderId="128" xfId="2" applyNumberFormat="1" applyFont="1" applyFill="1" applyBorder="1" applyAlignment="1">
      <alignment horizontal="left" vertical="center" wrapText="1" indent="1"/>
    </xf>
    <xf numFmtId="0" fontId="0" fillId="5" borderId="128" xfId="0" applyFill="1" applyBorder="1" applyAlignment="1">
      <alignment horizontal="left" vertical="center" indent="1"/>
    </xf>
    <xf numFmtId="172" fontId="25" fillId="5" borderId="128" xfId="12" applyNumberFormat="1" applyFont="1" applyFill="1" applyBorder="1" applyAlignment="1">
      <alignment horizontal="right" vertical="center" wrapText="1"/>
    </xf>
    <xf numFmtId="172" fontId="19" fillId="0" borderId="128" xfId="0" applyNumberFormat="1" applyFont="1" applyBorder="1" applyAlignment="1">
      <alignment horizontal="right" vertical="center"/>
    </xf>
    <xf numFmtId="174" fontId="25" fillId="5" borderId="128" xfId="11" applyNumberFormat="1" applyFont="1" applyFill="1" applyBorder="1" applyAlignment="1" applyProtection="1">
      <alignment vertical="center" wrapText="1"/>
    </xf>
    <xf numFmtId="174" fontId="19" fillId="0" borderId="128" xfId="0" applyNumberFormat="1" applyFont="1" applyBorder="1" applyAlignment="1">
      <alignment vertical="center"/>
    </xf>
    <xf numFmtId="49" fontId="11" fillId="4" borderId="3" xfId="2" applyNumberFormat="1" applyFill="1" applyBorder="1" applyAlignment="1">
      <alignment horizontal="left" vertical="center" wrapText="1" indent="1"/>
    </xf>
    <xf numFmtId="0" fontId="11" fillId="4" borderId="16" xfId="0" applyFont="1" applyFill="1" applyBorder="1" applyAlignment="1">
      <alignment horizontal="left" vertical="center" indent="1"/>
    </xf>
    <xf numFmtId="3" fontId="25" fillId="5" borderId="119" xfId="2" applyNumberFormat="1" applyFont="1" applyFill="1" applyBorder="1" applyAlignment="1">
      <alignment horizontal="left" vertical="center" wrapText="1" indent="1"/>
    </xf>
    <xf numFmtId="0" fontId="0" fillId="5" borderId="119" xfId="0" applyFill="1" applyBorder="1" applyAlignment="1">
      <alignment horizontal="left" vertical="center" indent="1"/>
    </xf>
    <xf numFmtId="174" fontId="25" fillId="5" borderId="119" xfId="11" applyNumberFormat="1" applyFont="1" applyFill="1" applyBorder="1" applyAlignment="1" applyProtection="1">
      <alignment vertical="center" wrapText="1"/>
    </xf>
    <xf numFmtId="174" fontId="19" fillId="0" borderId="119" xfId="0" applyNumberFormat="1" applyFont="1" applyBorder="1" applyAlignment="1">
      <alignment vertical="center"/>
    </xf>
    <xf numFmtId="174" fontId="25" fillId="6" borderId="128" xfId="11" applyNumberFormat="1" applyFont="1" applyFill="1" applyBorder="1" applyAlignment="1" applyProtection="1">
      <alignment vertical="center" wrapText="1"/>
      <protection locked="0"/>
    </xf>
    <xf numFmtId="0" fontId="0" fillId="0" borderId="128" xfId="0" applyBorder="1" applyAlignment="1" applyProtection="1">
      <alignment vertical="center"/>
      <protection locked="0"/>
    </xf>
    <xf numFmtId="0" fontId="25" fillId="6" borderId="128" xfId="2" applyFont="1" applyFill="1" applyBorder="1" applyAlignment="1" applyProtection="1">
      <alignment horizontal="left" vertical="center" wrapText="1"/>
      <protection locked="0"/>
    </xf>
    <xf numFmtId="0" fontId="0" fillId="0" borderId="128" xfId="0" applyBorder="1" applyAlignment="1" applyProtection="1">
      <alignment horizontal="left" vertical="center"/>
      <protection locked="0"/>
    </xf>
    <xf numFmtId="3" fontId="11" fillId="0" borderId="0" xfId="2" applyNumberFormat="1" applyAlignment="1">
      <alignment horizontal="left" vertical="center" wrapText="1" indent="1"/>
    </xf>
    <xf numFmtId="0" fontId="11" fillId="0" borderId="0" xfId="2" applyAlignment="1">
      <alignment horizontal="left" vertical="center" indent="1"/>
    </xf>
    <xf numFmtId="0" fontId="11" fillId="5" borderId="0" xfId="2" applyFill="1" applyAlignment="1">
      <alignment horizontal="left" vertical="center" wrapText="1" indent="4"/>
    </xf>
    <xf numFmtId="0" fontId="11" fillId="5" borderId="0" xfId="2" applyFill="1" applyAlignment="1">
      <alignment horizontal="left" vertical="top" wrapText="1" indent="4"/>
    </xf>
    <xf numFmtId="0" fontId="11" fillId="4" borderId="3" xfId="2" applyFill="1" applyBorder="1" applyAlignment="1">
      <alignment horizontal="left" vertical="center" wrapText="1" indent="1"/>
    </xf>
    <xf numFmtId="174" fontId="25" fillId="5" borderId="119" xfId="11" applyNumberFormat="1" applyFont="1" applyFill="1" applyBorder="1" applyAlignment="1" applyProtection="1">
      <alignment vertical="center"/>
    </xf>
    <xf numFmtId="198" fontId="25" fillId="5" borderId="119" xfId="2" applyNumberFormat="1" applyFont="1" applyFill="1" applyBorder="1" applyAlignment="1">
      <alignment horizontal="left" vertical="center" wrapText="1" indent="1"/>
    </xf>
    <xf numFmtId="198" fontId="25" fillId="5" borderId="119" xfId="0" applyNumberFormat="1" applyFont="1" applyFill="1" applyBorder="1" applyAlignment="1">
      <alignment horizontal="left" indent="1"/>
    </xf>
    <xf numFmtId="198" fontId="25" fillId="6" borderId="119" xfId="2" applyNumberFormat="1" applyFont="1" applyFill="1" applyBorder="1" applyAlignment="1" applyProtection="1">
      <alignment horizontal="center" vertical="center"/>
      <protection locked="0"/>
    </xf>
    <xf numFmtId="198" fontId="25" fillId="6" borderId="119" xfId="2" applyNumberFormat="1" applyFont="1" applyFill="1" applyBorder="1" applyAlignment="1" applyProtection="1">
      <alignment horizontal="left" vertical="center" wrapText="1" indent="1"/>
      <protection locked="0"/>
    </xf>
    <xf numFmtId="172" fontId="25" fillId="9" borderId="119" xfId="2" applyNumberFormat="1" applyFont="1" applyFill="1" applyBorder="1" applyAlignment="1">
      <alignment horizontal="center" vertical="center" wrapText="1"/>
    </xf>
    <xf numFmtId="172" fontId="19" fillId="0" borderId="119" xfId="0" applyNumberFormat="1" applyFont="1" applyBorder="1" applyAlignment="1">
      <alignment horizontal="center" vertical="center" wrapText="1"/>
    </xf>
    <xf numFmtId="0" fontId="0" fillId="0" borderId="0" xfId="0" applyAlignment="1">
      <alignment horizontal="left" vertical="center"/>
    </xf>
    <xf numFmtId="172" fontId="25" fillId="5" borderId="119" xfId="12" applyNumberFormat="1" applyFont="1" applyFill="1" applyBorder="1" applyAlignment="1">
      <alignment horizontal="right" vertical="center"/>
    </xf>
    <xf numFmtId="3" fontId="11" fillId="8" borderId="120" xfId="2" applyNumberFormat="1" applyFill="1" applyBorder="1" applyAlignment="1">
      <alignment horizontal="left" vertical="center"/>
    </xf>
    <xf numFmtId="0" fontId="0" fillId="0" borderId="121" xfId="0" applyBorder="1"/>
    <xf numFmtId="0" fontId="0" fillId="0" borderId="122" xfId="0" applyBorder="1"/>
    <xf numFmtId="3" fontId="25" fillId="0" borderId="119" xfId="2" applyNumberFormat="1" applyFont="1" applyBorder="1" applyAlignment="1">
      <alignment horizontal="left" vertical="center" indent="1"/>
    </xf>
    <xf numFmtId="0" fontId="19" fillId="0" borderId="119" xfId="0" applyFont="1" applyBorder="1" applyAlignment="1">
      <alignment horizontal="left" vertical="center" indent="1"/>
    </xf>
    <xf numFmtId="174" fontId="25" fillId="9" borderId="119" xfId="11" applyNumberFormat="1" applyFont="1" applyFill="1" applyBorder="1" applyAlignment="1">
      <alignment horizontal="right" vertical="center" wrapText="1"/>
    </xf>
    <xf numFmtId="174" fontId="25" fillId="5" borderId="119" xfId="2" applyNumberFormat="1" applyFont="1" applyFill="1" applyBorder="1" applyAlignment="1">
      <alignment horizontal="right" vertical="center" wrapText="1"/>
    </xf>
    <xf numFmtId="174" fontId="19" fillId="0" borderId="119" xfId="0" applyNumberFormat="1" applyFont="1" applyBorder="1" applyAlignment="1">
      <alignment horizontal="right" vertical="center" wrapText="1"/>
    </xf>
    <xf numFmtId="3" fontId="11" fillId="4" borderId="119" xfId="2" applyNumberFormat="1" applyFill="1" applyBorder="1" applyAlignment="1">
      <alignment horizontal="left" vertical="center" indent="1"/>
    </xf>
    <xf numFmtId="0" fontId="0" fillId="4" borderId="119" xfId="0" applyFill="1" applyBorder="1" applyAlignment="1">
      <alignment horizontal="left" vertical="center" indent="1"/>
    </xf>
    <xf numFmtId="174" fontId="11" fillId="0" borderId="119" xfId="11" applyNumberFormat="1" applyFont="1" applyFill="1" applyBorder="1" applyAlignment="1">
      <alignment horizontal="right" vertical="center" wrapText="1"/>
    </xf>
    <xf numFmtId="174" fontId="11" fillId="0" borderId="119" xfId="2" applyNumberFormat="1" applyBorder="1" applyAlignment="1">
      <alignment horizontal="right" vertical="center" wrapText="1"/>
    </xf>
    <xf numFmtId="174" fontId="0" fillId="0" borderId="119" xfId="0" applyNumberFormat="1" applyBorder="1" applyAlignment="1">
      <alignment horizontal="right" vertical="center" wrapText="1"/>
    </xf>
    <xf numFmtId="0" fontId="11" fillId="4" borderId="119" xfId="2" applyFill="1" applyBorder="1" applyAlignment="1">
      <alignment horizontal="left" vertical="center" indent="1"/>
    </xf>
    <xf numFmtId="172" fontId="25" fillId="5" borderId="119" xfId="2" applyNumberFormat="1" applyFont="1" applyFill="1" applyBorder="1" applyAlignment="1">
      <alignment horizontal="right" vertical="center"/>
    </xf>
    <xf numFmtId="172" fontId="19" fillId="5" borderId="119" xfId="0" applyNumberFormat="1" applyFont="1" applyFill="1" applyBorder="1" applyAlignment="1">
      <alignment horizontal="right" vertical="center"/>
    </xf>
    <xf numFmtId="0" fontId="11" fillId="8" borderId="119" xfId="2" applyFill="1" applyBorder="1" applyAlignment="1">
      <alignment horizontal="center" vertical="center"/>
    </xf>
    <xf numFmtId="198" fontId="25" fillId="44" borderId="119" xfId="2" applyNumberFormat="1" applyFont="1" applyFill="1" applyBorder="1" applyAlignment="1">
      <alignment horizontal="center" vertical="center"/>
    </xf>
    <xf numFmtId="198" fontId="25" fillId="44" borderId="119" xfId="2" applyNumberFormat="1" applyFont="1" applyFill="1" applyBorder="1" applyAlignment="1">
      <alignment horizontal="left" vertical="center" wrapText="1" indent="1"/>
    </xf>
    <xf numFmtId="168" fontId="25" fillId="9" borderId="119" xfId="10" applyNumberFormat="1" applyFont="1" applyFill="1" applyBorder="1" applyAlignment="1" applyProtection="1">
      <alignment horizontal="right" vertical="center"/>
    </xf>
    <xf numFmtId="0" fontId="25" fillId="0" borderId="119" xfId="2" applyFont="1" applyBorder="1" applyAlignment="1">
      <alignment horizontal="right" vertical="center"/>
    </xf>
    <xf numFmtId="168" fontId="25" fillId="5" borderId="119" xfId="10" applyNumberFormat="1" applyFont="1" applyFill="1" applyBorder="1" applyAlignment="1" applyProtection="1">
      <alignment horizontal="right" vertical="center"/>
    </xf>
    <xf numFmtId="168" fontId="25" fillId="0" borderId="119" xfId="10" applyNumberFormat="1" applyFont="1" applyBorder="1" applyAlignment="1" applyProtection="1">
      <alignment horizontal="center" vertical="center"/>
    </xf>
    <xf numFmtId="0" fontId="25" fillId="0" borderId="119" xfId="2" applyFont="1" applyBorder="1" applyAlignment="1">
      <alignment horizontal="center" vertical="center"/>
    </xf>
    <xf numFmtId="0" fontId="25" fillId="6" borderId="82" xfId="2" applyFont="1" applyFill="1" applyBorder="1" applyAlignment="1" applyProtection="1">
      <alignment horizontal="left" vertical="center" indent="1"/>
      <protection locked="0"/>
    </xf>
    <xf numFmtId="0" fontId="25" fillId="5" borderId="0" xfId="2" applyFont="1" applyFill="1" applyAlignment="1">
      <alignment horizontal="left" vertical="center" indent="1"/>
    </xf>
    <xf numFmtId="198" fontId="25" fillId="6" borderId="119" xfId="2" applyNumberFormat="1" applyFont="1" applyFill="1" applyBorder="1" applyAlignment="1">
      <alignment horizontal="left" vertical="center" wrapText="1" indent="1"/>
    </xf>
    <xf numFmtId="0" fontId="1" fillId="4" borderId="119" xfId="0" applyFont="1" applyFill="1" applyBorder="1" applyAlignment="1">
      <alignment vertical="center"/>
    </xf>
    <xf numFmtId="179" fontId="25" fillId="5" borderId="119" xfId="11" applyNumberFormat="1" applyFont="1" applyFill="1" applyBorder="1" applyAlignment="1" applyProtection="1">
      <alignment horizontal="right" vertical="center"/>
    </xf>
    <xf numFmtId="0" fontId="25" fillId="5" borderId="119" xfId="2" applyFont="1" applyFill="1" applyBorder="1" applyAlignment="1">
      <alignment vertical="center"/>
    </xf>
    <xf numFmtId="0" fontId="11" fillId="0" borderId="0" xfId="2" applyAlignment="1">
      <alignment horizontal="center" vertical="center"/>
    </xf>
    <xf numFmtId="49" fontId="11" fillId="8" borderId="119" xfId="2" applyNumberFormat="1" applyFill="1" applyBorder="1" applyAlignment="1">
      <alignment horizontal="center" vertical="center"/>
    </xf>
    <xf numFmtId="0" fontId="0" fillId="8" borderId="119" xfId="0" applyFill="1" applyBorder="1" applyAlignment="1">
      <alignment horizontal="center" vertical="center"/>
    </xf>
    <xf numFmtId="0" fontId="0" fillId="4" borderId="119" xfId="0" applyFill="1" applyBorder="1" applyAlignment="1">
      <alignment vertical="center"/>
    </xf>
    <xf numFmtId="0" fontId="11" fillId="0" borderId="0" xfId="0" applyFont="1" applyAlignment="1">
      <alignment horizontal="left"/>
    </xf>
    <xf numFmtId="0" fontId="11" fillId="8" borderId="143" xfId="2" applyFill="1" applyBorder="1" applyAlignment="1">
      <alignment horizontal="center" vertical="center" wrapText="1"/>
    </xf>
    <xf numFmtId="49" fontId="11" fillId="8" borderId="143" xfId="2" applyNumberFormat="1" applyFill="1" applyBorder="1" applyAlignment="1">
      <alignment horizontal="center" vertical="center" wrapText="1"/>
    </xf>
    <xf numFmtId="49" fontId="11" fillId="8" borderId="144" xfId="2" applyNumberFormat="1" applyFill="1" applyBorder="1" applyAlignment="1">
      <alignment horizontal="center" vertical="center" wrapText="1"/>
    </xf>
    <xf numFmtId="3" fontId="25" fillId="0" borderId="120" xfId="2" applyNumberFormat="1" applyFont="1" applyBorder="1" applyAlignment="1">
      <alignment horizontal="left" vertical="center" wrapText="1" indent="1"/>
    </xf>
    <xf numFmtId="3" fontId="25" fillId="0" borderId="122" xfId="2" applyNumberFormat="1" applyFont="1" applyBorder="1" applyAlignment="1">
      <alignment horizontal="left" vertical="center" wrapText="1" indent="1"/>
    </xf>
    <xf numFmtId="168" fontId="25" fillId="0" borderId="120" xfId="10" applyNumberFormat="1" applyFont="1" applyFill="1" applyBorder="1" applyAlignment="1" applyProtection="1">
      <alignment horizontal="center" vertical="center" wrapText="1"/>
    </xf>
    <xf numFmtId="168" fontId="25" fillId="0" borderId="122" xfId="10" applyNumberFormat="1" applyFont="1" applyFill="1" applyBorder="1" applyAlignment="1" applyProtection="1">
      <alignment horizontal="center" vertical="center" wrapText="1"/>
    </xf>
    <xf numFmtId="0" fontId="11" fillId="4" borderId="147" xfId="2" applyFill="1" applyBorder="1" applyAlignment="1">
      <alignment horizontal="left" vertical="center" wrapText="1" indent="1"/>
    </xf>
    <xf numFmtId="0" fontId="11" fillId="4" borderId="148" xfId="2" applyFill="1" applyBorder="1" applyAlignment="1">
      <alignment horizontal="left" vertical="center" wrapText="1" indent="1"/>
    </xf>
    <xf numFmtId="168" fontId="25" fillId="0" borderId="148" xfId="10" applyNumberFormat="1" applyFont="1" applyFill="1" applyBorder="1" applyAlignment="1">
      <alignment horizontal="center" vertical="center"/>
    </xf>
    <xf numFmtId="0" fontId="39" fillId="0" borderId="148" xfId="0" applyFont="1" applyBorder="1" applyAlignment="1">
      <alignment horizontal="center" vertical="center"/>
    </xf>
    <xf numFmtId="174" fontId="11" fillId="4" borderId="119" xfId="11" applyNumberFormat="1" applyFont="1" applyFill="1" applyBorder="1" applyAlignment="1">
      <alignment horizontal="left" vertical="center" indent="1"/>
    </xf>
    <xf numFmtId="0" fontId="11" fillId="4" borderId="119" xfId="0" applyFont="1" applyFill="1" applyBorder="1" applyAlignment="1">
      <alignment horizontal="left" vertical="center" indent="1"/>
    </xf>
    <xf numFmtId="168" fontId="25" fillId="0" borderId="119" xfId="2" applyNumberFormat="1" applyFont="1" applyBorder="1" applyAlignment="1">
      <alignment horizontal="center" vertical="center"/>
    </xf>
    <xf numFmtId="0" fontId="19" fillId="0" borderId="119" xfId="0" applyFont="1" applyBorder="1" applyAlignment="1">
      <alignment vertical="center"/>
    </xf>
    <xf numFmtId="0" fontId="0" fillId="4" borderId="119" xfId="0" applyFill="1" applyBorder="1" applyAlignment="1">
      <alignment horizontal="center" vertical="center"/>
    </xf>
    <xf numFmtId="165" fontId="25" fillId="4" borderId="119" xfId="2" applyNumberFormat="1" applyFont="1" applyFill="1" applyBorder="1" applyAlignment="1">
      <alignment horizontal="center" vertical="center" wrapText="1"/>
    </xf>
    <xf numFmtId="0" fontId="19" fillId="4" borderId="119" xfId="0" applyFont="1" applyFill="1" applyBorder="1" applyAlignment="1">
      <alignment vertical="center"/>
    </xf>
    <xf numFmtId="168" fontId="25" fillId="4" borderId="119" xfId="10" applyNumberFormat="1" applyFont="1" applyFill="1" applyBorder="1" applyAlignment="1">
      <alignment horizontal="right" vertical="center"/>
    </xf>
    <xf numFmtId="172" fontId="25" fillId="4" borderId="119" xfId="2" applyNumberFormat="1" applyFont="1" applyFill="1" applyBorder="1" applyAlignment="1">
      <alignment horizontal="center" vertical="center" wrapText="1"/>
    </xf>
    <xf numFmtId="172" fontId="19" fillId="0" borderId="119" xfId="0" applyNumberFormat="1" applyFont="1" applyBorder="1" applyAlignment="1">
      <alignment vertical="center"/>
    </xf>
    <xf numFmtId="168" fontId="25" fillId="4" borderId="119" xfId="10" applyNumberFormat="1" applyFont="1" applyFill="1" applyBorder="1" applyAlignment="1" applyProtection="1">
      <alignment horizontal="right" vertical="top"/>
    </xf>
    <xf numFmtId="3" fontId="11" fillId="4" borderId="119" xfId="2" applyNumberFormat="1" applyFill="1" applyBorder="1" applyAlignment="1">
      <alignment horizontal="left" vertical="center" wrapText="1" indent="1"/>
    </xf>
    <xf numFmtId="0" fontId="11" fillId="4" borderId="119" xfId="0" applyFont="1" applyFill="1" applyBorder="1" applyAlignment="1">
      <alignment horizontal="left" vertical="center" wrapText="1" indent="1"/>
    </xf>
    <xf numFmtId="0" fontId="0" fillId="0" borderId="119" xfId="0" applyBorder="1" applyAlignment="1">
      <alignment horizontal="left" vertical="center" wrapText="1" indent="1"/>
    </xf>
    <xf numFmtId="165" fontId="11" fillId="4" borderId="119" xfId="2" applyNumberFormat="1" applyFill="1" applyBorder="1" applyAlignment="1">
      <alignment horizontal="center" vertical="center" wrapText="1"/>
    </xf>
    <xf numFmtId="168" fontId="11" fillId="4" borderId="119" xfId="10" applyNumberFormat="1" applyFont="1" applyFill="1" applyBorder="1" applyAlignment="1">
      <alignment horizontal="right" vertical="top"/>
    </xf>
    <xf numFmtId="3" fontId="11" fillId="0" borderId="0" xfId="2" applyNumberFormat="1" applyAlignment="1">
      <alignment horizontal="left" vertical="center" wrapText="1"/>
    </xf>
    <xf numFmtId="0" fontId="11" fillId="0" borderId="0" xfId="2" applyAlignment="1">
      <alignment vertical="center" wrapText="1"/>
    </xf>
    <xf numFmtId="174" fontId="11" fillId="4" borderId="119" xfId="11" applyNumberFormat="1" applyFont="1" applyFill="1" applyBorder="1" applyAlignment="1" applyProtection="1">
      <alignment horizontal="left" vertical="center" indent="1"/>
    </xf>
    <xf numFmtId="0" fontId="0" fillId="0" borderId="119" xfId="0" applyBorder="1" applyAlignment="1">
      <alignment horizontal="left" vertical="center" indent="1"/>
    </xf>
    <xf numFmtId="0" fontId="19" fillId="5" borderId="119" xfId="0" applyFont="1" applyFill="1" applyBorder="1" applyAlignment="1">
      <alignment horizontal="left" vertical="center" indent="1"/>
    </xf>
    <xf numFmtId="168" fontId="25" fillId="0" borderId="119" xfId="10" applyNumberFormat="1" applyFont="1" applyFill="1" applyBorder="1" applyAlignment="1">
      <alignment horizontal="center" vertical="center" wrapText="1"/>
    </xf>
    <xf numFmtId="0" fontId="11" fillId="8" borderId="119" xfId="2" applyFill="1" applyBorder="1" applyAlignment="1">
      <alignment horizontal="left" vertical="center" indent="1"/>
    </xf>
    <xf numFmtId="2" fontId="25" fillId="0" borderId="119" xfId="1" applyNumberFormat="1" applyFont="1" applyFill="1" applyBorder="1" applyAlignment="1">
      <alignment horizontal="right" vertical="center"/>
    </xf>
    <xf numFmtId="2" fontId="19" fillId="0" borderId="119" xfId="0" applyNumberFormat="1" applyFont="1" applyBorder="1" applyAlignment="1">
      <alignment horizontal="right" vertical="center"/>
    </xf>
    <xf numFmtId="0" fontId="11" fillId="47" borderId="2" xfId="2" applyFill="1" applyBorder="1" applyAlignment="1">
      <alignment horizontal="center" vertical="center" wrapText="1"/>
    </xf>
    <xf numFmtId="0" fontId="11" fillId="47" borderId="0" xfId="2" applyFill="1" applyAlignment="1">
      <alignment horizontal="center" vertical="center" wrapText="1"/>
    </xf>
    <xf numFmtId="0" fontId="24" fillId="0" borderId="0" xfId="2" applyFont="1" applyAlignment="1">
      <alignment horizontal="center" vertical="center" wrapText="1"/>
    </xf>
    <xf numFmtId="0" fontId="11" fillId="47" borderId="20" xfId="2" applyFill="1" applyBorder="1" applyAlignment="1">
      <alignment horizontal="center" vertical="center"/>
    </xf>
    <xf numFmtId="0" fontId="11" fillId="47" borderId="21" xfId="2" applyFill="1" applyBorder="1" applyAlignment="1">
      <alignment horizontal="center" vertical="center"/>
    </xf>
    <xf numFmtId="0" fontId="11" fillId="47" borderId="22" xfId="2" applyFill="1" applyBorder="1" applyAlignment="1">
      <alignment horizontal="center" vertical="center"/>
    </xf>
    <xf numFmtId="0" fontId="25" fillId="5" borderId="28" xfId="2" applyFont="1" applyFill="1" applyBorder="1" applyAlignment="1">
      <alignment horizontal="left" vertical="center"/>
    </xf>
    <xf numFmtId="0" fontId="25" fillId="5" borderId="29" xfId="2" applyFont="1" applyFill="1" applyBorder="1" applyAlignment="1">
      <alignment horizontal="left" vertical="center"/>
    </xf>
    <xf numFmtId="0" fontId="25" fillId="5" borderId="119" xfId="2" applyFont="1" applyFill="1" applyBorder="1" applyAlignment="1">
      <alignment horizontal="left" vertical="center" wrapText="1"/>
    </xf>
    <xf numFmtId="0" fontId="0" fillId="5" borderId="119" xfId="0" applyFill="1" applyBorder="1" applyAlignment="1">
      <alignment horizontal="left" vertical="center" wrapText="1"/>
    </xf>
    <xf numFmtId="0" fontId="25" fillId="5" borderId="119" xfId="2" applyFont="1" applyFill="1" applyBorder="1" applyAlignment="1">
      <alignment horizontal="center" vertical="center" wrapText="1"/>
    </xf>
    <xf numFmtId="0" fontId="0" fillId="5" borderId="119" xfId="0" applyFill="1" applyBorder="1" applyAlignment="1">
      <alignment horizontal="center" vertical="center" wrapText="1"/>
    </xf>
    <xf numFmtId="0" fontId="25" fillId="5" borderId="119" xfId="2" applyFont="1" applyFill="1" applyBorder="1" applyAlignment="1">
      <alignment horizontal="left" vertical="center"/>
    </xf>
    <xf numFmtId="0" fontId="0" fillId="5" borderId="119" xfId="0" applyFill="1" applyBorder="1" applyAlignment="1">
      <alignment horizontal="left" vertical="center"/>
    </xf>
    <xf numFmtId="174" fontId="19" fillId="6" borderId="119" xfId="0" applyNumberFormat="1" applyFont="1" applyFill="1" applyBorder="1" applyAlignment="1" applyProtection="1">
      <alignment horizontal="center"/>
      <protection locked="0"/>
    </xf>
    <xf numFmtId="0" fontId="25" fillId="4" borderId="119" xfId="2" applyFont="1" applyFill="1" applyBorder="1" applyAlignment="1">
      <alignment horizontal="left" vertical="center" wrapText="1"/>
    </xf>
    <xf numFmtId="0" fontId="19" fillId="0" borderId="119" xfId="0" applyFont="1" applyBorder="1" applyAlignment="1">
      <alignment horizontal="left" vertical="center" wrapText="1"/>
    </xf>
    <xf numFmtId="0" fontId="19" fillId="0" borderId="119" xfId="0" applyFont="1" applyBorder="1" applyAlignment="1">
      <alignment horizontal="left" vertical="center"/>
    </xf>
    <xf numFmtId="0" fontId="19" fillId="0" borderId="119" xfId="0" applyFont="1" applyBorder="1" applyAlignment="1">
      <alignment horizontal="center" vertical="center" wrapText="1"/>
    </xf>
    <xf numFmtId="0" fontId="25" fillId="4" borderId="119" xfId="2" applyFont="1" applyFill="1" applyBorder="1" applyAlignment="1">
      <alignment horizontal="left" vertical="center"/>
    </xf>
    <xf numFmtId="0" fontId="19" fillId="5" borderId="119" xfId="0" applyFont="1" applyFill="1" applyBorder="1" applyAlignment="1">
      <alignment vertical="center" wrapText="1"/>
    </xf>
    <xf numFmtId="0" fontId="25" fillId="6" borderId="119" xfId="2" applyFont="1" applyFill="1" applyBorder="1" applyAlignment="1" applyProtection="1">
      <alignment vertical="center" wrapText="1"/>
      <protection locked="0"/>
    </xf>
    <xf numFmtId="172" fontId="25" fillId="5" borderId="119" xfId="12" applyNumberFormat="1" applyFont="1" applyFill="1" applyBorder="1" applyAlignment="1">
      <alignment horizontal="center" vertical="center" wrapText="1"/>
    </xf>
    <xf numFmtId="172" fontId="19" fillId="0" borderId="119" xfId="0" applyNumberFormat="1" applyFont="1" applyBorder="1" applyAlignment="1">
      <alignment horizontal="center" vertical="center"/>
    </xf>
    <xf numFmtId="3" fontId="24" fillId="0" borderId="0" xfId="2" applyNumberFormat="1" applyFont="1" applyAlignment="1">
      <alignment horizontal="left" vertical="center" wrapText="1" indent="1"/>
    </xf>
    <xf numFmtId="0" fontId="63" fillId="0" borderId="58" xfId="2" applyFont="1" applyBorder="1" applyAlignment="1">
      <alignment horizontal="left" vertical="center" wrapText="1"/>
    </xf>
    <xf numFmtId="0" fontId="63" fillId="0" borderId="59" xfId="2" applyFont="1" applyBorder="1" applyAlignment="1">
      <alignment horizontal="left" vertical="center" wrapText="1"/>
    </xf>
    <xf numFmtId="0" fontId="63" fillId="0" borderId="44" xfId="2" applyFont="1" applyBorder="1" applyAlignment="1">
      <alignment horizontal="left" vertical="center" wrapText="1"/>
    </xf>
    <xf numFmtId="0" fontId="63" fillId="0" borderId="38" xfId="2" applyFont="1" applyBorder="1" applyAlignment="1">
      <alignment horizontal="left" vertical="center" wrapText="1"/>
    </xf>
    <xf numFmtId="0" fontId="63" fillId="0" borderId="47" xfId="2" applyFont="1" applyBorder="1" applyAlignment="1">
      <alignment horizontal="left" vertical="center" wrapText="1"/>
    </xf>
    <xf numFmtId="0" fontId="63" fillId="0" borderId="33" xfId="2" applyFont="1" applyBorder="1" applyAlignment="1">
      <alignment horizontal="left" vertical="center" wrapText="1"/>
    </xf>
    <xf numFmtId="0" fontId="25" fillId="5" borderId="21" xfId="2" applyFont="1" applyFill="1" applyBorder="1" applyAlignment="1" applyProtection="1">
      <alignment horizontal="left" vertical="center"/>
      <protection locked="0"/>
    </xf>
    <xf numFmtId="0" fontId="25" fillId="5" borderId="22" xfId="2" applyFont="1" applyFill="1" applyBorder="1" applyAlignment="1" applyProtection="1">
      <alignment horizontal="left" vertical="center"/>
      <protection locked="0"/>
    </xf>
    <xf numFmtId="0" fontId="63" fillId="0" borderId="60" xfId="2" applyFont="1" applyBorder="1" applyAlignment="1">
      <alignment horizontal="left" vertical="center" wrapText="1"/>
    </xf>
    <xf numFmtId="0" fontId="63" fillId="0" borderId="61" xfId="2" applyFont="1" applyBorder="1" applyAlignment="1">
      <alignment horizontal="left" vertical="center" wrapText="1"/>
    </xf>
    <xf numFmtId="0" fontId="63" fillId="0" borderId="34" xfId="2" applyFont="1" applyBorder="1" applyAlignment="1">
      <alignment horizontal="left" vertical="center" wrapText="1"/>
    </xf>
    <xf numFmtId="0" fontId="63" fillId="0" borderId="3" xfId="2" applyFont="1" applyBorder="1" applyAlignment="1">
      <alignment horizontal="left" vertical="center" wrapText="1"/>
    </xf>
    <xf numFmtId="0" fontId="63" fillId="0" borderId="16" xfId="2" applyFont="1" applyBorder="1" applyAlignment="1">
      <alignment horizontal="left" vertical="center" wrapText="1"/>
    </xf>
    <xf numFmtId="0" fontId="63" fillId="0" borderId="35" xfId="2" applyFont="1" applyBorder="1" applyAlignment="1">
      <alignment horizontal="left" vertical="center" wrapText="1"/>
    </xf>
    <xf numFmtId="0" fontId="25" fillId="5" borderId="119" xfId="2" applyFont="1" applyFill="1" applyBorder="1" applyAlignment="1" applyProtection="1">
      <alignment horizontal="left" vertical="center"/>
      <protection locked="0"/>
    </xf>
    <xf numFmtId="197" fontId="25" fillId="5" borderId="119" xfId="2" applyNumberFormat="1" applyFont="1" applyFill="1" applyBorder="1" applyAlignment="1" applyProtection="1">
      <alignment horizontal="center" vertical="center" wrapText="1"/>
      <protection locked="0"/>
    </xf>
    <xf numFmtId="197" fontId="0" fillId="5" borderId="119" xfId="0" applyNumberFormat="1" applyFill="1" applyBorder="1" applyAlignment="1">
      <alignment horizontal="center" vertical="center" wrapText="1"/>
    </xf>
    <xf numFmtId="0" fontId="25" fillId="5" borderId="119" xfId="2" applyFont="1" applyFill="1" applyBorder="1" applyAlignment="1">
      <alignment horizontal="left" vertical="center" wrapText="1" indent="1"/>
    </xf>
    <xf numFmtId="168" fontId="25" fillId="5" borderId="119" xfId="10" applyNumberFormat="1" applyFont="1" applyFill="1" applyBorder="1" applyAlignment="1">
      <alignment horizontal="center" vertical="center"/>
    </xf>
    <xf numFmtId="0" fontId="39" fillId="5" borderId="119" xfId="0" applyFont="1" applyFill="1" applyBorder="1" applyAlignment="1">
      <alignment horizontal="center" vertical="center"/>
    </xf>
    <xf numFmtId="0" fontId="25" fillId="0" borderId="3" xfId="2" applyFont="1" applyBorder="1" applyAlignment="1">
      <alignment vertical="top"/>
    </xf>
    <xf numFmtId="0" fontId="25" fillId="0" borderId="16" xfId="2" applyFont="1" applyBorder="1" applyAlignment="1">
      <alignment vertical="top"/>
    </xf>
    <xf numFmtId="0" fontId="25" fillId="0" borderId="15" xfId="2" applyFont="1" applyBorder="1" applyAlignment="1">
      <alignment vertical="top"/>
    </xf>
    <xf numFmtId="0" fontId="11" fillId="4" borderId="151" xfId="2" applyFill="1" applyBorder="1" applyAlignment="1">
      <alignment horizontal="left" vertical="center" wrapText="1" indent="1"/>
    </xf>
    <xf numFmtId="0" fontId="11" fillId="4" borderId="152" xfId="2" applyFill="1" applyBorder="1" applyAlignment="1">
      <alignment horizontal="left" vertical="center" wrapText="1" indent="1"/>
    </xf>
    <xf numFmtId="0" fontId="11" fillId="4" borderId="157" xfId="2" applyFill="1" applyBorder="1" applyAlignment="1">
      <alignment horizontal="left" vertical="center" wrapText="1" indent="1"/>
    </xf>
    <xf numFmtId="168" fontId="25" fillId="0" borderId="156" xfId="10" applyNumberFormat="1" applyFont="1" applyFill="1" applyBorder="1" applyAlignment="1">
      <alignment horizontal="center" vertical="center"/>
    </xf>
    <xf numFmtId="168" fontId="25" fillId="0" borderId="157" xfId="10" applyNumberFormat="1" applyFont="1" applyFill="1" applyBorder="1" applyAlignment="1">
      <alignment horizontal="center" vertical="center"/>
    </xf>
    <xf numFmtId="0" fontId="11" fillId="0" borderId="155" xfId="2" applyBorder="1" applyAlignment="1">
      <alignment horizontal="left" vertical="center" wrapText="1"/>
    </xf>
    <xf numFmtId="0" fontId="25" fillId="0" borderId="3" xfId="2" applyFont="1" applyBorder="1" applyAlignment="1">
      <alignment horizontal="left" vertical="top"/>
    </xf>
    <xf numFmtId="0" fontId="25" fillId="0" borderId="16" xfId="2" applyFont="1" applyBorder="1" applyAlignment="1">
      <alignment horizontal="left" vertical="top"/>
    </xf>
    <xf numFmtId="0" fontId="25" fillId="0" borderId="15" xfId="2" applyFont="1" applyBorder="1" applyAlignment="1">
      <alignment horizontal="left" vertical="top"/>
    </xf>
    <xf numFmtId="49" fontId="11" fillId="4" borderId="3" xfId="2" applyNumberFormat="1" applyFill="1" applyBorder="1" applyAlignment="1">
      <alignment horizontal="center" vertical="center" wrapText="1"/>
    </xf>
    <xf numFmtId="49" fontId="11" fillId="4" borderId="16" xfId="2" applyNumberFormat="1" applyFill="1" applyBorder="1" applyAlignment="1">
      <alignment horizontal="center" vertical="center" wrapText="1"/>
    </xf>
    <xf numFmtId="49" fontId="11" fillId="4" borderId="15" xfId="2" applyNumberFormat="1" applyFill="1" applyBorder="1" applyAlignment="1">
      <alignment horizontal="center" vertical="center" wrapText="1"/>
    </xf>
    <xf numFmtId="49" fontId="11" fillId="4" borderId="3" xfId="2" applyNumberFormat="1" applyFill="1" applyBorder="1" applyAlignment="1">
      <alignment horizontal="center" vertical="center"/>
    </xf>
    <xf numFmtId="49" fontId="11" fillId="4" borderId="16" xfId="2" applyNumberFormat="1" applyFill="1" applyBorder="1" applyAlignment="1">
      <alignment horizontal="center" vertical="center"/>
    </xf>
    <xf numFmtId="49" fontId="11" fillId="4" borderId="15" xfId="2" applyNumberFormat="1" applyFill="1" applyBorder="1" applyAlignment="1">
      <alignment horizontal="center" vertical="center"/>
    </xf>
    <xf numFmtId="0" fontId="63" fillId="0" borderId="3" xfId="2" applyFont="1" applyBorder="1" applyAlignment="1">
      <alignment vertical="center" wrapText="1"/>
    </xf>
    <xf numFmtId="0" fontId="63" fillId="0" borderId="16" xfId="2" applyFont="1" applyBorder="1" applyAlignment="1">
      <alignment vertical="center" wrapText="1"/>
    </xf>
    <xf numFmtId="0" fontId="63" fillId="0" borderId="15" xfId="2" applyFont="1" applyBorder="1" applyAlignment="1">
      <alignment vertical="center" wrapText="1"/>
    </xf>
    <xf numFmtId="0" fontId="63" fillId="0" borderId="15" xfId="2" applyFont="1" applyBorder="1" applyAlignment="1">
      <alignment horizontal="left" vertical="center" wrapText="1"/>
    </xf>
    <xf numFmtId="0" fontId="11" fillId="0" borderId="1" xfId="2" applyBorder="1" applyAlignment="1">
      <alignment horizontal="center" vertical="center"/>
    </xf>
    <xf numFmtId="49" fontId="11" fillId="8" borderId="120" xfId="2" applyNumberFormat="1" applyFill="1" applyBorder="1" applyAlignment="1">
      <alignment horizontal="center" vertical="center" wrapText="1"/>
    </xf>
    <xf numFmtId="49" fontId="11" fillId="8" borderId="122" xfId="2" applyNumberFormat="1" applyFill="1" applyBorder="1" applyAlignment="1">
      <alignment horizontal="center" vertical="center" wrapText="1"/>
    </xf>
    <xf numFmtId="168" fontId="25" fillId="0" borderId="120" xfId="10" applyNumberFormat="1" applyFont="1" applyFill="1" applyBorder="1" applyAlignment="1" applyProtection="1">
      <alignment horizontal="center" vertical="center"/>
    </xf>
    <xf numFmtId="168" fontId="25" fillId="0" borderId="122" xfId="10" applyNumberFormat="1" applyFont="1" applyFill="1" applyBorder="1" applyAlignment="1" applyProtection="1">
      <alignment horizontal="center" vertical="center"/>
    </xf>
    <xf numFmtId="0" fontId="0" fillId="0" borderId="122" xfId="0" applyBorder="1" applyAlignment="1">
      <alignment horizontal="left" vertical="center" wrapText="1" indent="1"/>
    </xf>
    <xf numFmtId="0" fontId="11" fillId="0" borderId="126" xfId="2" applyBorder="1" applyAlignment="1">
      <alignment horizontal="left" vertical="center" wrapText="1"/>
    </xf>
    <xf numFmtId="0" fontId="11" fillId="4" borderId="128" xfId="2" applyFill="1" applyBorder="1" applyAlignment="1">
      <alignment horizontal="center" vertical="center" wrapText="1"/>
    </xf>
    <xf numFmtId="0" fontId="11" fillId="4" borderId="124" xfId="2" applyFill="1" applyBorder="1" applyAlignment="1">
      <alignment horizontal="center" vertical="center" wrapText="1"/>
    </xf>
    <xf numFmtId="0" fontId="1" fillId="4" borderId="161" xfId="0" applyFont="1" applyFill="1" applyBorder="1" applyAlignment="1">
      <alignment horizontal="center" vertical="center" wrapText="1"/>
    </xf>
    <xf numFmtId="0" fontId="1" fillId="4" borderId="162" xfId="0" applyFont="1" applyFill="1" applyBorder="1" applyAlignment="1">
      <alignment horizontal="center" vertical="center" wrapText="1"/>
    </xf>
    <xf numFmtId="0" fontId="1" fillId="4" borderId="163" xfId="0" applyFont="1" applyFill="1" applyBorder="1" applyAlignment="1">
      <alignment horizontal="center" vertical="center" wrapText="1"/>
    </xf>
    <xf numFmtId="0" fontId="1" fillId="4" borderId="164" xfId="0" applyFont="1" applyFill="1" applyBorder="1" applyAlignment="1">
      <alignment horizontal="center" vertical="center" wrapText="1"/>
    </xf>
    <xf numFmtId="0" fontId="11" fillId="8" borderId="158" xfId="2" applyFill="1" applyBorder="1" applyAlignment="1">
      <alignment horizontal="center" vertical="center" wrapText="1"/>
    </xf>
    <xf numFmtId="0" fontId="11" fillId="8" borderId="155" xfId="2" applyFill="1" applyBorder="1" applyAlignment="1">
      <alignment horizontal="center" vertical="center" wrapText="1"/>
    </xf>
    <xf numFmtId="0" fontId="11" fillId="8" borderId="160" xfId="2" applyFill="1" applyBorder="1" applyAlignment="1">
      <alignment horizontal="center" vertical="center" wrapText="1"/>
    </xf>
    <xf numFmtId="49" fontId="11" fillId="8" borderId="158" xfId="2" applyNumberFormat="1" applyFill="1" applyBorder="1" applyAlignment="1">
      <alignment horizontal="center" vertical="center" wrapText="1"/>
    </xf>
    <xf numFmtId="49" fontId="11" fillId="8" borderId="155" xfId="2" applyNumberFormat="1" applyFill="1" applyBorder="1" applyAlignment="1">
      <alignment horizontal="center" vertical="center" wrapText="1"/>
    </xf>
    <xf numFmtId="49" fontId="11" fillId="8" borderId="160" xfId="2" applyNumberFormat="1" applyFill="1" applyBorder="1" applyAlignment="1">
      <alignment horizontal="center" vertical="center" wrapText="1"/>
    </xf>
    <xf numFmtId="49" fontId="11" fillId="8" borderId="159" xfId="2" applyNumberFormat="1" applyFill="1" applyBorder="1" applyAlignment="1">
      <alignment horizontal="center" vertical="center" wrapText="1"/>
    </xf>
    <xf numFmtId="198" fontId="25" fillId="5" borderId="119" xfId="2" applyNumberFormat="1" applyFont="1" applyFill="1" applyBorder="1" applyAlignment="1" applyProtection="1">
      <alignment horizontal="left" vertical="center" wrapText="1" indent="1"/>
      <protection locked="0"/>
    </xf>
    <xf numFmtId="198" fontId="25" fillId="5" borderId="119" xfId="2" applyNumberFormat="1" applyFont="1" applyFill="1" applyBorder="1" applyAlignment="1" applyProtection="1">
      <alignment horizontal="center" vertical="center"/>
      <protection locked="0"/>
    </xf>
    <xf numFmtId="168" fontId="25" fillId="5" borderId="119" xfId="10" applyNumberFormat="1" applyFont="1" applyFill="1" applyBorder="1" applyAlignment="1">
      <alignment horizontal="right" vertical="center"/>
    </xf>
    <xf numFmtId="0" fontId="25" fillId="5" borderId="119" xfId="2" applyFont="1" applyFill="1" applyBorder="1" applyAlignment="1">
      <alignment horizontal="right" vertical="center"/>
    </xf>
    <xf numFmtId="0" fontId="25" fillId="5" borderId="119" xfId="2" applyFont="1" applyFill="1" applyBorder="1" applyAlignment="1">
      <alignment horizontal="center" vertical="center"/>
    </xf>
    <xf numFmtId="0" fontId="25" fillId="5" borderId="119" xfId="2" applyFont="1" applyFill="1" applyBorder="1" applyAlignment="1" applyProtection="1">
      <alignment horizontal="center" vertical="center" wrapText="1"/>
      <protection locked="0"/>
    </xf>
    <xf numFmtId="0" fontId="11" fillId="47" borderId="4" xfId="2" applyFill="1" applyBorder="1" applyAlignment="1">
      <alignment horizontal="center" vertical="center" wrapText="1"/>
    </xf>
    <xf numFmtId="0" fontId="25" fillId="0" borderId="0" xfId="2" applyFont="1" applyAlignment="1">
      <alignment horizontal="left" vertical="top" wrapText="1"/>
    </xf>
    <xf numFmtId="1" fontId="25" fillId="0" borderId="3" xfId="298" applyNumberFormat="1" applyFont="1" applyBorder="1" applyAlignment="1">
      <alignment horizontal="right" vertical="center"/>
    </xf>
    <xf numFmtId="1" fontId="25" fillId="0" borderId="15" xfId="298" applyNumberFormat="1" applyFont="1" applyBorder="1" applyAlignment="1">
      <alignment horizontal="right" vertical="center"/>
    </xf>
    <xf numFmtId="168" fontId="25" fillId="0" borderId="3" xfId="298" applyNumberFormat="1" applyFont="1" applyBorder="1" applyAlignment="1">
      <alignment horizontal="right" vertical="center"/>
    </xf>
    <xf numFmtId="168" fontId="25" fillId="0" borderId="15" xfId="298" applyNumberFormat="1" applyFont="1" applyBorder="1" applyAlignment="1">
      <alignment horizontal="right" vertical="center"/>
    </xf>
    <xf numFmtId="168" fontId="25" fillId="5" borderId="3" xfId="298" applyNumberFormat="1" applyFont="1" applyFill="1" applyBorder="1" applyAlignment="1">
      <alignment horizontal="right" vertical="center"/>
    </xf>
    <xf numFmtId="168" fontId="25" fillId="5" borderId="15" xfId="298" applyNumberFormat="1" applyFont="1" applyFill="1" applyBorder="1" applyAlignment="1">
      <alignment horizontal="right" vertical="center"/>
    </xf>
    <xf numFmtId="0" fontId="11" fillId="0" borderId="14" xfId="2" applyBorder="1" applyAlignment="1">
      <alignment horizontal="left" vertical="top" wrapText="1"/>
    </xf>
    <xf numFmtId="3" fontId="16" fillId="0" borderId="91" xfId="14" applyNumberFormat="1" applyFont="1" applyBorder="1" applyAlignment="1">
      <alignment horizontal="center" vertical="center" wrapText="1"/>
    </xf>
    <xf numFmtId="0" fontId="11" fillId="0" borderId="15" xfId="13" applyBorder="1" applyAlignment="1">
      <alignment horizontal="center" vertical="center" wrapText="1"/>
    </xf>
    <xf numFmtId="3" fontId="16" fillId="2" borderId="3" xfId="14" applyNumberFormat="1" applyFont="1" applyFill="1" applyBorder="1" applyAlignment="1">
      <alignment horizontal="center" vertical="center" wrapText="1"/>
    </xf>
    <xf numFmtId="3" fontId="16" fillId="2" borderId="15" xfId="14" applyNumberFormat="1" applyFont="1" applyFill="1" applyBorder="1" applyAlignment="1">
      <alignment horizontal="center" vertical="center" wrapText="1"/>
    </xf>
    <xf numFmtId="3" fontId="15" fillId="0" borderId="91" xfId="14" applyNumberFormat="1" applyFont="1" applyBorder="1" applyAlignment="1">
      <alignment horizontal="center" vertical="center" wrapText="1"/>
    </xf>
    <xf numFmtId="3" fontId="15" fillId="0" borderId="4" xfId="14" applyNumberFormat="1" applyFont="1" applyBorder="1" applyAlignment="1">
      <alignment horizontal="center" vertical="center" wrapText="1"/>
    </xf>
    <xf numFmtId="0" fontId="16" fillId="0" borderId="12" xfId="14" applyFont="1" applyBorder="1" applyAlignment="1">
      <alignment horizontal="center" vertical="center" wrapText="1"/>
    </xf>
    <xf numFmtId="0" fontId="16" fillId="0" borderId="2" xfId="14" applyFont="1" applyBorder="1" applyAlignment="1">
      <alignment horizontal="center" vertical="center" wrapText="1"/>
    </xf>
    <xf numFmtId="0" fontId="11" fillId="0" borderId="97" xfId="13" applyBorder="1" applyAlignment="1">
      <alignment horizontal="center" vertical="center" wrapText="1"/>
    </xf>
    <xf numFmtId="0" fontId="16" fillId="0" borderId="1" xfId="14" applyFont="1" applyBorder="1" applyAlignment="1">
      <alignment horizontal="center" vertical="center" wrapText="1"/>
    </xf>
    <xf numFmtId="0" fontId="16" fillId="0" borderId="0" xfId="14" applyFont="1" applyAlignment="1">
      <alignment horizontal="center" vertical="center" wrapText="1"/>
    </xf>
    <xf numFmtId="0" fontId="11" fillId="0" borderId="94" xfId="13" applyBorder="1" applyAlignment="1">
      <alignment horizontal="center" vertical="center" wrapText="1"/>
    </xf>
    <xf numFmtId="0" fontId="16" fillId="0" borderId="13" xfId="14" applyFont="1" applyBorder="1" applyAlignment="1">
      <alignment horizontal="center" vertical="center" wrapText="1"/>
    </xf>
    <xf numFmtId="0" fontId="16" fillId="0" borderId="14" xfId="14" applyFont="1" applyBorder="1" applyAlignment="1">
      <alignment horizontal="center" vertical="center" wrapText="1"/>
    </xf>
    <xf numFmtId="0" fontId="11" fillId="0" borderId="92" xfId="13" applyBorder="1" applyAlignment="1">
      <alignment horizontal="center" vertical="center" wrapText="1"/>
    </xf>
    <xf numFmtId="0" fontId="17" fillId="3" borderId="96" xfId="14" applyFont="1" applyFill="1" applyBorder="1" applyAlignment="1">
      <alignment horizontal="center" vertical="center" wrapText="1"/>
    </xf>
    <xf numFmtId="0" fontId="11" fillId="0" borderId="17" xfId="13" applyBorder="1" applyAlignment="1">
      <alignment horizontal="center" vertical="center" wrapText="1"/>
    </xf>
    <xf numFmtId="0" fontId="17" fillId="3" borderId="93" xfId="14" applyFont="1" applyFill="1" applyBorder="1" applyAlignment="1">
      <alignment horizontal="center" vertical="center" wrapText="1"/>
    </xf>
    <xf numFmtId="0" fontId="11" fillId="0" borderId="19" xfId="13" applyBorder="1" applyAlignment="1">
      <alignment horizontal="center" vertical="center" wrapText="1"/>
    </xf>
    <xf numFmtId="0" fontId="17" fillId="3" borderId="3" xfId="14" applyFont="1" applyFill="1" applyBorder="1" applyAlignment="1">
      <alignment horizontal="center" vertical="center" wrapText="1"/>
    </xf>
    <xf numFmtId="0" fontId="17" fillId="3" borderId="95" xfId="14" applyFont="1" applyFill="1" applyBorder="1" applyAlignment="1">
      <alignment horizontal="center" vertical="center" wrapText="1"/>
    </xf>
    <xf numFmtId="0" fontId="17" fillId="3" borderId="89" xfId="14" applyFont="1" applyFill="1" applyBorder="1" applyAlignment="1">
      <alignment horizontal="center" vertical="center" wrapText="1"/>
    </xf>
    <xf numFmtId="0" fontId="17" fillId="3" borderId="4" xfId="14" applyFont="1" applyFill="1" applyBorder="1" applyAlignment="1">
      <alignment horizontal="center" vertical="center" wrapText="1"/>
    </xf>
    <xf numFmtId="3" fontId="16" fillId="2" borderId="4" xfId="14" applyNumberFormat="1" applyFont="1" applyFill="1" applyBorder="1" applyAlignment="1">
      <alignment horizontal="center" vertical="center" wrapText="1"/>
    </xf>
    <xf numFmtId="0" fontId="16" fillId="0" borderId="4" xfId="14" applyFont="1" applyBorder="1" applyAlignment="1">
      <alignment horizontal="center" vertical="center" wrapText="1"/>
    </xf>
    <xf numFmtId="0" fontId="16" fillId="0" borderId="3" xfId="14" applyFont="1" applyBorder="1" applyAlignment="1">
      <alignment horizontal="center" vertical="center" wrapText="1"/>
    </xf>
    <xf numFmtId="0" fontId="53" fillId="5" borderId="16" xfId="14" applyFont="1" applyFill="1" applyBorder="1" applyAlignment="1">
      <alignment horizontal="left" vertical="center" wrapText="1" indent="3"/>
    </xf>
    <xf numFmtId="0" fontId="11" fillId="5" borderId="16" xfId="13" applyFill="1" applyBorder="1" applyAlignment="1">
      <alignment horizontal="left" vertical="center" wrapText="1" indent="3"/>
    </xf>
    <xf numFmtId="0" fontId="11" fillId="5" borderId="95" xfId="13" applyFill="1" applyBorder="1" applyAlignment="1">
      <alignment horizontal="left" vertical="center" wrapText="1" indent="3"/>
    </xf>
    <xf numFmtId="0" fontId="16" fillId="2" borderId="89" xfId="14" applyFont="1" applyFill="1" applyBorder="1" applyAlignment="1">
      <alignment horizontal="center" vertical="center" wrapText="1"/>
    </xf>
    <xf numFmtId="0" fontId="16" fillId="2" borderId="4" xfId="14" applyFont="1" applyFill="1" applyBorder="1" applyAlignment="1">
      <alignment horizontal="center" vertical="center" wrapText="1"/>
    </xf>
    <xf numFmtId="3" fontId="45" fillId="0" borderId="76" xfId="13" applyNumberFormat="1" applyFont="1" applyBorder="1" applyAlignment="1">
      <alignment horizontal="left" vertical="center" wrapText="1"/>
    </xf>
    <xf numFmtId="0" fontId="11" fillId="0" borderId="75" xfId="13" applyBorder="1" applyAlignment="1">
      <alignment horizontal="left" vertical="center" wrapText="1"/>
    </xf>
    <xf numFmtId="0" fontId="17" fillId="3" borderId="6" xfId="14" applyFont="1" applyFill="1" applyBorder="1" applyAlignment="1">
      <alignment horizontal="center" vertical="center" wrapText="1"/>
    </xf>
    <xf numFmtId="0" fontId="17" fillId="3" borderId="12" xfId="14" applyFont="1" applyFill="1" applyBorder="1" applyAlignment="1">
      <alignment horizontal="center" vertical="center" wrapText="1"/>
    </xf>
    <xf numFmtId="0" fontId="17" fillId="3" borderId="98" xfId="14" applyFont="1" applyFill="1" applyBorder="1" applyAlignment="1">
      <alignment horizontal="center" vertical="center" wrapText="1"/>
    </xf>
    <xf numFmtId="0" fontId="17" fillId="3" borderId="17" xfId="14" applyFont="1" applyFill="1" applyBorder="1" applyAlignment="1">
      <alignment horizontal="center" vertical="center" wrapText="1"/>
    </xf>
    <xf numFmtId="0" fontId="11" fillId="0" borderId="13" xfId="13" applyBorder="1" applyAlignment="1">
      <alignment horizontal="center" vertical="center" wrapText="1"/>
    </xf>
    <xf numFmtId="0" fontId="11" fillId="0" borderId="14" xfId="13" applyBorder="1" applyAlignment="1">
      <alignment horizontal="center" vertical="center" wrapText="1"/>
    </xf>
    <xf numFmtId="0" fontId="16" fillId="2" borderId="91" xfId="14" applyFont="1" applyFill="1" applyBorder="1" applyAlignment="1">
      <alignment horizontal="center" vertical="center" wrapText="1"/>
    </xf>
    <xf numFmtId="0" fontId="11" fillId="0" borderId="16" xfId="13" applyBorder="1" applyAlignment="1">
      <alignment horizontal="center" vertical="center" wrapText="1"/>
    </xf>
    <xf numFmtId="0" fontId="34" fillId="4" borderId="65" xfId="0" applyFont="1" applyFill="1" applyBorder="1" applyAlignment="1">
      <alignment horizontal="center" vertical="center" wrapText="1"/>
    </xf>
    <xf numFmtId="0" fontId="34" fillId="4" borderId="48" xfId="0" applyFont="1" applyFill="1" applyBorder="1" applyAlignment="1">
      <alignment horizontal="center" vertical="center" wrapText="1"/>
    </xf>
    <xf numFmtId="0" fontId="4" fillId="4" borderId="50" xfId="0" applyFont="1" applyFill="1" applyBorder="1" applyAlignment="1">
      <alignment horizontal="center" vertical="center" wrapText="1"/>
    </xf>
    <xf numFmtId="0" fontId="28" fillId="4" borderId="107" xfId="0" applyFont="1" applyFill="1" applyBorder="1" applyAlignment="1">
      <alignment horizontal="center" vertical="center" wrapText="1"/>
    </xf>
    <xf numFmtId="0" fontId="4" fillId="4" borderId="13" xfId="0" applyFont="1" applyFill="1" applyBorder="1" applyAlignment="1">
      <alignment horizontal="center" vertical="center" wrapText="1"/>
    </xf>
    <xf numFmtId="0" fontId="28" fillId="4" borderId="14" xfId="0" applyFont="1" applyFill="1" applyBorder="1" applyAlignment="1">
      <alignment horizontal="center" vertical="center" wrapText="1"/>
    </xf>
    <xf numFmtId="0" fontId="0" fillId="0" borderId="14" xfId="0" applyBorder="1" applyAlignment="1">
      <alignment vertical="center"/>
    </xf>
    <xf numFmtId="0" fontId="39" fillId="0" borderId="2" xfId="0" applyFont="1" applyBorder="1" applyAlignment="1">
      <alignment horizontal="left" vertical="top" wrapText="1"/>
    </xf>
    <xf numFmtId="0" fontId="34" fillId="4" borderId="101" xfId="0" applyFont="1" applyFill="1" applyBorder="1" applyAlignment="1">
      <alignment horizontal="center" vertical="center" wrapText="1"/>
    </xf>
    <xf numFmtId="0" fontId="34" fillId="4" borderId="49" xfId="0" applyFont="1" applyFill="1" applyBorder="1" applyAlignment="1">
      <alignment horizontal="center" vertical="center" wrapText="1"/>
    </xf>
    <xf numFmtId="0" fontId="4" fillId="8" borderId="65" xfId="0" applyFont="1" applyFill="1" applyBorder="1" applyAlignment="1">
      <alignment horizontal="center" vertical="center" wrapText="1"/>
    </xf>
    <xf numFmtId="0" fontId="4" fillId="8" borderId="100" xfId="0" applyFont="1" applyFill="1" applyBorder="1" applyAlignment="1">
      <alignment horizontal="center" vertical="center" wrapText="1"/>
    </xf>
    <xf numFmtId="0" fontId="4" fillId="4" borderId="22" xfId="0" applyFont="1" applyFill="1" applyBorder="1" applyAlignment="1">
      <alignment horizontal="center" vertical="center" wrapText="1"/>
    </xf>
    <xf numFmtId="0" fontId="4" fillId="4" borderId="25" xfId="0" applyFont="1" applyFill="1" applyBorder="1" applyAlignment="1">
      <alignment horizontal="center" vertical="center" wrapText="1"/>
    </xf>
    <xf numFmtId="0" fontId="28" fillId="4" borderId="50" xfId="0" applyFont="1" applyFill="1" applyBorder="1" applyAlignment="1">
      <alignment horizontal="center" vertical="center" wrapText="1"/>
    </xf>
    <xf numFmtId="0" fontId="4" fillId="8" borderId="20" xfId="0" applyFont="1" applyFill="1" applyBorder="1" applyAlignment="1">
      <alignment horizontal="center" vertical="center"/>
    </xf>
    <xf numFmtId="0" fontId="28" fillId="8" borderId="22" xfId="0" applyFont="1" applyFill="1" applyBorder="1" applyAlignment="1">
      <alignment horizontal="center" vertical="center"/>
    </xf>
    <xf numFmtId="0" fontId="4" fillId="8" borderId="50" xfId="0" applyFont="1" applyFill="1" applyBorder="1" applyAlignment="1">
      <alignment horizontal="center" vertical="center" wrapText="1"/>
    </xf>
    <xf numFmtId="0" fontId="28" fillId="8" borderId="107" xfId="0" applyFont="1" applyFill="1" applyBorder="1" applyAlignment="1">
      <alignment horizontal="center" vertical="center" wrapText="1"/>
    </xf>
    <xf numFmtId="0" fontId="4" fillId="4" borderId="20" xfId="0" applyFont="1" applyFill="1" applyBorder="1" applyAlignment="1">
      <alignment horizontal="center" vertical="center" wrapText="1"/>
    </xf>
    <xf numFmtId="0" fontId="28" fillId="4" borderId="23" xfId="0" applyFont="1" applyFill="1" applyBorder="1" applyAlignment="1">
      <alignment horizontal="center" vertical="center" wrapText="1"/>
    </xf>
    <xf numFmtId="0" fontId="13" fillId="5" borderId="81" xfId="15" applyFill="1" applyBorder="1" applyAlignment="1">
      <alignment horizontal="center"/>
    </xf>
    <xf numFmtId="0" fontId="11" fillId="0" borderId="86" xfId="123" applyBorder="1" applyAlignment="1">
      <alignment horizontal="center"/>
    </xf>
    <xf numFmtId="0" fontId="14" fillId="5" borderId="81" xfId="15" applyFont="1" applyFill="1" applyBorder="1" applyAlignment="1">
      <alignment horizontal="center"/>
    </xf>
    <xf numFmtId="0" fontId="11" fillId="0" borderId="87" xfId="123" applyBorder="1" applyAlignment="1">
      <alignment horizontal="center"/>
    </xf>
    <xf numFmtId="0" fontId="11" fillId="0" borderId="82" xfId="123" applyBorder="1"/>
    <xf numFmtId="0" fontId="24" fillId="0" borderId="82" xfId="123" applyFont="1" applyBorder="1"/>
    <xf numFmtId="0" fontId="24" fillId="0" borderId="104" xfId="123" applyFont="1" applyBorder="1" applyAlignment="1">
      <alignment wrapText="1"/>
    </xf>
    <xf numFmtId="0" fontId="24" fillId="0" borderId="103" xfId="123" applyFont="1" applyBorder="1"/>
    <xf numFmtId="0" fontId="24" fillId="0" borderId="99" xfId="123" applyFont="1" applyBorder="1"/>
  </cellXfs>
  <cellStyles count="446">
    <cellStyle name="20% - Accent1" xfId="37" builtinId="30" customBuiltin="1"/>
    <cellStyle name="20% - Accent2" xfId="41" builtinId="34" customBuiltin="1"/>
    <cellStyle name="20% - Accent3" xfId="45" builtinId="38" customBuiltin="1"/>
    <cellStyle name="20% - Accent4" xfId="49" builtinId="42" customBuiltin="1"/>
    <cellStyle name="20% - Accent5" xfId="53" builtinId="46" customBuiltin="1"/>
    <cellStyle name="20% - Accent6" xfId="57" builtinId="50" customBuiltin="1"/>
    <cellStyle name="40% - Accent1" xfId="38" builtinId="31" customBuiltin="1"/>
    <cellStyle name="40% - Accent2" xfId="42" builtinId="35" customBuiltin="1"/>
    <cellStyle name="40% - Accent3" xfId="46" builtinId="39" customBuiltin="1"/>
    <cellStyle name="40% - Accent4" xfId="50" builtinId="43" customBuiltin="1"/>
    <cellStyle name="40% - Accent5" xfId="54" builtinId="47" customBuiltin="1"/>
    <cellStyle name="40% - Accent6" xfId="58" builtinId="51" customBuiltin="1"/>
    <cellStyle name="60% - Accent1" xfId="39" builtinId="32" customBuiltin="1"/>
    <cellStyle name="60% - Accent2" xfId="43" builtinId="36" customBuiltin="1"/>
    <cellStyle name="60% - Accent3" xfId="47" builtinId="40" customBuiltin="1"/>
    <cellStyle name="60% - Accent4" xfId="51" builtinId="44" customBuiltin="1"/>
    <cellStyle name="60% - Accent5" xfId="55" builtinId="48" customBuiltin="1"/>
    <cellStyle name="60% - Accent6" xfId="59" builtinId="52" customBuiltin="1"/>
    <cellStyle name="Accent1" xfId="36" builtinId="29" customBuiltin="1"/>
    <cellStyle name="Accent2" xfId="40" builtinId="33" customBuiltin="1"/>
    <cellStyle name="Accent3" xfId="44" builtinId="37" customBuiltin="1"/>
    <cellStyle name="Accent4" xfId="48" builtinId="41" customBuiltin="1"/>
    <cellStyle name="Accent5" xfId="52" builtinId="45" customBuiltin="1"/>
    <cellStyle name="Accent6" xfId="56" builtinId="49" customBuiltin="1"/>
    <cellStyle name="Bad" xfId="25" builtinId="27" customBuiltin="1"/>
    <cellStyle name="Calculation" xfId="29" builtinId="22" customBuiltin="1"/>
    <cellStyle name="Check Cell" xfId="31" builtinId="23" customBuiltin="1"/>
    <cellStyle name="Comma" xfId="1" builtinId="3"/>
    <cellStyle name="Comma 2" xfId="12" xr:uid="{00000000-0005-0000-0000-00001C000000}"/>
    <cellStyle name="Comma 3" xfId="16" xr:uid="{00000000-0005-0000-0000-00001D000000}"/>
    <cellStyle name="Comma 3 2" xfId="412" xr:uid="{00000000-0005-0000-0000-00001E000000}"/>
    <cellStyle name="Comma 4" xfId="413" xr:uid="{00000000-0005-0000-0000-00001F000000}"/>
    <cellStyle name="Comma 6" xfId="93" xr:uid="{00000000-0005-0000-0000-000020000000}"/>
    <cellStyle name="Currency" xfId="96" builtinId="4"/>
    <cellStyle name="Currency 2" xfId="11" xr:uid="{00000000-0005-0000-0000-000022000000}"/>
    <cellStyle name="Explanatory Text" xfId="34" builtinId="53" customBuilti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76" builtinId="9" hidden="1"/>
    <cellStyle name="Followed Hyperlink" xfId="75" builtinId="9" hidden="1"/>
    <cellStyle name="Followed Hyperlink" xfId="73" builtinId="9" hidden="1"/>
    <cellStyle name="Followed Hyperlink" xfId="71" builtinId="9" hidden="1"/>
    <cellStyle name="Followed Hyperlink" xfId="68" builtinId="9" hidden="1"/>
    <cellStyle name="Followed Hyperlink" xfId="67" builtinId="9" hidden="1"/>
    <cellStyle name="Followed Hyperlink" xfId="87" builtinId="9" hidden="1"/>
    <cellStyle name="Followed Hyperlink" xfId="61" builtinId="9" hidden="1"/>
    <cellStyle name="Followed Hyperlink" xfId="69" builtinId="9" hidden="1"/>
    <cellStyle name="Followed Hyperlink" xfId="77" builtinId="9" hidden="1"/>
    <cellStyle name="Followed Hyperlink" xfId="72" builtinId="9" hidden="1"/>
    <cellStyle name="Followed Hyperlink" xfId="63" builtinId="9" hidden="1"/>
    <cellStyle name="Followed Hyperlink" xfId="65" builtinId="9" hidden="1"/>
    <cellStyle name="Followed Hyperlink" xfId="70" builtinId="9" hidden="1"/>
    <cellStyle name="Followed Hyperlink" xfId="62" builtinId="9" hidden="1"/>
    <cellStyle name="Followed Hyperlink" xfId="74" builtinId="9" hidden="1"/>
    <cellStyle name="Followed Hyperlink" xfId="89" builtinId="9" hidden="1"/>
    <cellStyle name="Followed Hyperlink" xfId="86"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12" builtinId="9" hidden="1"/>
    <cellStyle name="Followed Hyperlink" xfId="111" builtinId="9" hidden="1"/>
    <cellStyle name="Followed Hyperlink" xfId="109" builtinId="9" hidden="1"/>
    <cellStyle name="Followed Hyperlink" xfId="107" builtinId="9" hidden="1"/>
    <cellStyle name="Followed Hyperlink" xfId="104" builtinId="9" hidden="1"/>
    <cellStyle name="Followed Hyperlink" xfId="103" builtinId="9" hidden="1"/>
    <cellStyle name="Followed Hyperlink" xfId="121" builtinId="9" hidden="1"/>
    <cellStyle name="Followed Hyperlink" xfId="99" builtinId="9" hidden="1"/>
    <cellStyle name="Followed Hyperlink" xfId="105" builtinId="9" hidden="1"/>
    <cellStyle name="Followed Hyperlink" xfId="113" builtinId="9" hidden="1"/>
    <cellStyle name="Followed Hyperlink" xfId="108" builtinId="9" hidden="1"/>
    <cellStyle name="Followed Hyperlink" xfId="101" builtinId="9" hidden="1"/>
    <cellStyle name="Followed Hyperlink" xfId="102" builtinId="9" hidden="1"/>
    <cellStyle name="Followed Hyperlink" xfId="106" builtinId="9" hidden="1"/>
    <cellStyle name="Followed Hyperlink" xfId="100" builtinId="9" hidden="1"/>
    <cellStyle name="Followed Hyperlink" xfId="110" builtinId="9" hidden="1"/>
    <cellStyle name="Followed Hyperlink" xfId="122" builtinId="9" hidden="1"/>
    <cellStyle name="Followed Hyperlink" xfId="120"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37" builtinId="9" hidden="1"/>
    <cellStyle name="Followed Hyperlink" xfId="136" builtinId="9" hidden="1"/>
    <cellStyle name="Followed Hyperlink" xfId="134" builtinId="9" hidden="1"/>
    <cellStyle name="Followed Hyperlink" xfId="132" builtinId="9" hidden="1"/>
    <cellStyle name="Followed Hyperlink" xfId="129" builtinId="9" hidden="1"/>
    <cellStyle name="Followed Hyperlink" xfId="128" builtinId="9" hidden="1"/>
    <cellStyle name="Followed Hyperlink" xfId="146" builtinId="9" hidden="1"/>
    <cellStyle name="Followed Hyperlink" xfId="124" builtinId="9" hidden="1"/>
    <cellStyle name="Followed Hyperlink" xfId="130" builtinId="9" hidden="1"/>
    <cellStyle name="Followed Hyperlink" xfId="138" builtinId="9" hidden="1"/>
    <cellStyle name="Followed Hyperlink" xfId="133" builtinId="9" hidden="1"/>
    <cellStyle name="Followed Hyperlink" xfId="126" builtinId="9" hidden="1"/>
    <cellStyle name="Followed Hyperlink" xfId="127" builtinId="9" hidden="1"/>
    <cellStyle name="Followed Hyperlink" xfId="131" builtinId="9" hidden="1"/>
    <cellStyle name="Followed Hyperlink" xfId="125" builtinId="9" hidden="1"/>
    <cellStyle name="Followed Hyperlink" xfId="135" builtinId="9" hidden="1"/>
    <cellStyle name="Followed Hyperlink" xfId="147" builtinId="9" hidden="1"/>
    <cellStyle name="Followed Hyperlink" xfId="145"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75" builtinId="9" hidden="1"/>
    <cellStyle name="Followed Hyperlink" xfId="174" builtinId="9" hidden="1"/>
    <cellStyle name="Followed Hyperlink" xfId="172" builtinId="9" hidden="1"/>
    <cellStyle name="Followed Hyperlink" xfId="170" builtinId="9" hidden="1"/>
    <cellStyle name="Followed Hyperlink" xfId="167" builtinId="9" hidden="1"/>
    <cellStyle name="Followed Hyperlink" xfId="166" builtinId="9" hidden="1"/>
    <cellStyle name="Followed Hyperlink" xfId="184" builtinId="9" hidden="1"/>
    <cellStyle name="Followed Hyperlink" xfId="161" builtinId="9" hidden="1"/>
    <cellStyle name="Followed Hyperlink" xfId="168" builtinId="9" hidden="1"/>
    <cellStyle name="Followed Hyperlink" xfId="176" builtinId="9" hidden="1"/>
    <cellStyle name="Followed Hyperlink" xfId="171" builtinId="9" hidden="1"/>
    <cellStyle name="Followed Hyperlink" xfId="163" builtinId="9" hidden="1"/>
    <cellStyle name="Followed Hyperlink" xfId="165" builtinId="9" hidden="1"/>
    <cellStyle name="Followed Hyperlink" xfId="169" builtinId="9" hidden="1"/>
    <cellStyle name="Followed Hyperlink" xfId="162" builtinId="9" hidden="1"/>
    <cellStyle name="Followed Hyperlink" xfId="173" builtinId="9" hidden="1"/>
    <cellStyle name="Followed Hyperlink" xfId="185" builtinId="9" hidden="1"/>
    <cellStyle name="Followed Hyperlink" xfId="183"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0" builtinId="9" hidden="1"/>
    <cellStyle name="Followed Hyperlink" xfId="199" builtinId="9" hidden="1"/>
    <cellStyle name="Followed Hyperlink" xfId="197" builtinId="9" hidden="1"/>
    <cellStyle name="Followed Hyperlink" xfId="195" builtinId="9" hidden="1"/>
    <cellStyle name="Followed Hyperlink" xfId="192" builtinId="9" hidden="1"/>
    <cellStyle name="Followed Hyperlink" xfId="191" builtinId="9" hidden="1"/>
    <cellStyle name="Followed Hyperlink" xfId="209" builtinId="9" hidden="1"/>
    <cellStyle name="Followed Hyperlink" xfId="187" builtinId="9" hidden="1"/>
    <cellStyle name="Followed Hyperlink" xfId="193" builtinId="9" hidden="1"/>
    <cellStyle name="Followed Hyperlink" xfId="201" builtinId="9" hidden="1"/>
    <cellStyle name="Followed Hyperlink" xfId="196" builtinId="9" hidden="1"/>
    <cellStyle name="Followed Hyperlink" xfId="189" builtinId="9" hidden="1"/>
    <cellStyle name="Followed Hyperlink" xfId="190" builtinId="9" hidden="1"/>
    <cellStyle name="Followed Hyperlink" xfId="194" builtinId="9" hidden="1"/>
    <cellStyle name="Followed Hyperlink" xfId="188" builtinId="9" hidden="1"/>
    <cellStyle name="Followed Hyperlink" xfId="198" builtinId="9" hidden="1"/>
    <cellStyle name="Followed Hyperlink" xfId="210" builtinId="9" hidden="1"/>
    <cellStyle name="Followed Hyperlink" xfId="208"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24" builtinId="9" hidden="1"/>
    <cellStyle name="Followed Hyperlink" xfId="223" builtinId="9" hidden="1"/>
    <cellStyle name="Followed Hyperlink" xfId="221" builtinId="9" hidden="1"/>
    <cellStyle name="Followed Hyperlink" xfId="219" builtinId="9" hidden="1"/>
    <cellStyle name="Followed Hyperlink" xfId="216" builtinId="9" hidden="1"/>
    <cellStyle name="Followed Hyperlink" xfId="215" builtinId="9" hidden="1"/>
    <cellStyle name="Followed Hyperlink" xfId="233" builtinId="9" hidden="1"/>
    <cellStyle name="Followed Hyperlink" xfId="211" builtinId="9" hidden="1"/>
    <cellStyle name="Followed Hyperlink" xfId="217" builtinId="9" hidden="1"/>
    <cellStyle name="Followed Hyperlink" xfId="225" builtinId="9" hidden="1"/>
    <cellStyle name="Followed Hyperlink" xfId="220" builtinId="9" hidden="1"/>
    <cellStyle name="Followed Hyperlink" xfId="213" builtinId="9" hidden="1"/>
    <cellStyle name="Followed Hyperlink" xfId="214" builtinId="9" hidden="1"/>
    <cellStyle name="Followed Hyperlink" xfId="218" builtinId="9" hidden="1"/>
    <cellStyle name="Followed Hyperlink" xfId="212" builtinId="9" hidden="1"/>
    <cellStyle name="Followed Hyperlink" xfId="222" builtinId="9" hidden="1"/>
    <cellStyle name="Followed Hyperlink" xfId="234" builtinId="9" hidden="1"/>
    <cellStyle name="Followed Hyperlink" xfId="232"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38" builtinId="9" hidden="1"/>
    <cellStyle name="Followed Hyperlink" xfId="237" builtinId="9" hidden="1"/>
    <cellStyle name="Followed Hyperlink" xfId="235" builtinId="9" hidden="1"/>
    <cellStyle name="Followed Hyperlink" xfId="152" builtinId="9" hidden="1"/>
    <cellStyle name="Followed Hyperlink" xfId="157" builtinId="9" hidden="1"/>
    <cellStyle name="Followed Hyperlink" xfId="159" builtinId="9" hidden="1"/>
    <cellStyle name="Followed Hyperlink" xfId="247" builtinId="9" hidden="1"/>
    <cellStyle name="Followed Hyperlink" xfId="160" builtinId="9" hidden="1"/>
    <cellStyle name="Followed Hyperlink" xfId="155" builtinId="9" hidden="1"/>
    <cellStyle name="Followed Hyperlink" xfId="239" builtinId="9" hidden="1"/>
    <cellStyle name="Followed Hyperlink" xfId="151" builtinId="9" hidden="1"/>
    <cellStyle name="Followed Hyperlink" xfId="156" builtinId="9" hidden="1"/>
    <cellStyle name="Followed Hyperlink" xfId="153" builtinId="9" hidden="1"/>
    <cellStyle name="Followed Hyperlink" xfId="154" builtinId="9" hidden="1"/>
    <cellStyle name="Followed Hyperlink" xfId="158" builtinId="9" hidden="1"/>
    <cellStyle name="Followed Hyperlink" xfId="236" builtinId="9" hidden="1"/>
    <cellStyle name="Followed Hyperlink" xfId="248" builtinId="9" hidden="1"/>
    <cellStyle name="Followed Hyperlink" xfId="246"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63" builtinId="9" hidden="1"/>
    <cellStyle name="Followed Hyperlink" xfId="262" builtinId="9" hidden="1"/>
    <cellStyle name="Followed Hyperlink" xfId="260" builtinId="9" hidden="1"/>
    <cellStyle name="Followed Hyperlink" xfId="258" builtinId="9" hidden="1"/>
    <cellStyle name="Followed Hyperlink" xfId="255" builtinId="9" hidden="1"/>
    <cellStyle name="Followed Hyperlink" xfId="254" builtinId="9" hidden="1"/>
    <cellStyle name="Followed Hyperlink" xfId="272" builtinId="9" hidden="1"/>
    <cellStyle name="Followed Hyperlink" xfId="250" builtinId="9" hidden="1"/>
    <cellStyle name="Followed Hyperlink" xfId="256" builtinId="9" hidden="1"/>
    <cellStyle name="Followed Hyperlink" xfId="264" builtinId="9" hidden="1"/>
    <cellStyle name="Followed Hyperlink" xfId="259" builtinId="9" hidden="1"/>
    <cellStyle name="Followed Hyperlink" xfId="252" builtinId="9" hidden="1"/>
    <cellStyle name="Followed Hyperlink" xfId="253" builtinId="9" hidden="1"/>
    <cellStyle name="Followed Hyperlink" xfId="257" builtinId="9" hidden="1"/>
    <cellStyle name="Followed Hyperlink" xfId="251" builtinId="9" hidden="1"/>
    <cellStyle name="Followed Hyperlink" xfId="261" builtinId="9" hidden="1"/>
    <cellStyle name="Followed Hyperlink" xfId="273" builtinId="9" hidden="1"/>
    <cellStyle name="Followed Hyperlink" xfId="271"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87" builtinId="9" hidden="1"/>
    <cellStyle name="Followed Hyperlink" xfId="286" builtinId="9" hidden="1"/>
    <cellStyle name="Followed Hyperlink" xfId="284" builtinId="9" hidden="1"/>
    <cellStyle name="Followed Hyperlink" xfId="282" builtinId="9" hidden="1"/>
    <cellStyle name="Followed Hyperlink" xfId="279" builtinId="9" hidden="1"/>
    <cellStyle name="Followed Hyperlink" xfId="278" builtinId="9" hidden="1"/>
    <cellStyle name="Followed Hyperlink" xfId="296" builtinId="9" hidden="1"/>
    <cellStyle name="Followed Hyperlink" xfId="274" builtinId="9" hidden="1"/>
    <cellStyle name="Followed Hyperlink" xfId="280" builtinId="9" hidden="1"/>
    <cellStyle name="Followed Hyperlink" xfId="288" builtinId="9" hidden="1"/>
    <cellStyle name="Followed Hyperlink" xfId="283" builtinId="9" hidden="1"/>
    <cellStyle name="Followed Hyperlink" xfId="276" builtinId="9" hidden="1"/>
    <cellStyle name="Followed Hyperlink" xfId="277" builtinId="9" hidden="1"/>
    <cellStyle name="Followed Hyperlink" xfId="281" builtinId="9" hidden="1"/>
    <cellStyle name="Followed Hyperlink" xfId="275" builtinId="9" hidden="1"/>
    <cellStyle name="Followed Hyperlink" xfId="285" builtinId="9" hidden="1"/>
    <cellStyle name="Followed Hyperlink" xfId="297" builtinId="9" hidden="1"/>
    <cellStyle name="Followed Hyperlink" xfId="295"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Good" xfId="24" builtinId="26" customBuiltin="1"/>
    <cellStyle name="Heading 1" xfId="20" builtinId="16" customBuiltin="1"/>
    <cellStyle name="Heading 2" xfId="21" builtinId="17" customBuiltin="1"/>
    <cellStyle name="Heading 3" xfId="22" builtinId="18" customBuiltin="1"/>
    <cellStyle name="Heading 4" xfId="23" builtinId="19" customBuilti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2" xfId="60" xr:uid="{00000000-0005-0000-0000-00006B010000}"/>
    <cellStyle name="Hyperlink 2 2" xfId="414" xr:uid="{00000000-0005-0000-0000-00006C010000}"/>
    <cellStyle name="Hyperlink 2 3" xfId="410" xr:uid="{00000000-0005-0000-0000-00006D010000}"/>
    <cellStyle name="Input" xfId="27" builtinId="20" customBuiltin="1"/>
    <cellStyle name="Linked Cell" xfId="30" builtinId="24" customBuiltin="1"/>
    <cellStyle name="Neutral" xfId="26" builtinId="28" customBuiltin="1"/>
    <cellStyle name="Normal" xfId="0" builtinId="0"/>
    <cellStyle name="Normal 100" xfId="421" xr:uid="{00000000-0005-0000-0000-000072010000}"/>
    <cellStyle name="Normal 102" xfId="422" xr:uid="{00000000-0005-0000-0000-000073010000}"/>
    <cellStyle name="Normal 103" xfId="423" xr:uid="{00000000-0005-0000-0000-000074010000}"/>
    <cellStyle name="Normal 2" xfId="2" xr:uid="{00000000-0005-0000-0000-000075010000}"/>
    <cellStyle name="Normal 2 10 2" xfId="444" xr:uid="{00000000-0005-0000-0000-000076010000}"/>
    <cellStyle name="Normal 2 2" xfId="13" xr:uid="{00000000-0005-0000-0000-000077010000}"/>
    <cellStyle name="Normal 2 2 2" xfId="298" xr:uid="{00000000-0005-0000-0000-000078010000}"/>
    <cellStyle name="Normal 2 2 2 2" xfId="416" xr:uid="{00000000-0005-0000-0000-000079010000}"/>
    <cellStyle name="Normal 2 2 2 3" xfId="406" xr:uid="{00000000-0005-0000-0000-00007A010000}"/>
    <cellStyle name="Normal 2 2 3" xfId="407" xr:uid="{00000000-0005-0000-0000-00007B010000}"/>
    <cellStyle name="Normal 2 3" xfId="14" xr:uid="{00000000-0005-0000-0000-00007C010000}"/>
    <cellStyle name="Normal 2 5" xfId="408" xr:uid="{00000000-0005-0000-0000-00007D010000}"/>
    <cellStyle name="Normal 3" xfId="3" xr:uid="{00000000-0005-0000-0000-00007E010000}"/>
    <cellStyle name="Normal 3 2" xfId="4" xr:uid="{00000000-0005-0000-0000-00007F010000}"/>
    <cellStyle name="Normal 3 2 2" xfId="442" xr:uid="{00000000-0005-0000-0000-000080010000}"/>
    <cellStyle name="Normal 3 2 3" xfId="417" xr:uid="{00000000-0005-0000-0000-000081010000}"/>
    <cellStyle name="Normal 3 3" xfId="5" xr:uid="{00000000-0005-0000-0000-000082010000}"/>
    <cellStyle name="Normal 3 4" xfId="6" xr:uid="{00000000-0005-0000-0000-000083010000}"/>
    <cellStyle name="Normal 3 5" xfId="15" xr:uid="{00000000-0005-0000-0000-000084010000}"/>
    <cellStyle name="Normal 4" xfId="7" xr:uid="{00000000-0005-0000-0000-000085010000}"/>
    <cellStyle name="Normal 4 2" xfId="84" xr:uid="{00000000-0005-0000-0000-000086010000}"/>
    <cellStyle name="Normal 4 3" xfId="66" xr:uid="{00000000-0005-0000-0000-000087010000}"/>
    <cellStyle name="Normal 4 4" xfId="64" xr:uid="{00000000-0005-0000-0000-000088010000}"/>
    <cellStyle name="Normal 4 5" xfId="85" xr:uid="{00000000-0005-0000-0000-000089010000}"/>
    <cellStyle name="Normal 4 6" xfId="97" xr:uid="{00000000-0005-0000-0000-00008A010000}"/>
    <cellStyle name="Normal 4 7" xfId="148" xr:uid="{00000000-0005-0000-0000-00008B010000}"/>
    <cellStyle name="Normal 4 8" xfId="150" xr:uid="{00000000-0005-0000-0000-00008C010000}"/>
    <cellStyle name="Normal 45" xfId="424" xr:uid="{00000000-0005-0000-0000-00008D010000}"/>
    <cellStyle name="Normal 47" xfId="425" xr:uid="{00000000-0005-0000-0000-00008E010000}"/>
    <cellStyle name="Normal 49" xfId="427" xr:uid="{00000000-0005-0000-0000-00008F010000}"/>
    <cellStyle name="Normal 5" xfId="18" xr:uid="{00000000-0005-0000-0000-000090010000}"/>
    <cellStyle name="Normal 5 10" xfId="409" xr:uid="{00000000-0005-0000-0000-000091010000}"/>
    <cellStyle name="Normal 5 2" xfId="8" xr:uid="{00000000-0005-0000-0000-000092010000}"/>
    <cellStyle name="Normal 5 2 2" xfId="441" xr:uid="{00000000-0005-0000-0000-000093010000}"/>
    <cellStyle name="Normal 5 3" xfId="88" xr:uid="{00000000-0005-0000-0000-000094010000}"/>
    <cellStyle name="Normal 5 4" xfId="90" xr:uid="{00000000-0005-0000-0000-000095010000}"/>
    <cellStyle name="Normal 5 5" xfId="91" xr:uid="{00000000-0005-0000-0000-000096010000}"/>
    <cellStyle name="Normal 5 6" xfId="92" xr:uid="{00000000-0005-0000-0000-000097010000}"/>
    <cellStyle name="Normal 5 7" xfId="98" xr:uid="{00000000-0005-0000-0000-000098010000}"/>
    <cellStyle name="Normal 5 8" xfId="149" xr:uid="{00000000-0005-0000-0000-000099010000}"/>
    <cellStyle name="Normal 5 9" xfId="164" xr:uid="{00000000-0005-0000-0000-00009A010000}"/>
    <cellStyle name="Normal 51" xfId="428" xr:uid="{00000000-0005-0000-0000-00009B010000}"/>
    <cellStyle name="Normal 52" xfId="429" xr:uid="{00000000-0005-0000-0000-00009C010000}"/>
    <cellStyle name="Normal 53" xfId="431" xr:uid="{00000000-0005-0000-0000-00009D010000}"/>
    <cellStyle name="Normal 54" xfId="433" xr:uid="{00000000-0005-0000-0000-00009E010000}"/>
    <cellStyle name="Normal 55" xfId="434" xr:uid="{00000000-0005-0000-0000-00009F010000}"/>
    <cellStyle name="Normal 57" xfId="435" xr:uid="{00000000-0005-0000-0000-0000A0010000}"/>
    <cellStyle name="Normal 59" xfId="436" xr:uid="{00000000-0005-0000-0000-0000A1010000}"/>
    <cellStyle name="Normal 6" xfId="95" xr:uid="{00000000-0005-0000-0000-0000A2010000}"/>
    <cellStyle name="Normal 6 2" xfId="123" xr:uid="{00000000-0005-0000-0000-0000A3010000}"/>
    <cellStyle name="Normal 6 3" xfId="186" xr:uid="{00000000-0005-0000-0000-0000A4010000}"/>
    <cellStyle name="Normal 6 4" xfId="249" xr:uid="{00000000-0005-0000-0000-0000A5010000}"/>
    <cellStyle name="Normal 61" xfId="437" xr:uid="{00000000-0005-0000-0000-0000A6010000}"/>
    <cellStyle name="Normal 62" xfId="438" xr:uid="{00000000-0005-0000-0000-0000A7010000}"/>
    <cellStyle name="Normal 63" xfId="439" xr:uid="{00000000-0005-0000-0000-0000A8010000}"/>
    <cellStyle name="Normal 65" xfId="440" xr:uid="{00000000-0005-0000-0000-0000A9010000}"/>
    <cellStyle name="Normal 69" xfId="426" xr:uid="{00000000-0005-0000-0000-0000AA010000}"/>
    <cellStyle name="Normal 7" xfId="405" xr:uid="{00000000-0005-0000-0000-0000AB010000}"/>
    <cellStyle name="Normal 71" xfId="430" xr:uid="{00000000-0005-0000-0000-0000AC010000}"/>
    <cellStyle name="Normal 73" xfId="432" xr:uid="{00000000-0005-0000-0000-0000AD010000}"/>
    <cellStyle name="Normal 97" xfId="418" xr:uid="{00000000-0005-0000-0000-0000AE010000}"/>
    <cellStyle name="Normal 98" xfId="419" xr:uid="{00000000-0005-0000-0000-0000AF010000}"/>
    <cellStyle name="Normal 99" xfId="420" xr:uid="{00000000-0005-0000-0000-0000B0010000}"/>
    <cellStyle name="Normal_Supporting Info" xfId="445" xr:uid="{00000000-0005-0000-0000-0000B1010000}"/>
    <cellStyle name="Note" xfId="33" builtinId="10" customBuiltin="1"/>
    <cellStyle name="Output" xfId="28" builtinId="21" customBuiltin="1"/>
    <cellStyle name="Percent" xfId="9" builtinId="5"/>
    <cellStyle name="Percent 2" xfId="10" xr:uid="{00000000-0005-0000-0000-0000B5010000}"/>
    <cellStyle name="Percent 3" xfId="17" xr:uid="{00000000-0005-0000-0000-0000B6010000}"/>
    <cellStyle name="Percent 3 2" xfId="443" xr:uid="{00000000-0005-0000-0000-0000B7010000}"/>
    <cellStyle name="Percent 3 3" xfId="411" xr:uid="{00000000-0005-0000-0000-0000B8010000}"/>
    <cellStyle name="Percent 4" xfId="415" xr:uid="{00000000-0005-0000-0000-0000B9010000}"/>
    <cellStyle name="Percent 6" xfId="94" xr:uid="{00000000-0005-0000-0000-0000BA010000}"/>
    <cellStyle name="Title" xfId="19" builtinId="15" customBuiltin="1"/>
    <cellStyle name="Total" xfId="35" builtinId="25" customBuiltin="1"/>
    <cellStyle name="Warning Text" xfId="32" builtinId="11" customBuiltin="1"/>
  </cellStyles>
  <dxfs count="114">
    <dxf>
      <font>
        <b/>
        <i val="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ont>
        <b/>
        <i val="0"/>
        <color rgb="FFFF0000"/>
      </font>
      <fill>
        <patternFill>
          <bgColor theme="5" tint="0.79998168889431442"/>
        </patternFill>
      </fill>
    </dxf>
    <dxf>
      <fill>
        <patternFill patternType="solid">
          <bgColor theme="0" tint="-4.9989318521683403E-2"/>
        </patternFill>
      </fill>
    </dxf>
    <dxf>
      <fill>
        <patternFill>
          <bgColor theme="0" tint="-4.9989318521683403E-2"/>
        </patternFill>
      </fill>
    </dxf>
    <dxf>
      <font>
        <color theme="0"/>
      </font>
    </dxf>
    <dxf>
      <font>
        <color rgb="FFFF0000"/>
      </font>
      <fill>
        <patternFill>
          <bgColor theme="5" tint="0.79998168889431442"/>
        </patternFill>
      </fill>
    </dxf>
    <dxf>
      <font>
        <color rgb="FFC00000"/>
      </font>
      <fill>
        <patternFill>
          <bgColor theme="5" tint="0.79998168889431442"/>
        </patternFill>
      </fill>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ill>
        <patternFill>
          <bgColor theme="0" tint="-4.9989318521683403E-2"/>
        </patternFill>
      </fill>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color theme="0"/>
      </font>
    </dxf>
    <dxf>
      <font>
        <color rgb="FFFF0000"/>
      </font>
      <fill>
        <patternFill>
          <bgColor theme="5" tint="0.79998168889431442"/>
        </patternFill>
      </fill>
    </dxf>
    <dxf>
      <font>
        <color rgb="FFC00000"/>
      </font>
      <fill>
        <patternFill>
          <bgColor theme="5" tint="0.79998168889431442"/>
        </patternFill>
      </fill>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0" tint="-4.9989318521683403E-2"/>
        </patternFill>
      </fill>
    </dxf>
    <dxf>
      <font>
        <color theme="0"/>
      </font>
    </dxf>
    <dxf>
      <font>
        <color rgb="FFFF0000"/>
      </font>
      <fill>
        <patternFill>
          <bgColor theme="5" tint="0.79998168889431442"/>
        </patternFill>
      </fill>
    </dxf>
    <dxf>
      <font>
        <color rgb="FFC00000"/>
      </font>
      <fill>
        <patternFill>
          <bgColor theme="5" tint="0.7999816888943144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strike val="0"/>
        <color theme="0" tint="-0.499984740745262"/>
      </font>
      <fill>
        <patternFill patternType="solid">
          <bgColor theme="0"/>
        </patternFill>
      </fill>
    </dxf>
    <dxf>
      <font>
        <strike val="0"/>
        <color theme="0" tint="-0.499984740745262"/>
      </font>
      <fill>
        <patternFill patternType="solid">
          <bgColor theme="0"/>
        </patternFill>
      </fill>
    </dxf>
    <dxf>
      <font>
        <strike val="0"/>
        <color theme="0" tint="-0.499984740745262"/>
      </font>
      <fill>
        <patternFill patternType="solid">
          <bgColor theme="0"/>
        </patternFill>
      </fill>
    </dxf>
    <dxf>
      <font>
        <color theme="0" tint="-0.34998626667073579"/>
      </font>
    </dxf>
    <dxf>
      <font>
        <strike val="0"/>
        <color theme="0" tint="-0.499984740745262"/>
      </font>
      <fill>
        <patternFill patternType="none">
          <bgColor auto="1"/>
        </patternFill>
      </fill>
    </dxf>
    <dxf>
      <font>
        <color theme="0" tint="-0.34998626667073579"/>
      </font>
    </dxf>
    <dxf>
      <font>
        <color theme="0" tint="-0.34998626667073579"/>
      </font>
    </dxf>
    <dxf>
      <font>
        <color theme="0" tint="-0.34998626667073579"/>
      </font>
    </dxf>
    <dxf>
      <font>
        <color theme="0" tint="-0.34998626667073579"/>
      </font>
      <fill>
        <patternFill>
          <bgColor theme="0"/>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0" tint="-0.34998626667073579"/>
      </font>
      <fill>
        <patternFill>
          <bgColor theme="0"/>
        </patternFill>
      </fill>
    </dxf>
    <dxf>
      <font>
        <color theme="0" tint="-0.34998626667073579"/>
      </font>
      <fill>
        <patternFill>
          <bgColor theme="0"/>
        </patternFill>
      </fill>
    </dxf>
    <dxf>
      <font>
        <color theme="0" tint="-0.34998626667073579"/>
      </font>
      <fill>
        <patternFill>
          <bgColor theme="0"/>
        </patternFill>
      </fill>
    </dxf>
    <dxf>
      <font>
        <color theme="0" tint="-0.34998626667073579"/>
      </font>
      <fill>
        <patternFill>
          <bgColor theme="0"/>
        </patternFill>
      </fill>
    </dxf>
    <dxf>
      <fill>
        <patternFill>
          <bgColor theme="0" tint="-4.9989318521683403E-2"/>
        </patternFill>
      </fill>
    </dxf>
    <dxf>
      <font>
        <color theme="0" tint="-0.34998626667073579"/>
      </font>
      <fill>
        <patternFill patternType="solid">
          <bgColor theme="0"/>
        </patternFill>
      </fill>
    </dxf>
    <dxf>
      <font>
        <strike val="0"/>
        <color theme="0" tint="-0.34998626667073579"/>
      </font>
      <fill>
        <patternFill patternType="none">
          <fgColor auto="1"/>
          <bgColor auto="1"/>
        </patternFill>
      </fill>
    </dxf>
    <dxf>
      <font>
        <strike val="0"/>
        <color theme="0" tint="-0.34998626667073579"/>
      </font>
      <fill>
        <patternFill patternType="solid">
          <bgColor theme="0"/>
        </patternFill>
      </fill>
    </dxf>
  </dxfs>
  <tableStyles count="1" defaultTableStyle="TableStyleMedium9" defaultPivotStyle="PivotStyleLight16">
    <tableStyle name="MySqlDefault" pivot="0" table="0" count="0" xr9:uid="{00000000-0011-0000-FFFF-FFFF00000000}"/>
  </tableStyles>
  <colors>
    <mruColors>
      <color rgb="FF808080"/>
      <color rgb="FFFADA6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CheckBox" fmlaLink="$I$59" lockText="1"/>
</file>

<file path=xl/ctrlProps/ctrlProp2.xml><?xml version="1.0" encoding="utf-8"?>
<formControlPr xmlns="http://schemas.microsoft.com/office/spreadsheetml/2009/9/main" objectType="CheckBox" fmlaLink="$J$59" lockText="1"/>
</file>

<file path=xl/ctrlProps/ctrlProp3.xml><?xml version="1.0" encoding="utf-8"?>
<formControlPr xmlns="http://schemas.microsoft.com/office/spreadsheetml/2009/9/main" objectType="CheckBox" fmlaLink="$K$59" lockText="1"/>
</file>

<file path=xl/ctrlProps/ctrlProp4.xml><?xml version="1.0" encoding="utf-8"?>
<formControlPr xmlns="http://schemas.microsoft.com/office/spreadsheetml/2009/9/main" objectType="CheckBox" checked="Checked" lockText="1"/>
</file>

<file path=xl/ctrlProps/ctrlProp5.xml><?xml version="1.0" encoding="utf-8"?>
<formControlPr xmlns="http://schemas.microsoft.com/office/spreadsheetml/2009/9/main" objectType="CheckBox" checked="Checked" lockText="1"/>
</file>

<file path=xl/ctrlProps/ctrlProp6.xml><?xml version="1.0" encoding="utf-8"?>
<formControlPr xmlns="http://schemas.microsoft.com/office/spreadsheetml/2009/9/main" objectType="CheckBox" fmlaLink="$I$58"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O$12" lockText="1" noThreeD="1"/>
</file>

<file path=xl/ctrlProps/ctrlProp12.xml><?xml version="1.0" encoding="utf-8"?>
<formControlPr xmlns="http://schemas.microsoft.com/office/spreadsheetml/2009/9/main" objectType="Radio" checked="Checked" firstButton="1" fmlaLink="$O$6"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Radio" firstButton="1" fmlaLink="$Z$24" lockText="1"/>
</file>

<file path=xl/ctrlProps/ctrlProp57.xml><?xml version="1.0" encoding="utf-8"?>
<formControlPr xmlns="http://schemas.microsoft.com/office/spreadsheetml/2009/9/main" objectType="Radio" checked="Checked"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fmlaLink="$M$16" lockText="1"/>
</file>

<file path=xl/ctrlProps/ctrlProp63.xml><?xml version="1.0" encoding="utf-8"?>
<formControlPr xmlns="http://schemas.microsoft.com/office/spreadsheetml/2009/9/main" objectType="CheckBox" checked="Checked" fmlaLink="$N$16"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Radio" checked="Checked" firstButton="1" fmlaLink="$R$76" lockText="1"/>
</file>

<file path=xl/ctrlProps/ctrlProp87.xml><?xml version="1.0" encoding="utf-8"?>
<formControlPr xmlns="http://schemas.microsoft.com/office/spreadsheetml/2009/9/main" objectType="Radio" lockText="1"/>
</file>

<file path=xl/ctrlProps/ctrlProp88.xml><?xml version="1.0" encoding="utf-8"?>
<formControlPr xmlns="http://schemas.microsoft.com/office/spreadsheetml/2009/9/main" objectType="Radio" lockText="1"/>
</file>

<file path=xl/ctrlProps/ctrlProp89.xml><?xml version="1.0" encoding="utf-8"?>
<formControlPr xmlns="http://schemas.microsoft.com/office/spreadsheetml/2009/9/main" objectType="GBox" noThreeD="1"/>
</file>

<file path=xl/ctrlProps/ctrlProp90.xml><?xml version="1.0" encoding="utf-8"?>
<formControlPr xmlns="http://schemas.microsoft.com/office/spreadsheetml/2009/9/main" objectType="CheckBox" checked="Checked" fmlaLink="$AD$26" lockText="1"/>
</file>

<file path=xl/ctrlProps/ctrlProp91.xml><?xml version="1.0" encoding="utf-8"?>
<formControlPr xmlns="http://schemas.microsoft.com/office/spreadsheetml/2009/9/main" objectType="CheckBox" checked="Checked" fmlaLink="$T$46" lockText="1"/>
</file>

<file path=xl/ctrlProps/ctrlProp92.xml><?xml version="1.0" encoding="utf-8"?>
<formControlPr xmlns="http://schemas.microsoft.com/office/spreadsheetml/2009/9/main" objectType="Radio"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Radio" firstButton="1" fmlaLink="$R$77" lockText="1"/>
</file>

<file path=xl/ctrlProps/ctrlProp101.xml><?xml version="1.0" encoding="utf-8"?>
<formControlPr xmlns="http://schemas.microsoft.com/office/spreadsheetml/2009/9/main" objectType="Radio" lockText="1"/>
</file>

<file path=xl/ctrlProps/ctrlProp102.xml><?xml version="1.0" encoding="utf-8"?>
<formControlPr xmlns="http://schemas.microsoft.com/office/spreadsheetml/2009/9/main" objectType="Radio" lockText="1"/>
</file>

<file path=xl/ctrlProps/ctrlProp103.xml><?xml version="1.0" encoding="utf-8"?>
<formControlPr xmlns="http://schemas.microsoft.com/office/spreadsheetml/2009/9/main" objectType="GBox" noThreeD="1"/>
</file>

<file path=xl/ctrlProps/ctrlProp104.xml><?xml version="1.0" encoding="utf-8"?>
<formControlPr xmlns="http://schemas.microsoft.com/office/spreadsheetml/2009/9/main" objectType="CheckBox" checked="Checked" fmlaLink="$AD$26" lockText="1"/>
</file>

<file path=xl/ctrlProps/ctrlProp105.xml><?xml version="1.0" encoding="utf-8"?>
<formControlPr xmlns="http://schemas.microsoft.com/office/spreadsheetml/2009/9/main" objectType="CheckBox" checked="Checked" fmlaLink="$T$47" lockText="1" noThreeD="1"/>
</file>

<file path=xl/ctrlProps/ctrlProp106.xml><?xml version="1.0" encoding="utf-8"?>
<formControlPr xmlns="http://schemas.microsoft.com/office/spreadsheetml/2009/9/main" objectType="Radio"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Radio" checked="Checked" lockText="1"/>
</file>

<file path=xl/ctrlProps/ctrlProp115.xml><?xml version="1.0" encoding="utf-8"?>
<formControlPr xmlns="http://schemas.microsoft.com/office/spreadsheetml/2009/9/main" objectType="Radio" lockText="1"/>
</file>

<file path=xl/ctrlProps/ctrlProp116.xml><?xml version="1.0" encoding="utf-8"?>
<formControlPr xmlns="http://schemas.microsoft.com/office/spreadsheetml/2009/9/main" objectType="Radio" lockText="1"/>
</file>

<file path=xl/ctrlProps/ctrlProp117.xml><?xml version="1.0" encoding="utf-8"?>
<formControlPr xmlns="http://schemas.microsoft.com/office/spreadsheetml/2009/9/main" objectType="GBox" noThreeD="1"/>
</file>

<file path=xl/ctrlProps/ctrlProp118.xml><?xml version="1.0" encoding="utf-8"?>
<formControlPr xmlns="http://schemas.microsoft.com/office/spreadsheetml/2009/9/main" objectType="CheckBox" checked="Checked" fmlaLink="$AD$26" lockText="1"/>
</file>

<file path=xl/ctrlProps/ctrlProp119.xml><?xml version="1.0" encoding="utf-8"?>
<formControlPr xmlns="http://schemas.microsoft.com/office/spreadsheetml/2009/9/main" objectType="CheckBox" checked="Checked" fmlaLink="$T$47" lockText="1"/>
</file>

<file path=xl/ctrlProps/ctrlProp120.xml><?xml version="1.0" encoding="utf-8"?>
<formControlPr xmlns="http://schemas.microsoft.com/office/spreadsheetml/2009/9/main" objectType="Radio"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40747</xdr:colOff>
      <xdr:row>1</xdr:row>
      <xdr:rowOff>39161</xdr:rowOff>
    </xdr:from>
    <xdr:to>
      <xdr:col>3</xdr:col>
      <xdr:colOff>179653</xdr:colOff>
      <xdr:row>3</xdr:row>
      <xdr:rowOff>93400</xdr:rowOff>
    </xdr:to>
    <xdr:pic>
      <xdr:nvPicPr>
        <xdr:cNvPr id="2" name="Picture 2">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220664" y="229661"/>
          <a:ext cx="773906" cy="773906"/>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4</xdr:col>
          <xdr:colOff>914400</xdr:colOff>
          <xdr:row>59</xdr:row>
          <xdr:rowOff>38100</xdr:rowOff>
        </xdr:to>
        <xdr:sp macro="" textlink="">
          <xdr:nvSpPr>
            <xdr:cNvPr id="38920" name="Check Box 8" hidden="1">
              <a:extLst>
                <a:ext uri="{63B3BB69-23CF-44E3-9099-C40C66FF867C}">
                  <a14:compatExt spid="_x0000_s38920"/>
                </a:ext>
                <a:ext uri="{FF2B5EF4-FFF2-40B4-BE49-F238E27FC236}">
                  <a16:creationId xmlns:a16="http://schemas.microsoft.com/office/drawing/2014/main" id="{00000000-0008-0000-0200-000008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Tahoma"/>
                  <a:ea typeface="Tahoma"/>
                  <a:cs typeface="Tahoma"/>
                </a:rPr>
                <a:t>District Cooling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1127760</xdr:colOff>
          <xdr:row>58</xdr:row>
          <xdr:rowOff>0</xdr:rowOff>
        </xdr:from>
        <xdr:to>
          <xdr:col>4</xdr:col>
          <xdr:colOff>2057400</xdr:colOff>
          <xdr:row>59</xdr:row>
          <xdr:rowOff>38100</xdr:rowOff>
        </xdr:to>
        <xdr:sp macro="" textlink="">
          <xdr:nvSpPr>
            <xdr:cNvPr id="38921" name="Check Box 9" hidden="1">
              <a:extLst>
                <a:ext uri="{63B3BB69-23CF-44E3-9099-C40C66FF867C}">
                  <a14:compatExt spid="_x0000_s38921"/>
                </a:ext>
                <a:ext uri="{FF2B5EF4-FFF2-40B4-BE49-F238E27FC236}">
                  <a16:creationId xmlns:a16="http://schemas.microsoft.com/office/drawing/2014/main" id="{00000000-0008-0000-0200-000009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Tahoma"/>
                  <a:ea typeface="Tahoma"/>
                  <a:cs typeface="Tahoma"/>
                </a:rPr>
                <a:t>District Heating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58</xdr:row>
          <xdr:rowOff>0</xdr:rowOff>
        </xdr:from>
        <xdr:to>
          <xdr:col>6</xdr:col>
          <xdr:colOff>99060</xdr:colOff>
          <xdr:row>59</xdr:row>
          <xdr:rowOff>60960</xdr:rowOff>
        </xdr:to>
        <xdr:sp macro="" textlink="">
          <xdr:nvSpPr>
            <xdr:cNvPr id="38922" name="Check Box 10" hidden="1">
              <a:extLst>
                <a:ext uri="{63B3BB69-23CF-44E3-9099-C40C66FF867C}">
                  <a14:compatExt spid="_x0000_s38922"/>
                </a:ext>
                <a:ext uri="{FF2B5EF4-FFF2-40B4-BE49-F238E27FC236}">
                  <a16:creationId xmlns:a16="http://schemas.microsoft.com/office/drawing/2014/main" id="{00000000-0008-0000-0200-00000A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Tahoma"/>
                  <a:ea typeface="Tahoma"/>
                  <a:cs typeface="Tahoma"/>
                </a:rPr>
                <a:t>CHP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51</xdr:row>
          <xdr:rowOff>175260</xdr:rowOff>
        </xdr:from>
        <xdr:to>
          <xdr:col>1</xdr:col>
          <xdr:colOff>327660</xdr:colOff>
          <xdr:row>52</xdr:row>
          <xdr:rowOff>251460</xdr:rowOff>
        </xdr:to>
        <xdr:sp macro="" textlink="">
          <xdr:nvSpPr>
            <xdr:cNvPr id="38927" name="Check Box 15" hidden="1">
              <a:extLst>
                <a:ext uri="{63B3BB69-23CF-44E3-9099-C40C66FF867C}">
                  <a14:compatExt spid="_x0000_s38927"/>
                </a:ext>
                <a:ext uri="{FF2B5EF4-FFF2-40B4-BE49-F238E27FC236}">
                  <a16:creationId xmlns:a16="http://schemas.microsoft.com/office/drawing/2014/main" id="{00000000-0008-0000-0200-00000F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480060</xdr:rowOff>
        </xdr:from>
        <xdr:to>
          <xdr:col>1</xdr:col>
          <xdr:colOff>327660</xdr:colOff>
          <xdr:row>53</xdr:row>
          <xdr:rowOff>251460</xdr:rowOff>
        </xdr:to>
        <xdr:sp macro="" textlink="">
          <xdr:nvSpPr>
            <xdr:cNvPr id="38928" name="Check Box 16" hidden="1">
              <a:extLst>
                <a:ext uri="{63B3BB69-23CF-44E3-9099-C40C66FF867C}">
                  <a14:compatExt spid="_x0000_s38928"/>
                </a:ext>
                <a:ext uri="{FF2B5EF4-FFF2-40B4-BE49-F238E27FC236}">
                  <a16:creationId xmlns:a16="http://schemas.microsoft.com/office/drawing/2014/main" id="{00000000-0008-0000-0200-000010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55</xdr:row>
          <xdr:rowOff>251460</xdr:rowOff>
        </xdr:from>
        <xdr:to>
          <xdr:col>1</xdr:col>
          <xdr:colOff>327660</xdr:colOff>
          <xdr:row>56</xdr:row>
          <xdr:rowOff>228600</xdr:rowOff>
        </xdr:to>
        <xdr:sp macro="" textlink="">
          <xdr:nvSpPr>
            <xdr:cNvPr id="38933" name="DES_Checkbox" hidden="1">
              <a:extLst>
                <a:ext uri="{63B3BB69-23CF-44E3-9099-C40C66FF867C}">
                  <a14:compatExt spid="_x0000_s38933"/>
                </a:ext>
                <a:ext uri="{FF2B5EF4-FFF2-40B4-BE49-F238E27FC236}">
                  <a16:creationId xmlns:a16="http://schemas.microsoft.com/office/drawing/2014/main" id="{00000000-0008-0000-0200-000015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IN" sz="1100" b="0" i="0" u="none" strike="noStrike" baseline="0">
                  <a:solidFill>
                    <a:srgbClr val="000000"/>
                  </a:solidFill>
                  <a:latin typeface="Calibri"/>
                  <a:ea typeface="Calibri"/>
                  <a:cs typeface="Calibri"/>
                </a:rPr>
                <a:t> </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25</xdr:row>
          <xdr:rowOff>7620</xdr:rowOff>
        </xdr:from>
        <xdr:to>
          <xdr:col>2</xdr:col>
          <xdr:colOff>449580</xdr:colOff>
          <xdr:row>26</xdr:row>
          <xdr:rowOff>83820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Building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25</xdr:row>
          <xdr:rowOff>7620</xdr:rowOff>
        </xdr:from>
        <xdr:to>
          <xdr:col>3</xdr:col>
          <xdr:colOff>800100</xdr:colOff>
          <xdr:row>26</xdr:row>
          <xdr:rowOff>83820</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300-000002A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Building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18</xdr:row>
          <xdr:rowOff>0</xdr:rowOff>
        </xdr:from>
        <xdr:to>
          <xdr:col>2</xdr:col>
          <xdr:colOff>426720</xdr:colOff>
          <xdr:row>18</xdr:row>
          <xdr:rowOff>251460</xdr:rowOff>
        </xdr:to>
        <xdr:sp macro="" textlink="">
          <xdr:nvSpPr>
            <xdr:cNvPr id="107526" name="btnAddEnergyModel" hidden="1">
              <a:extLst>
                <a:ext uri="{63B3BB69-23CF-44E3-9099-C40C66FF867C}">
                  <a14:compatExt spid="_x0000_s107526"/>
                </a:ext>
                <a:ext uri="{FF2B5EF4-FFF2-40B4-BE49-F238E27FC236}">
                  <a16:creationId xmlns:a16="http://schemas.microsoft.com/office/drawing/2014/main" id="{00000000-0008-0000-0300-000006A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541020</xdr:colOff>
          <xdr:row>18</xdr:row>
          <xdr:rowOff>0</xdr:rowOff>
        </xdr:from>
        <xdr:to>
          <xdr:col>3</xdr:col>
          <xdr:colOff>800100</xdr:colOff>
          <xdr:row>18</xdr:row>
          <xdr:rowOff>236220</xdr:rowOff>
        </xdr:to>
        <xdr:sp macro="" textlink="">
          <xdr:nvSpPr>
            <xdr:cNvPr id="107527" name="btnDeleteEnergyModel" hidden="1">
              <a:extLst>
                <a:ext uri="{63B3BB69-23CF-44E3-9099-C40C66FF867C}">
                  <a14:compatExt spid="_x0000_s107527"/>
                </a:ext>
                <a:ext uri="{FF2B5EF4-FFF2-40B4-BE49-F238E27FC236}">
                  <a16:creationId xmlns:a16="http://schemas.microsoft.com/office/drawing/2014/main" id="{00000000-0008-0000-0300-000007A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11</xdr:row>
          <xdr:rowOff>182880</xdr:rowOff>
        </xdr:from>
        <xdr:to>
          <xdr:col>10</xdr:col>
          <xdr:colOff>784860</xdr:colOff>
          <xdr:row>11</xdr:row>
          <xdr:rowOff>464820</xdr:rowOff>
        </xdr:to>
        <xdr:sp macro="" textlink="">
          <xdr:nvSpPr>
            <xdr:cNvPr id="107531" name="EMSubset_Checkbox" descr="Project is submitting a subset of Energy Models for LEED Documentation. The energy consumption for the other buildings not individually submitted are reported as &quot;Residual Project&quot;" hidden="1">
              <a:extLst>
                <a:ext uri="{63B3BB69-23CF-44E3-9099-C40C66FF867C}">
                  <a14:compatExt spid="_x0000_s107531"/>
                </a:ext>
                <a:ext uri="{FF2B5EF4-FFF2-40B4-BE49-F238E27FC236}">
                  <a16:creationId xmlns:a16="http://schemas.microsoft.com/office/drawing/2014/main" id="{00000000-0008-0000-0300-00000BA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Tahoma"/>
                  <a:ea typeface="Tahoma"/>
                  <a:cs typeface="Tahoma"/>
                </a:rPr>
                <a:t>Details for a subset of LEED-ND Building energy models is reported here. The results for the remaining project energy models must be summed and reported as "Residual Project".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182880</xdr:colOff>
          <xdr:row>5</xdr:row>
          <xdr:rowOff>0</xdr:rowOff>
        </xdr:from>
        <xdr:to>
          <xdr:col>10</xdr:col>
          <xdr:colOff>609600</xdr:colOff>
          <xdr:row>5</xdr:row>
          <xdr:rowOff>190500</xdr:rowOff>
        </xdr:to>
        <xdr:sp macro="" textlink="">
          <xdr:nvSpPr>
            <xdr:cNvPr id="107534" name="rb1EnergyModelreporting" hidden="1">
              <a:extLst>
                <a:ext uri="{63B3BB69-23CF-44E3-9099-C40C66FF867C}">
                  <a14:compatExt spid="_x0000_s107534"/>
                </a:ext>
                <a:ext uri="{FF2B5EF4-FFF2-40B4-BE49-F238E27FC236}">
                  <a16:creationId xmlns:a16="http://schemas.microsoft.com/office/drawing/2014/main" id="{00000000-0008-0000-0300-00000E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IN" sz="1100" b="0" i="0" u="none" strike="noStrike" baseline="0">
                  <a:solidFill>
                    <a:srgbClr val="000000"/>
                  </a:solidFill>
                  <a:latin typeface="Calibri"/>
                  <a:ea typeface="Calibri"/>
                  <a:cs typeface="Calibri"/>
                </a:rPr>
                <a:t> Model each building in a separate energy model.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6</xdr:row>
          <xdr:rowOff>0</xdr:rowOff>
        </xdr:from>
        <xdr:to>
          <xdr:col>10</xdr:col>
          <xdr:colOff>754380</xdr:colOff>
          <xdr:row>6</xdr:row>
          <xdr:rowOff>190500</xdr:rowOff>
        </xdr:to>
        <xdr:sp macro="" textlink="">
          <xdr:nvSpPr>
            <xdr:cNvPr id="107536" name="rb2EnergyModelreporting" hidden="1">
              <a:extLst>
                <a:ext uri="{63B3BB69-23CF-44E3-9099-C40C66FF867C}">
                  <a14:compatExt spid="_x0000_s107536"/>
                </a:ext>
                <a:ext uri="{FF2B5EF4-FFF2-40B4-BE49-F238E27FC236}">
                  <a16:creationId xmlns:a16="http://schemas.microsoft.com/office/drawing/2014/main" id="{00000000-0008-0000-0300-000010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IN" sz="1100" b="0" i="0" u="none" strike="noStrike" baseline="0">
                  <a:solidFill>
                    <a:srgbClr val="000000"/>
                  </a:solidFill>
                  <a:latin typeface="Calibri"/>
                  <a:ea typeface="Calibri"/>
                  <a:cs typeface="Calibri"/>
                </a:rPr>
                <a:t> Model all buildings in one combined energy model.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7</xdr:row>
          <xdr:rowOff>0</xdr:rowOff>
        </xdr:from>
        <xdr:to>
          <xdr:col>10</xdr:col>
          <xdr:colOff>678180</xdr:colOff>
          <xdr:row>7</xdr:row>
          <xdr:rowOff>228600</xdr:rowOff>
        </xdr:to>
        <xdr:sp macro="" textlink="">
          <xdr:nvSpPr>
            <xdr:cNvPr id="107538" name="rb3EnergyModelreporting" hidden="1">
              <a:extLst>
                <a:ext uri="{63B3BB69-23CF-44E3-9099-C40C66FF867C}">
                  <a14:compatExt spid="_x0000_s107538"/>
                </a:ext>
                <a:ext uri="{FF2B5EF4-FFF2-40B4-BE49-F238E27FC236}">
                  <a16:creationId xmlns:a16="http://schemas.microsoft.com/office/drawing/2014/main" id="{00000000-0008-0000-0300-000012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IN" sz="1100" b="0" i="0" u="none" strike="noStrike" baseline="0">
                  <a:solidFill>
                    <a:srgbClr val="000000"/>
                  </a:solidFill>
                  <a:latin typeface="Calibri"/>
                  <a:ea typeface="Calibri"/>
                  <a:cs typeface="Calibri"/>
                </a:rPr>
                <a:t> Model a custom group of buildings per energy model.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4</xdr:row>
          <xdr:rowOff>274320</xdr:rowOff>
        </xdr:from>
        <xdr:to>
          <xdr:col>10</xdr:col>
          <xdr:colOff>784860</xdr:colOff>
          <xdr:row>8</xdr:row>
          <xdr:rowOff>22860</xdr:rowOff>
        </xdr:to>
        <xdr:sp macro="" textlink="">
          <xdr:nvSpPr>
            <xdr:cNvPr id="107541" name="rbgOutputReporting" hidden="1">
              <a:extLst>
                <a:ext uri="{63B3BB69-23CF-44E3-9099-C40C66FF867C}">
                  <a14:compatExt spid="_x0000_s107541"/>
                </a:ext>
                <a:ext uri="{FF2B5EF4-FFF2-40B4-BE49-F238E27FC236}">
                  <a16:creationId xmlns:a16="http://schemas.microsoft.com/office/drawing/2014/main" id="{00000000-0008-0000-0300-000015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2</xdr:col>
          <xdr:colOff>342900</xdr:colOff>
          <xdr:row>22</xdr:row>
          <xdr:rowOff>76200</xdr:rowOff>
        </xdr:to>
        <xdr:sp macro="" textlink="">
          <xdr:nvSpPr>
            <xdr:cNvPr id="96263" name="Button 7" hidden="1">
              <a:extLst>
                <a:ext uri="{63B3BB69-23CF-44E3-9099-C40C66FF867C}">
                  <a14:compatExt spid="_x0000_s96263"/>
                </a:ext>
                <a:ext uri="{FF2B5EF4-FFF2-40B4-BE49-F238E27FC236}">
                  <a16:creationId xmlns:a16="http://schemas.microsoft.com/office/drawing/2014/main" id="{00000000-0008-0000-0400-000007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403860</xdr:colOff>
          <xdr:row>21</xdr:row>
          <xdr:rowOff>0</xdr:rowOff>
        </xdr:from>
        <xdr:to>
          <xdr:col>2</xdr:col>
          <xdr:colOff>1744980</xdr:colOff>
          <xdr:row>22</xdr:row>
          <xdr:rowOff>76200</xdr:rowOff>
        </xdr:to>
        <xdr:sp macro="" textlink="">
          <xdr:nvSpPr>
            <xdr:cNvPr id="96265" name="Button 9" hidden="1">
              <a:extLst>
                <a:ext uri="{63B3BB69-23CF-44E3-9099-C40C66FF867C}">
                  <a14:compatExt spid="_x0000_s96265"/>
                </a:ext>
                <a:ext uri="{FF2B5EF4-FFF2-40B4-BE49-F238E27FC236}">
                  <a16:creationId xmlns:a16="http://schemas.microsoft.com/office/drawing/2014/main" id="{00000000-0008-0000-0400-000009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28</xdr:row>
          <xdr:rowOff>45720</xdr:rowOff>
        </xdr:from>
        <xdr:to>
          <xdr:col>3</xdr:col>
          <xdr:colOff>106680</xdr:colOff>
          <xdr:row>28</xdr:row>
          <xdr:rowOff>312420</xdr:rowOff>
        </xdr:to>
        <xdr:sp macro="" textlink="">
          <xdr:nvSpPr>
            <xdr:cNvPr id="169987" name="btnEFLH_On_Off_Abbreviated" hidden="1">
              <a:extLst>
                <a:ext uri="{63B3BB69-23CF-44E3-9099-C40C66FF867C}">
                  <a14:compatExt spid="_x0000_s169987"/>
                </a:ext>
                <a:ext uri="{FF2B5EF4-FFF2-40B4-BE49-F238E27FC236}">
                  <a16:creationId xmlns:a16="http://schemas.microsoft.com/office/drawing/2014/main" id="{00000000-0008-0000-0500-0000039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Copy &amp; Paste Schedule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44</xdr:row>
          <xdr:rowOff>60960</xdr:rowOff>
        </xdr:from>
        <xdr:to>
          <xdr:col>2</xdr:col>
          <xdr:colOff>563880</xdr:colOff>
          <xdr:row>44</xdr:row>
          <xdr:rowOff>327660</xdr:rowOff>
        </xdr:to>
        <xdr:sp macro="" textlink="">
          <xdr:nvSpPr>
            <xdr:cNvPr id="169988" name="btnEFLH_On_Off_Detailed" hidden="1">
              <a:extLst>
                <a:ext uri="{63B3BB69-23CF-44E3-9099-C40C66FF867C}">
                  <a14:compatExt spid="_x0000_s169988"/>
                </a:ext>
                <a:ext uri="{FF2B5EF4-FFF2-40B4-BE49-F238E27FC236}">
                  <a16:creationId xmlns:a16="http://schemas.microsoft.com/office/drawing/2014/main" id="{00000000-0008-0000-0500-0000049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Copy &amp; Paste Schedule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58</xdr:row>
          <xdr:rowOff>45720</xdr:rowOff>
        </xdr:from>
        <xdr:to>
          <xdr:col>3</xdr:col>
          <xdr:colOff>0</xdr:colOff>
          <xdr:row>58</xdr:row>
          <xdr:rowOff>312420</xdr:rowOff>
        </xdr:to>
        <xdr:sp macro="" textlink="">
          <xdr:nvSpPr>
            <xdr:cNvPr id="169990" name="btnEFLH_Fraction_Abbreviated" hidden="1">
              <a:extLst>
                <a:ext uri="{63B3BB69-23CF-44E3-9099-C40C66FF867C}">
                  <a14:compatExt spid="_x0000_s169990"/>
                </a:ext>
                <a:ext uri="{FF2B5EF4-FFF2-40B4-BE49-F238E27FC236}">
                  <a16:creationId xmlns:a16="http://schemas.microsoft.com/office/drawing/2014/main" id="{00000000-0008-0000-0500-0000069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Copy &amp; Paste Schedule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74</xdr:row>
          <xdr:rowOff>22860</xdr:rowOff>
        </xdr:from>
        <xdr:to>
          <xdr:col>2</xdr:col>
          <xdr:colOff>541020</xdr:colOff>
          <xdr:row>74</xdr:row>
          <xdr:rowOff>289560</xdr:rowOff>
        </xdr:to>
        <xdr:sp macro="" textlink="">
          <xdr:nvSpPr>
            <xdr:cNvPr id="169991" name="btnEFLH_Fraction_Detailed" hidden="1">
              <a:extLst>
                <a:ext uri="{63B3BB69-23CF-44E3-9099-C40C66FF867C}">
                  <a14:compatExt spid="_x0000_s169991"/>
                </a:ext>
                <a:ext uri="{FF2B5EF4-FFF2-40B4-BE49-F238E27FC236}">
                  <a16:creationId xmlns:a16="http://schemas.microsoft.com/office/drawing/2014/main" id="{00000000-0008-0000-0500-0000079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Copy &amp; Paste Schedule Above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36</xdr:row>
          <xdr:rowOff>175260</xdr:rowOff>
        </xdr:from>
        <xdr:to>
          <xdr:col>2</xdr:col>
          <xdr:colOff>556260</xdr:colOff>
          <xdr:row>38</xdr:row>
          <xdr:rowOff>38100</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600-000003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632460</xdr:colOff>
          <xdr:row>36</xdr:row>
          <xdr:rowOff>175260</xdr:rowOff>
        </xdr:from>
        <xdr:to>
          <xdr:col>3</xdr:col>
          <xdr:colOff>312420</xdr:colOff>
          <xdr:row>38</xdr:row>
          <xdr:rowOff>38100</xdr:rowOff>
        </xdr:to>
        <xdr:sp macro="" textlink="">
          <xdr:nvSpPr>
            <xdr:cNvPr id="120837" name="Button 5" hidden="1">
              <a:extLst>
                <a:ext uri="{63B3BB69-23CF-44E3-9099-C40C66FF867C}">
                  <a14:compatExt spid="_x0000_s120837"/>
                </a:ext>
                <a:ext uri="{FF2B5EF4-FFF2-40B4-BE49-F238E27FC236}">
                  <a16:creationId xmlns:a16="http://schemas.microsoft.com/office/drawing/2014/main" id="{00000000-0008-0000-0600-000005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63</xdr:row>
          <xdr:rowOff>83820</xdr:rowOff>
        </xdr:from>
        <xdr:to>
          <xdr:col>2</xdr:col>
          <xdr:colOff>556260</xdr:colOff>
          <xdr:row>64</xdr:row>
          <xdr:rowOff>144780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600-000007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632460</xdr:colOff>
          <xdr:row>63</xdr:row>
          <xdr:rowOff>83820</xdr:rowOff>
        </xdr:from>
        <xdr:to>
          <xdr:col>3</xdr:col>
          <xdr:colOff>312420</xdr:colOff>
          <xdr:row>64</xdr:row>
          <xdr:rowOff>144780</xdr:rowOff>
        </xdr:to>
        <xdr:sp macro="" textlink="">
          <xdr:nvSpPr>
            <xdr:cNvPr id="120840" name="Button 8" hidden="1">
              <a:extLst>
                <a:ext uri="{63B3BB69-23CF-44E3-9099-C40C66FF867C}">
                  <a14:compatExt spid="_x0000_s120840"/>
                </a:ext>
                <a:ext uri="{FF2B5EF4-FFF2-40B4-BE49-F238E27FC236}">
                  <a16:creationId xmlns:a16="http://schemas.microsoft.com/office/drawing/2014/main" id="{00000000-0008-0000-0600-000008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152400</xdr:colOff>
          <xdr:row>35</xdr:row>
          <xdr:rowOff>175260</xdr:rowOff>
        </xdr:from>
        <xdr:to>
          <xdr:col>2</xdr:col>
          <xdr:colOff>365760</xdr:colOff>
          <xdr:row>36</xdr:row>
          <xdr:rowOff>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700-000005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44</xdr:row>
          <xdr:rowOff>137160</xdr:rowOff>
        </xdr:from>
        <xdr:to>
          <xdr:col>2</xdr:col>
          <xdr:colOff>419100</xdr:colOff>
          <xdr:row>44</xdr:row>
          <xdr:rowOff>403860</xdr:rowOff>
        </xdr:to>
        <xdr:sp macro="" textlink="">
          <xdr:nvSpPr>
            <xdr:cNvPr id="20525" name="Button 45" hidden="1">
              <a:extLst>
                <a:ext uri="{63B3BB69-23CF-44E3-9099-C40C66FF867C}">
                  <a14:compatExt spid="_x0000_s20525"/>
                </a:ext>
                <a:ext uri="{FF2B5EF4-FFF2-40B4-BE49-F238E27FC236}">
                  <a16:creationId xmlns:a16="http://schemas.microsoft.com/office/drawing/2014/main" id="{00000000-0008-0000-0700-00002D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53</xdr:row>
          <xdr:rowOff>137160</xdr:rowOff>
        </xdr:from>
        <xdr:to>
          <xdr:col>2</xdr:col>
          <xdr:colOff>419100</xdr:colOff>
          <xdr:row>53</xdr:row>
          <xdr:rowOff>403860</xdr:rowOff>
        </xdr:to>
        <xdr:sp macro="" textlink="">
          <xdr:nvSpPr>
            <xdr:cNvPr id="20526" name="Button 46" hidden="1">
              <a:extLst>
                <a:ext uri="{63B3BB69-23CF-44E3-9099-C40C66FF867C}">
                  <a14:compatExt spid="_x0000_s20526"/>
                </a:ext>
                <a:ext uri="{FF2B5EF4-FFF2-40B4-BE49-F238E27FC236}">
                  <a16:creationId xmlns:a16="http://schemas.microsoft.com/office/drawing/2014/main" id="{00000000-0008-0000-0700-00002E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175260</xdr:colOff>
          <xdr:row>61</xdr:row>
          <xdr:rowOff>137160</xdr:rowOff>
        </xdr:from>
        <xdr:to>
          <xdr:col>2</xdr:col>
          <xdr:colOff>403860</xdr:colOff>
          <xdr:row>61</xdr:row>
          <xdr:rowOff>403860</xdr:rowOff>
        </xdr:to>
        <xdr:sp macro="" textlink="">
          <xdr:nvSpPr>
            <xdr:cNvPr id="20527" name="Button 47" hidden="1">
              <a:extLst>
                <a:ext uri="{63B3BB69-23CF-44E3-9099-C40C66FF867C}">
                  <a14:compatExt spid="_x0000_s20527"/>
                </a:ext>
                <a:ext uri="{FF2B5EF4-FFF2-40B4-BE49-F238E27FC236}">
                  <a16:creationId xmlns:a16="http://schemas.microsoft.com/office/drawing/2014/main" id="{00000000-0008-0000-0700-00002F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70</xdr:row>
          <xdr:rowOff>137160</xdr:rowOff>
        </xdr:from>
        <xdr:to>
          <xdr:col>2</xdr:col>
          <xdr:colOff>403860</xdr:colOff>
          <xdr:row>70</xdr:row>
          <xdr:rowOff>403860</xdr:rowOff>
        </xdr:to>
        <xdr:sp macro="" textlink="">
          <xdr:nvSpPr>
            <xdr:cNvPr id="20529" name="Button 49" hidden="1">
              <a:extLst>
                <a:ext uri="{63B3BB69-23CF-44E3-9099-C40C66FF867C}">
                  <a14:compatExt spid="_x0000_s20529"/>
                </a:ext>
                <a:ext uri="{FF2B5EF4-FFF2-40B4-BE49-F238E27FC236}">
                  <a16:creationId xmlns:a16="http://schemas.microsoft.com/office/drawing/2014/main" id="{00000000-0008-0000-0700-00003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78</xdr:row>
          <xdr:rowOff>99060</xdr:rowOff>
        </xdr:from>
        <xdr:to>
          <xdr:col>2</xdr:col>
          <xdr:colOff>365760</xdr:colOff>
          <xdr:row>78</xdr:row>
          <xdr:rowOff>381000</xdr:rowOff>
        </xdr:to>
        <xdr:sp macro="" textlink="">
          <xdr:nvSpPr>
            <xdr:cNvPr id="20530" name="Button 50" hidden="1">
              <a:extLst>
                <a:ext uri="{63B3BB69-23CF-44E3-9099-C40C66FF867C}">
                  <a14:compatExt spid="_x0000_s20530"/>
                </a:ext>
                <a:ext uri="{FF2B5EF4-FFF2-40B4-BE49-F238E27FC236}">
                  <a16:creationId xmlns:a16="http://schemas.microsoft.com/office/drawing/2014/main" id="{00000000-0008-0000-0700-000032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426720</xdr:colOff>
          <xdr:row>35</xdr:row>
          <xdr:rowOff>182880</xdr:rowOff>
        </xdr:from>
        <xdr:to>
          <xdr:col>3</xdr:col>
          <xdr:colOff>822960</xdr:colOff>
          <xdr:row>36</xdr:row>
          <xdr:rowOff>0</xdr:rowOff>
        </xdr:to>
        <xdr:sp macro="" textlink="">
          <xdr:nvSpPr>
            <xdr:cNvPr id="20560" name="Button 80" hidden="1">
              <a:extLst>
                <a:ext uri="{63B3BB69-23CF-44E3-9099-C40C66FF867C}">
                  <a14:compatExt spid="_x0000_s20560"/>
                </a:ext>
                <a:ext uri="{FF2B5EF4-FFF2-40B4-BE49-F238E27FC236}">
                  <a16:creationId xmlns:a16="http://schemas.microsoft.com/office/drawing/2014/main" id="{00000000-0008-0000-0700-000050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480060</xdr:colOff>
          <xdr:row>44</xdr:row>
          <xdr:rowOff>137160</xdr:rowOff>
        </xdr:from>
        <xdr:to>
          <xdr:col>4</xdr:col>
          <xdr:colOff>30480</xdr:colOff>
          <xdr:row>44</xdr:row>
          <xdr:rowOff>403860</xdr:rowOff>
        </xdr:to>
        <xdr:sp macro="" textlink="">
          <xdr:nvSpPr>
            <xdr:cNvPr id="20561" name="Button 81" hidden="1">
              <a:extLst>
                <a:ext uri="{63B3BB69-23CF-44E3-9099-C40C66FF867C}">
                  <a14:compatExt spid="_x0000_s20561"/>
                </a:ext>
                <a:ext uri="{FF2B5EF4-FFF2-40B4-BE49-F238E27FC236}">
                  <a16:creationId xmlns:a16="http://schemas.microsoft.com/office/drawing/2014/main" id="{00000000-0008-0000-0700-00005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53</xdr:row>
          <xdr:rowOff>137160</xdr:rowOff>
        </xdr:from>
        <xdr:to>
          <xdr:col>4</xdr:col>
          <xdr:colOff>38100</xdr:colOff>
          <xdr:row>53</xdr:row>
          <xdr:rowOff>403860</xdr:rowOff>
        </xdr:to>
        <xdr:sp macro="" textlink="">
          <xdr:nvSpPr>
            <xdr:cNvPr id="20562" name="Button 82" hidden="1">
              <a:extLst>
                <a:ext uri="{63B3BB69-23CF-44E3-9099-C40C66FF867C}">
                  <a14:compatExt spid="_x0000_s20562"/>
                </a:ext>
                <a:ext uri="{FF2B5EF4-FFF2-40B4-BE49-F238E27FC236}">
                  <a16:creationId xmlns:a16="http://schemas.microsoft.com/office/drawing/2014/main" id="{00000000-0008-0000-0700-000052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457200</xdr:colOff>
          <xdr:row>61</xdr:row>
          <xdr:rowOff>137160</xdr:rowOff>
        </xdr:from>
        <xdr:to>
          <xdr:col>4</xdr:col>
          <xdr:colOff>0</xdr:colOff>
          <xdr:row>61</xdr:row>
          <xdr:rowOff>403860</xdr:rowOff>
        </xdr:to>
        <xdr:sp macro="" textlink="">
          <xdr:nvSpPr>
            <xdr:cNvPr id="20563" name="Button 83" hidden="1">
              <a:extLst>
                <a:ext uri="{63B3BB69-23CF-44E3-9099-C40C66FF867C}">
                  <a14:compatExt spid="_x0000_s20563"/>
                </a:ext>
                <a:ext uri="{FF2B5EF4-FFF2-40B4-BE49-F238E27FC236}">
                  <a16:creationId xmlns:a16="http://schemas.microsoft.com/office/drawing/2014/main" id="{00000000-0008-0000-0700-000053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480060</xdr:colOff>
          <xdr:row>70</xdr:row>
          <xdr:rowOff>137160</xdr:rowOff>
        </xdr:from>
        <xdr:to>
          <xdr:col>4</xdr:col>
          <xdr:colOff>22860</xdr:colOff>
          <xdr:row>70</xdr:row>
          <xdr:rowOff>403860</xdr:rowOff>
        </xdr:to>
        <xdr:sp macro="" textlink="">
          <xdr:nvSpPr>
            <xdr:cNvPr id="20564" name="Button 84" hidden="1">
              <a:extLst>
                <a:ext uri="{63B3BB69-23CF-44E3-9099-C40C66FF867C}">
                  <a14:compatExt spid="_x0000_s20564"/>
                </a:ext>
                <a:ext uri="{FF2B5EF4-FFF2-40B4-BE49-F238E27FC236}">
                  <a16:creationId xmlns:a16="http://schemas.microsoft.com/office/drawing/2014/main" id="{00000000-0008-0000-0700-000054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441960</xdr:colOff>
          <xdr:row>78</xdr:row>
          <xdr:rowOff>114300</xdr:rowOff>
        </xdr:from>
        <xdr:to>
          <xdr:col>3</xdr:col>
          <xdr:colOff>830580</xdr:colOff>
          <xdr:row>78</xdr:row>
          <xdr:rowOff>381000</xdr:rowOff>
        </xdr:to>
        <xdr:sp macro="" textlink="">
          <xdr:nvSpPr>
            <xdr:cNvPr id="20565" name="Button 85" hidden="1">
              <a:extLst>
                <a:ext uri="{63B3BB69-23CF-44E3-9099-C40C66FF867C}">
                  <a14:compatExt spid="_x0000_s20565"/>
                </a:ext>
                <a:ext uri="{FF2B5EF4-FFF2-40B4-BE49-F238E27FC236}">
                  <a16:creationId xmlns:a16="http://schemas.microsoft.com/office/drawing/2014/main" id="{00000000-0008-0000-0700-000055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35</xdr:row>
          <xdr:rowOff>182880</xdr:rowOff>
        </xdr:from>
        <xdr:to>
          <xdr:col>11</xdr:col>
          <xdr:colOff>822960</xdr:colOff>
          <xdr:row>36</xdr:row>
          <xdr:rowOff>0</xdr:rowOff>
        </xdr:to>
        <xdr:sp macro="" textlink="">
          <xdr:nvSpPr>
            <xdr:cNvPr id="20567" name="Button 87" hidden="1">
              <a:extLst>
                <a:ext uri="{63B3BB69-23CF-44E3-9099-C40C66FF867C}">
                  <a14:compatExt spid="_x0000_s20567"/>
                </a:ext>
                <a:ext uri="{FF2B5EF4-FFF2-40B4-BE49-F238E27FC236}">
                  <a16:creationId xmlns:a16="http://schemas.microsoft.com/office/drawing/2014/main" id="{00000000-0008-0000-0700-000057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2278380</xdr:colOff>
          <xdr:row>44</xdr:row>
          <xdr:rowOff>137160</xdr:rowOff>
        </xdr:from>
        <xdr:to>
          <xdr:col>8</xdr:col>
          <xdr:colOff>944880</xdr:colOff>
          <xdr:row>44</xdr:row>
          <xdr:rowOff>403860</xdr:rowOff>
        </xdr:to>
        <xdr:sp macro="" textlink="">
          <xdr:nvSpPr>
            <xdr:cNvPr id="20570" name="Button 90" hidden="1">
              <a:extLst>
                <a:ext uri="{63B3BB69-23CF-44E3-9099-C40C66FF867C}">
                  <a14:compatExt spid="_x0000_s20570"/>
                </a:ext>
                <a:ext uri="{FF2B5EF4-FFF2-40B4-BE49-F238E27FC236}">
                  <a16:creationId xmlns:a16="http://schemas.microsoft.com/office/drawing/2014/main" id="{00000000-0008-0000-0700-00005A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2194560</xdr:colOff>
          <xdr:row>53</xdr:row>
          <xdr:rowOff>137160</xdr:rowOff>
        </xdr:from>
        <xdr:to>
          <xdr:col>8</xdr:col>
          <xdr:colOff>845820</xdr:colOff>
          <xdr:row>53</xdr:row>
          <xdr:rowOff>403860</xdr:rowOff>
        </xdr:to>
        <xdr:sp macro="" textlink="">
          <xdr:nvSpPr>
            <xdr:cNvPr id="20572" name="Button 92" hidden="1">
              <a:extLst>
                <a:ext uri="{63B3BB69-23CF-44E3-9099-C40C66FF867C}">
                  <a14:compatExt spid="_x0000_s20572"/>
                </a:ext>
                <a:ext uri="{FF2B5EF4-FFF2-40B4-BE49-F238E27FC236}">
                  <a16:creationId xmlns:a16="http://schemas.microsoft.com/office/drawing/2014/main" id="{00000000-0008-0000-0700-00005C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2286000</xdr:colOff>
          <xdr:row>61</xdr:row>
          <xdr:rowOff>137160</xdr:rowOff>
        </xdr:from>
        <xdr:to>
          <xdr:col>8</xdr:col>
          <xdr:colOff>944880</xdr:colOff>
          <xdr:row>61</xdr:row>
          <xdr:rowOff>403860</xdr:rowOff>
        </xdr:to>
        <xdr:sp macro="" textlink="">
          <xdr:nvSpPr>
            <xdr:cNvPr id="20573" name="Button 93" hidden="1">
              <a:extLst>
                <a:ext uri="{63B3BB69-23CF-44E3-9099-C40C66FF867C}">
                  <a14:compatExt spid="_x0000_s20573"/>
                </a:ext>
                <a:ext uri="{FF2B5EF4-FFF2-40B4-BE49-F238E27FC236}">
                  <a16:creationId xmlns:a16="http://schemas.microsoft.com/office/drawing/2014/main" id="{00000000-0008-0000-0700-00005D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Reset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2316480</xdr:colOff>
          <xdr:row>70</xdr:row>
          <xdr:rowOff>137160</xdr:rowOff>
        </xdr:from>
        <xdr:to>
          <xdr:col>8</xdr:col>
          <xdr:colOff>975360</xdr:colOff>
          <xdr:row>70</xdr:row>
          <xdr:rowOff>403860</xdr:rowOff>
        </xdr:to>
        <xdr:sp macro="" textlink="">
          <xdr:nvSpPr>
            <xdr:cNvPr id="20575" name="Button 95" hidden="1">
              <a:extLst>
                <a:ext uri="{63B3BB69-23CF-44E3-9099-C40C66FF867C}">
                  <a14:compatExt spid="_x0000_s20575"/>
                </a:ext>
                <a:ext uri="{FF2B5EF4-FFF2-40B4-BE49-F238E27FC236}">
                  <a16:creationId xmlns:a16="http://schemas.microsoft.com/office/drawing/2014/main" id="{00000000-0008-0000-0700-00005F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2286000</xdr:colOff>
          <xdr:row>78</xdr:row>
          <xdr:rowOff>114300</xdr:rowOff>
        </xdr:from>
        <xdr:to>
          <xdr:col>8</xdr:col>
          <xdr:colOff>952500</xdr:colOff>
          <xdr:row>78</xdr:row>
          <xdr:rowOff>381000</xdr:rowOff>
        </xdr:to>
        <xdr:sp macro="" textlink="">
          <xdr:nvSpPr>
            <xdr:cNvPr id="20576" name="Button 96" hidden="1">
              <a:extLst>
                <a:ext uri="{63B3BB69-23CF-44E3-9099-C40C66FF867C}">
                  <a14:compatExt spid="_x0000_s20576"/>
                </a:ext>
                <a:ext uri="{FF2B5EF4-FFF2-40B4-BE49-F238E27FC236}">
                  <a16:creationId xmlns:a16="http://schemas.microsoft.com/office/drawing/2014/main" id="{00000000-0008-0000-0700-000060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Reset Baseline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46</xdr:row>
          <xdr:rowOff>175260</xdr:rowOff>
        </xdr:from>
        <xdr:to>
          <xdr:col>2</xdr:col>
          <xdr:colOff>411480</xdr:colOff>
          <xdr:row>46</xdr:row>
          <xdr:rowOff>441960</xdr:rowOff>
        </xdr:to>
        <xdr:sp macro="" textlink="">
          <xdr:nvSpPr>
            <xdr:cNvPr id="55319" name="Button 23" hidden="1">
              <a:extLst>
                <a:ext uri="{63B3BB69-23CF-44E3-9099-C40C66FF867C}">
                  <a14:compatExt spid="_x0000_s55319"/>
                </a:ext>
                <a:ext uri="{FF2B5EF4-FFF2-40B4-BE49-F238E27FC236}">
                  <a16:creationId xmlns:a16="http://schemas.microsoft.com/office/drawing/2014/main" id="{00000000-0008-0000-0800-000017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152400</xdr:rowOff>
        </xdr:from>
        <xdr:to>
          <xdr:col>2</xdr:col>
          <xdr:colOff>403860</xdr:colOff>
          <xdr:row>54</xdr:row>
          <xdr:rowOff>441960</xdr:rowOff>
        </xdr:to>
        <xdr:sp macro="" textlink="">
          <xdr:nvSpPr>
            <xdr:cNvPr id="55320" name="Button 24" hidden="1">
              <a:extLst>
                <a:ext uri="{63B3BB69-23CF-44E3-9099-C40C66FF867C}">
                  <a14:compatExt spid="_x0000_s55320"/>
                </a:ext>
                <a:ext uri="{FF2B5EF4-FFF2-40B4-BE49-F238E27FC236}">
                  <a16:creationId xmlns:a16="http://schemas.microsoft.com/office/drawing/2014/main" id="{00000000-0008-0000-0800-000018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464820</xdr:colOff>
          <xdr:row>46</xdr:row>
          <xdr:rowOff>160020</xdr:rowOff>
        </xdr:from>
        <xdr:to>
          <xdr:col>4</xdr:col>
          <xdr:colOff>0</xdr:colOff>
          <xdr:row>46</xdr:row>
          <xdr:rowOff>426720</xdr:rowOff>
        </xdr:to>
        <xdr:sp macro="" textlink="">
          <xdr:nvSpPr>
            <xdr:cNvPr id="55339" name="Button 43" hidden="1">
              <a:extLst>
                <a:ext uri="{63B3BB69-23CF-44E3-9099-C40C66FF867C}">
                  <a14:compatExt spid="_x0000_s55339"/>
                </a:ext>
                <a:ext uri="{FF2B5EF4-FFF2-40B4-BE49-F238E27FC236}">
                  <a16:creationId xmlns:a16="http://schemas.microsoft.com/office/drawing/2014/main" id="{00000000-0008-0000-0800-00002B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480060</xdr:colOff>
          <xdr:row>54</xdr:row>
          <xdr:rowOff>152400</xdr:rowOff>
        </xdr:from>
        <xdr:to>
          <xdr:col>4</xdr:col>
          <xdr:colOff>0</xdr:colOff>
          <xdr:row>54</xdr:row>
          <xdr:rowOff>419100</xdr:rowOff>
        </xdr:to>
        <xdr:sp macro="" textlink="">
          <xdr:nvSpPr>
            <xdr:cNvPr id="55340" name="Button 44" hidden="1">
              <a:extLst>
                <a:ext uri="{63B3BB69-23CF-44E3-9099-C40C66FF867C}">
                  <a14:compatExt spid="_x0000_s55340"/>
                </a:ext>
                <a:ext uri="{FF2B5EF4-FFF2-40B4-BE49-F238E27FC236}">
                  <a16:creationId xmlns:a16="http://schemas.microsoft.com/office/drawing/2014/main" id="{00000000-0008-0000-0800-00002C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236220</xdr:colOff>
          <xdr:row>46</xdr:row>
          <xdr:rowOff>160020</xdr:rowOff>
        </xdr:from>
        <xdr:to>
          <xdr:col>12</xdr:col>
          <xdr:colOff>7620</xdr:colOff>
          <xdr:row>46</xdr:row>
          <xdr:rowOff>426720</xdr:rowOff>
        </xdr:to>
        <xdr:sp macro="" textlink="">
          <xdr:nvSpPr>
            <xdr:cNvPr id="55342" name="Button 46" hidden="1">
              <a:extLst>
                <a:ext uri="{63B3BB69-23CF-44E3-9099-C40C66FF867C}">
                  <a14:compatExt spid="_x0000_s55342"/>
                </a:ext>
                <a:ext uri="{FF2B5EF4-FFF2-40B4-BE49-F238E27FC236}">
                  <a16:creationId xmlns:a16="http://schemas.microsoft.com/office/drawing/2014/main" id="{00000000-0008-0000-0800-00002E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251460</xdr:colOff>
          <xdr:row>54</xdr:row>
          <xdr:rowOff>152400</xdr:rowOff>
        </xdr:from>
        <xdr:to>
          <xdr:col>12</xdr:col>
          <xdr:colOff>7620</xdr:colOff>
          <xdr:row>54</xdr:row>
          <xdr:rowOff>419100</xdr:rowOff>
        </xdr:to>
        <xdr:sp macro="" textlink="">
          <xdr:nvSpPr>
            <xdr:cNvPr id="55343" name="Button 47" hidden="1">
              <a:extLst>
                <a:ext uri="{63B3BB69-23CF-44E3-9099-C40C66FF867C}">
                  <a14:compatExt spid="_x0000_s55343"/>
                </a:ext>
                <a:ext uri="{FF2B5EF4-FFF2-40B4-BE49-F238E27FC236}">
                  <a16:creationId xmlns:a16="http://schemas.microsoft.com/office/drawing/2014/main" id="{00000000-0008-0000-0800-00002F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Reset Baseline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2</xdr:col>
          <xdr:colOff>441960</xdr:colOff>
          <xdr:row>44</xdr:row>
          <xdr:rowOff>266700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141</xdr:row>
          <xdr:rowOff>114300</xdr:rowOff>
        </xdr:from>
        <xdr:to>
          <xdr:col>2</xdr:col>
          <xdr:colOff>449580</xdr:colOff>
          <xdr:row>141</xdr:row>
          <xdr:rowOff>403860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A00-000020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78</xdr:row>
          <xdr:rowOff>0</xdr:rowOff>
        </xdr:from>
        <xdr:to>
          <xdr:col>2</xdr:col>
          <xdr:colOff>457200</xdr:colOff>
          <xdr:row>78</xdr:row>
          <xdr:rowOff>243840</xdr:rowOff>
        </xdr:to>
        <xdr:sp macro="" textlink="">
          <xdr:nvSpPr>
            <xdr:cNvPr id="5336" name="Button 216" hidden="1">
              <a:extLst>
                <a:ext uri="{63B3BB69-23CF-44E3-9099-C40C66FF867C}">
                  <a14:compatExt spid="_x0000_s5336"/>
                </a:ext>
                <a:ext uri="{FF2B5EF4-FFF2-40B4-BE49-F238E27FC236}">
                  <a16:creationId xmlns:a16="http://schemas.microsoft.com/office/drawing/2014/main" id="{00000000-0008-0000-0A00-0000D8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487680</xdr:colOff>
          <xdr:row>141</xdr:row>
          <xdr:rowOff>121920</xdr:rowOff>
        </xdr:from>
        <xdr:to>
          <xdr:col>2</xdr:col>
          <xdr:colOff>1828800</xdr:colOff>
          <xdr:row>141</xdr:row>
          <xdr:rowOff>403860</xdr:rowOff>
        </xdr:to>
        <xdr:sp macro="" textlink="">
          <xdr:nvSpPr>
            <xdr:cNvPr id="5374" name="Button 254" hidden="1">
              <a:extLst>
                <a:ext uri="{63B3BB69-23CF-44E3-9099-C40C66FF867C}">
                  <a14:compatExt spid="_x0000_s5374"/>
                </a:ext>
                <a:ext uri="{FF2B5EF4-FFF2-40B4-BE49-F238E27FC236}">
                  <a16:creationId xmlns:a16="http://schemas.microsoft.com/office/drawing/2014/main" id="{00000000-0008-0000-0A00-0000FE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37</xdr:row>
          <xdr:rowOff>0</xdr:rowOff>
        </xdr:from>
        <xdr:to>
          <xdr:col>2</xdr:col>
          <xdr:colOff>1836420</xdr:colOff>
          <xdr:row>44</xdr:row>
          <xdr:rowOff>266700</xdr:rowOff>
        </xdr:to>
        <xdr:sp macro="" textlink="">
          <xdr:nvSpPr>
            <xdr:cNvPr id="5375" name="Button 255" hidden="1">
              <a:extLst>
                <a:ext uri="{63B3BB69-23CF-44E3-9099-C40C66FF867C}">
                  <a14:compatExt spid="_x0000_s5375"/>
                </a:ext>
                <a:ext uri="{FF2B5EF4-FFF2-40B4-BE49-F238E27FC236}">
                  <a16:creationId xmlns:a16="http://schemas.microsoft.com/office/drawing/2014/main" id="{00000000-0008-0000-0A00-0000FF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78</xdr:row>
          <xdr:rowOff>0</xdr:rowOff>
        </xdr:from>
        <xdr:to>
          <xdr:col>2</xdr:col>
          <xdr:colOff>1912620</xdr:colOff>
          <xdr:row>78</xdr:row>
          <xdr:rowOff>228600</xdr:rowOff>
        </xdr:to>
        <xdr:sp macro="" textlink="">
          <xdr:nvSpPr>
            <xdr:cNvPr id="5377" name="Button 257" hidden="1">
              <a:extLst>
                <a:ext uri="{63B3BB69-23CF-44E3-9099-C40C66FF867C}">
                  <a14:compatExt spid="_x0000_s5377"/>
                </a:ext>
                <a:ext uri="{FF2B5EF4-FFF2-40B4-BE49-F238E27FC236}">
                  <a16:creationId xmlns:a16="http://schemas.microsoft.com/office/drawing/2014/main" id="{00000000-0008-0000-0A00-0000011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60960</xdr:colOff>
          <xdr:row>22</xdr:row>
          <xdr:rowOff>327660</xdr:rowOff>
        </xdr:from>
        <xdr:to>
          <xdr:col>14</xdr:col>
          <xdr:colOff>441960</xdr:colOff>
          <xdr:row>23</xdr:row>
          <xdr:rowOff>289560</xdr:rowOff>
        </xdr:to>
        <xdr:sp macro="" textlink="">
          <xdr:nvSpPr>
            <xdr:cNvPr id="5379" name="Option Button 259" hidden="1">
              <a:extLst>
                <a:ext uri="{63B3BB69-23CF-44E3-9099-C40C66FF867C}">
                  <a14:compatExt spid="_x0000_s5379"/>
                </a:ext>
                <a:ext uri="{FF2B5EF4-FFF2-40B4-BE49-F238E27FC236}">
                  <a16:creationId xmlns:a16="http://schemas.microsoft.com/office/drawing/2014/main" id="{00000000-0008-0000-0A00-000003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23</xdr:row>
          <xdr:rowOff>312420</xdr:rowOff>
        </xdr:from>
        <xdr:to>
          <xdr:col>14</xdr:col>
          <xdr:colOff>441960</xdr:colOff>
          <xdr:row>23</xdr:row>
          <xdr:rowOff>571500</xdr:rowOff>
        </xdr:to>
        <xdr:sp macro="" textlink="">
          <xdr:nvSpPr>
            <xdr:cNvPr id="5380" name="Option Button 260" hidden="1">
              <a:extLst>
                <a:ext uri="{63B3BB69-23CF-44E3-9099-C40C66FF867C}">
                  <a14:compatExt spid="_x0000_s5380"/>
                </a:ext>
                <a:ext uri="{FF2B5EF4-FFF2-40B4-BE49-F238E27FC236}">
                  <a16:creationId xmlns:a16="http://schemas.microsoft.com/office/drawing/2014/main" id="{00000000-0008-0000-0A00-000004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100</xdr:row>
          <xdr:rowOff>0</xdr:rowOff>
        </xdr:from>
        <xdr:to>
          <xdr:col>2</xdr:col>
          <xdr:colOff>441960</xdr:colOff>
          <xdr:row>100</xdr:row>
          <xdr:rowOff>251460</xdr:rowOff>
        </xdr:to>
        <xdr:sp macro="" textlink="">
          <xdr:nvSpPr>
            <xdr:cNvPr id="5381" name="Button 261" hidden="1">
              <a:extLst>
                <a:ext uri="{63B3BB69-23CF-44E3-9099-C40C66FF867C}">
                  <a14:compatExt spid="_x0000_s5381"/>
                </a:ext>
                <a:ext uri="{FF2B5EF4-FFF2-40B4-BE49-F238E27FC236}">
                  <a16:creationId xmlns:a16="http://schemas.microsoft.com/office/drawing/2014/main" id="{00000000-0008-0000-0A00-0000051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502920</xdr:colOff>
          <xdr:row>100</xdr:row>
          <xdr:rowOff>0</xdr:rowOff>
        </xdr:from>
        <xdr:to>
          <xdr:col>2</xdr:col>
          <xdr:colOff>1859280</xdr:colOff>
          <xdr:row>100</xdr:row>
          <xdr:rowOff>243840</xdr:rowOff>
        </xdr:to>
        <xdr:sp macro="" textlink="">
          <xdr:nvSpPr>
            <xdr:cNvPr id="5382" name="Button 262" hidden="1">
              <a:extLst>
                <a:ext uri="{63B3BB69-23CF-44E3-9099-C40C66FF867C}">
                  <a14:compatExt spid="_x0000_s5382"/>
                </a:ext>
                <a:ext uri="{FF2B5EF4-FFF2-40B4-BE49-F238E27FC236}">
                  <a16:creationId xmlns:a16="http://schemas.microsoft.com/office/drawing/2014/main" id="{00000000-0008-0000-0A00-0000061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45720</xdr:colOff>
          <xdr:row>58</xdr:row>
          <xdr:rowOff>0</xdr:rowOff>
        </xdr:from>
        <xdr:to>
          <xdr:col>2</xdr:col>
          <xdr:colOff>419100</xdr:colOff>
          <xdr:row>58</xdr:row>
          <xdr:rowOff>266700</xdr:rowOff>
        </xdr:to>
        <xdr:sp macro="" textlink="">
          <xdr:nvSpPr>
            <xdr:cNvPr id="6172" name="Button 28" hidden="1">
              <a:extLst>
                <a:ext uri="{63B3BB69-23CF-44E3-9099-C40C66FF867C}">
                  <a14:compatExt spid="_x0000_s6172"/>
                </a:ext>
                <a:ext uri="{FF2B5EF4-FFF2-40B4-BE49-F238E27FC236}">
                  <a16:creationId xmlns:a16="http://schemas.microsoft.com/office/drawing/2014/main" id="{00000000-0008-0000-0C00-00001C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78</xdr:row>
          <xdr:rowOff>99060</xdr:rowOff>
        </xdr:from>
        <xdr:to>
          <xdr:col>2</xdr:col>
          <xdr:colOff>388620</xdr:colOff>
          <xdr:row>78</xdr:row>
          <xdr:rowOff>365760</xdr:rowOff>
        </xdr:to>
        <xdr:sp macro="" textlink="">
          <xdr:nvSpPr>
            <xdr:cNvPr id="6174" name="Button 30" hidden="1">
              <a:extLst>
                <a:ext uri="{63B3BB69-23CF-44E3-9099-C40C66FF867C}">
                  <a14:compatExt spid="_x0000_s6174"/>
                </a:ext>
                <a:ext uri="{FF2B5EF4-FFF2-40B4-BE49-F238E27FC236}">
                  <a16:creationId xmlns:a16="http://schemas.microsoft.com/office/drawing/2014/main" id="{00000000-0008-0000-0C00-00001E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99060</xdr:colOff>
          <xdr:row>15</xdr:row>
          <xdr:rowOff>114300</xdr:rowOff>
        </xdr:from>
        <xdr:to>
          <xdr:col>6</xdr:col>
          <xdr:colOff>403860</xdr:colOff>
          <xdr:row>15</xdr:row>
          <xdr:rowOff>365760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C00-00003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99060</xdr:colOff>
          <xdr:row>15</xdr:row>
          <xdr:rowOff>441960</xdr:rowOff>
        </xdr:from>
        <xdr:to>
          <xdr:col>6</xdr:col>
          <xdr:colOff>342900</xdr:colOff>
          <xdr:row>15</xdr:row>
          <xdr:rowOff>647700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C00-00003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58</xdr:row>
          <xdr:rowOff>0</xdr:rowOff>
        </xdr:from>
        <xdr:to>
          <xdr:col>3</xdr:col>
          <xdr:colOff>922020</xdr:colOff>
          <xdr:row>58</xdr:row>
          <xdr:rowOff>266700</xdr:rowOff>
        </xdr:to>
        <xdr:sp macro="" textlink="">
          <xdr:nvSpPr>
            <xdr:cNvPr id="6226" name="Button 82" hidden="1">
              <a:extLst>
                <a:ext uri="{63B3BB69-23CF-44E3-9099-C40C66FF867C}">
                  <a14:compatExt spid="_x0000_s6226"/>
                </a:ext>
                <a:ext uri="{FF2B5EF4-FFF2-40B4-BE49-F238E27FC236}">
                  <a16:creationId xmlns:a16="http://schemas.microsoft.com/office/drawing/2014/main" id="{00000000-0008-0000-0C00-000052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502920</xdr:colOff>
          <xdr:row>78</xdr:row>
          <xdr:rowOff>99060</xdr:rowOff>
        </xdr:from>
        <xdr:to>
          <xdr:col>3</xdr:col>
          <xdr:colOff>868680</xdr:colOff>
          <xdr:row>78</xdr:row>
          <xdr:rowOff>365760</xdr:rowOff>
        </xdr:to>
        <xdr:sp macro="" textlink="">
          <xdr:nvSpPr>
            <xdr:cNvPr id="6227" name="Button 83" hidden="1">
              <a:extLst>
                <a:ext uri="{63B3BB69-23CF-44E3-9099-C40C66FF867C}">
                  <a14:compatExt spid="_x0000_s6227"/>
                </a:ext>
                <a:ext uri="{FF2B5EF4-FFF2-40B4-BE49-F238E27FC236}">
                  <a16:creationId xmlns:a16="http://schemas.microsoft.com/office/drawing/2014/main" id="{00000000-0008-0000-0C00-000053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32</xdr:row>
          <xdr:rowOff>0</xdr:rowOff>
        </xdr:from>
        <xdr:to>
          <xdr:col>2</xdr:col>
          <xdr:colOff>411480</xdr:colOff>
          <xdr:row>34</xdr:row>
          <xdr:rowOff>0</xdr:rowOff>
        </xdr:to>
        <xdr:sp macro="" textlink="">
          <xdr:nvSpPr>
            <xdr:cNvPr id="6230" name="Button 86" hidden="1">
              <a:extLst>
                <a:ext uri="{63B3BB69-23CF-44E3-9099-C40C66FF867C}">
                  <a14:compatExt spid="_x0000_s6230"/>
                </a:ext>
                <a:ext uri="{FF2B5EF4-FFF2-40B4-BE49-F238E27FC236}">
                  <a16:creationId xmlns:a16="http://schemas.microsoft.com/office/drawing/2014/main" id="{00000000-0008-0000-0C00-000056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32</xdr:row>
          <xdr:rowOff>0</xdr:rowOff>
        </xdr:from>
        <xdr:to>
          <xdr:col>3</xdr:col>
          <xdr:colOff>861060</xdr:colOff>
          <xdr:row>34</xdr:row>
          <xdr:rowOff>0</xdr:rowOff>
        </xdr:to>
        <xdr:sp macro="" textlink="">
          <xdr:nvSpPr>
            <xdr:cNvPr id="6231" name="Button 87" hidden="1">
              <a:extLst>
                <a:ext uri="{63B3BB69-23CF-44E3-9099-C40C66FF867C}">
                  <a14:compatExt spid="_x0000_s6231"/>
                </a:ext>
                <a:ext uri="{FF2B5EF4-FFF2-40B4-BE49-F238E27FC236}">
                  <a16:creationId xmlns:a16="http://schemas.microsoft.com/office/drawing/2014/main" id="{00000000-0008-0000-0C00-000057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87</xdr:row>
          <xdr:rowOff>99060</xdr:rowOff>
        </xdr:from>
        <xdr:to>
          <xdr:col>2</xdr:col>
          <xdr:colOff>373380</xdr:colOff>
          <xdr:row>87</xdr:row>
          <xdr:rowOff>365760</xdr:rowOff>
        </xdr:to>
        <xdr:sp macro="" textlink="">
          <xdr:nvSpPr>
            <xdr:cNvPr id="6238" name="Button 94" hidden="1">
              <a:extLst>
                <a:ext uri="{63B3BB69-23CF-44E3-9099-C40C66FF867C}">
                  <a14:compatExt spid="_x0000_s6238"/>
                </a:ext>
                <a:ext uri="{FF2B5EF4-FFF2-40B4-BE49-F238E27FC236}">
                  <a16:creationId xmlns:a16="http://schemas.microsoft.com/office/drawing/2014/main" id="{00000000-0008-0000-0C00-00005E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87</xdr:row>
          <xdr:rowOff>99060</xdr:rowOff>
        </xdr:from>
        <xdr:to>
          <xdr:col>3</xdr:col>
          <xdr:colOff>861060</xdr:colOff>
          <xdr:row>87</xdr:row>
          <xdr:rowOff>365760</xdr:rowOff>
        </xdr:to>
        <xdr:sp macro="" textlink="">
          <xdr:nvSpPr>
            <xdr:cNvPr id="6239" name="Button 95" hidden="1">
              <a:extLst>
                <a:ext uri="{63B3BB69-23CF-44E3-9099-C40C66FF867C}">
                  <a14:compatExt spid="_x0000_s6239"/>
                </a:ext>
                <a:ext uri="{FF2B5EF4-FFF2-40B4-BE49-F238E27FC236}">
                  <a16:creationId xmlns:a16="http://schemas.microsoft.com/office/drawing/2014/main" id="{00000000-0008-0000-0C00-00005F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80</xdr:row>
          <xdr:rowOff>381000</xdr:rowOff>
        </xdr:from>
        <xdr:to>
          <xdr:col>3</xdr:col>
          <xdr:colOff>899160</xdr:colOff>
          <xdr:row>81</xdr:row>
          <xdr:rowOff>190500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C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Tahoma"/>
                  <a:ea typeface="Tahoma"/>
                  <a:cs typeface="Tahoma"/>
                </a:rPr>
                <a:t> Credit is being taken for garage fan power</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58</xdr:row>
          <xdr:rowOff>137160</xdr:rowOff>
        </xdr:from>
        <xdr:to>
          <xdr:col>2</xdr:col>
          <xdr:colOff>175260</xdr:colOff>
          <xdr:row>58</xdr:row>
          <xdr:rowOff>419100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D00-000007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175260</xdr:colOff>
          <xdr:row>76</xdr:row>
          <xdr:rowOff>137160</xdr:rowOff>
        </xdr:from>
        <xdr:to>
          <xdr:col>2</xdr:col>
          <xdr:colOff>152400</xdr:colOff>
          <xdr:row>76</xdr:row>
          <xdr:rowOff>449580</xdr:rowOff>
        </xdr:to>
        <xdr:sp macro="" textlink="">
          <xdr:nvSpPr>
            <xdr:cNvPr id="7210" name="Button 42" hidden="1">
              <a:extLst>
                <a:ext uri="{63B3BB69-23CF-44E3-9099-C40C66FF867C}">
                  <a14:compatExt spid="_x0000_s7210"/>
                </a:ext>
                <a:ext uri="{FF2B5EF4-FFF2-40B4-BE49-F238E27FC236}">
                  <a16:creationId xmlns:a16="http://schemas.microsoft.com/office/drawing/2014/main" id="{00000000-0008-0000-0D00-00002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76</xdr:row>
          <xdr:rowOff>121920</xdr:rowOff>
        </xdr:from>
        <xdr:to>
          <xdr:col>2</xdr:col>
          <xdr:colOff>1569720</xdr:colOff>
          <xdr:row>76</xdr:row>
          <xdr:rowOff>449580</xdr:rowOff>
        </xdr:to>
        <xdr:sp macro="" textlink="">
          <xdr:nvSpPr>
            <xdr:cNvPr id="7211" name="Button 43" hidden="1">
              <a:extLst>
                <a:ext uri="{63B3BB69-23CF-44E3-9099-C40C66FF867C}">
                  <a14:compatExt spid="_x0000_s7211"/>
                </a:ext>
                <a:ext uri="{FF2B5EF4-FFF2-40B4-BE49-F238E27FC236}">
                  <a16:creationId xmlns:a16="http://schemas.microsoft.com/office/drawing/2014/main" id="{00000000-0008-0000-0D00-00002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32</xdr:row>
          <xdr:rowOff>114300</xdr:rowOff>
        </xdr:from>
        <xdr:to>
          <xdr:col>2</xdr:col>
          <xdr:colOff>571500</xdr:colOff>
          <xdr:row>32</xdr:row>
          <xdr:rowOff>381000</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E00-000008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22</xdr:row>
          <xdr:rowOff>137160</xdr:rowOff>
        </xdr:from>
        <xdr:to>
          <xdr:col>2</xdr:col>
          <xdr:colOff>556260</xdr:colOff>
          <xdr:row>22</xdr:row>
          <xdr:rowOff>403860</xdr:rowOff>
        </xdr:to>
        <xdr:sp macro="" textlink="">
          <xdr:nvSpPr>
            <xdr:cNvPr id="9302" name="Button 86" hidden="1">
              <a:extLst>
                <a:ext uri="{63B3BB69-23CF-44E3-9099-C40C66FF867C}">
                  <a14:compatExt spid="_x0000_s9302"/>
                </a:ext>
                <a:ext uri="{FF2B5EF4-FFF2-40B4-BE49-F238E27FC236}">
                  <a16:creationId xmlns:a16="http://schemas.microsoft.com/office/drawing/2014/main" id="{00000000-0008-0000-0E00-000056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632460</xdr:colOff>
          <xdr:row>32</xdr:row>
          <xdr:rowOff>121920</xdr:rowOff>
        </xdr:from>
        <xdr:to>
          <xdr:col>3</xdr:col>
          <xdr:colOff>274320</xdr:colOff>
          <xdr:row>32</xdr:row>
          <xdr:rowOff>388620</xdr:rowOff>
        </xdr:to>
        <xdr:sp macro="" textlink="">
          <xdr:nvSpPr>
            <xdr:cNvPr id="9479" name="Button 263" hidden="1">
              <a:extLst>
                <a:ext uri="{63B3BB69-23CF-44E3-9099-C40C66FF867C}">
                  <a14:compatExt spid="_x0000_s9479"/>
                </a:ext>
                <a:ext uri="{FF2B5EF4-FFF2-40B4-BE49-F238E27FC236}">
                  <a16:creationId xmlns:a16="http://schemas.microsoft.com/office/drawing/2014/main" id="{00000000-0008-0000-0E00-0000072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632460</xdr:colOff>
          <xdr:row>22</xdr:row>
          <xdr:rowOff>144780</xdr:rowOff>
        </xdr:from>
        <xdr:to>
          <xdr:col>3</xdr:col>
          <xdr:colOff>274320</xdr:colOff>
          <xdr:row>22</xdr:row>
          <xdr:rowOff>411480</xdr:rowOff>
        </xdr:to>
        <xdr:sp macro="" textlink="">
          <xdr:nvSpPr>
            <xdr:cNvPr id="9480" name="Button 264" hidden="1">
              <a:extLst>
                <a:ext uri="{63B3BB69-23CF-44E3-9099-C40C66FF867C}">
                  <a14:compatExt spid="_x0000_s9480"/>
                </a:ext>
                <a:ext uri="{FF2B5EF4-FFF2-40B4-BE49-F238E27FC236}">
                  <a16:creationId xmlns:a16="http://schemas.microsoft.com/office/drawing/2014/main" id="{00000000-0008-0000-0E00-0000082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1447800</xdr:colOff>
          <xdr:row>5</xdr:row>
          <xdr:rowOff>213360</xdr:rowOff>
        </xdr:from>
        <xdr:to>
          <xdr:col>2</xdr:col>
          <xdr:colOff>2712720</xdr:colOff>
          <xdr:row>6</xdr:row>
          <xdr:rowOff>228600</xdr:rowOff>
        </xdr:to>
        <xdr:sp macro="" textlink="">
          <xdr:nvSpPr>
            <xdr:cNvPr id="10270" name="Button 30" hidden="1">
              <a:extLst>
                <a:ext uri="{63B3BB69-23CF-44E3-9099-C40C66FF867C}">
                  <a14:compatExt spid="_x0000_s10270"/>
                </a:ext>
                <a:ext uri="{FF2B5EF4-FFF2-40B4-BE49-F238E27FC236}">
                  <a16:creationId xmlns:a16="http://schemas.microsoft.com/office/drawing/2014/main" id="{00000000-0008-0000-0F00-00001E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Add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106680</xdr:colOff>
          <xdr:row>5</xdr:row>
          <xdr:rowOff>213360</xdr:rowOff>
        </xdr:from>
        <xdr:to>
          <xdr:col>3</xdr:col>
          <xdr:colOff>1394460</xdr:colOff>
          <xdr:row>6</xdr:row>
          <xdr:rowOff>228600</xdr:rowOff>
        </xdr:to>
        <xdr:sp macro="" textlink="">
          <xdr:nvSpPr>
            <xdr:cNvPr id="15511" name="Button 1175" hidden="1">
              <a:extLst>
                <a:ext uri="{63B3BB69-23CF-44E3-9099-C40C66FF867C}">
                  <a14:compatExt spid="_x0000_s15511"/>
                </a:ext>
                <a:ext uri="{FF2B5EF4-FFF2-40B4-BE49-F238E27FC236}">
                  <a16:creationId xmlns:a16="http://schemas.microsoft.com/office/drawing/2014/main" id="{00000000-0008-0000-0F00-00009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Add Proposed</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2827020</xdr:colOff>
          <xdr:row>5</xdr:row>
          <xdr:rowOff>137160</xdr:rowOff>
        </xdr:from>
        <xdr:to>
          <xdr:col>2</xdr:col>
          <xdr:colOff>1470660</xdr:colOff>
          <xdr:row>6</xdr:row>
          <xdr:rowOff>259080</xdr:rowOff>
        </xdr:to>
        <xdr:sp macro="" textlink="">
          <xdr:nvSpPr>
            <xdr:cNvPr id="11487" name="Button 223" hidden="1">
              <a:extLst>
                <a:ext uri="{63B3BB69-23CF-44E3-9099-C40C66FF867C}">
                  <a14:compatExt spid="_x0000_s11487"/>
                </a:ext>
                <a:ext uri="{FF2B5EF4-FFF2-40B4-BE49-F238E27FC236}">
                  <a16:creationId xmlns:a16="http://schemas.microsoft.com/office/drawing/2014/main" id="{00000000-0008-0000-1000-0000DF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Proposed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1584960</xdr:colOff>
          <xdr:row>5</xdr:row>
          <xdr:rowOff>137160</xdr:rowOff>
        </xdr:from>
        <xdr:to>
          <xdr:col>2</xdr:col>
          <xdr:colOff>3337560</xdr:colOff>
          <xdr:row>6</xdr:row>
          <xdr:rowOff>251460</xdr:rowOff>
        </xdr:to>
        <xdr:sp macro="" textlink="">
          <xdr:nvSpPr>
            <xdr:cNvPr id="11491" name="Button 227" hidden="1">
              <a:extLst>
                <a:ext uri="{63B3BB69-23CF-44E3-9099-C40C66FF867C}">
                  <a14:compatExt spid="_x0000_s11491"/>
                </a:ext>
                <a:ext uri="{FF2B5EF4-FFF2-40B4-BE49-F238E27FC236}">
                  <a16:creationId xmlns:a16="http://schemas.microsoft.com/office/drawing/2014/main" id="{00000000-0008-0000-1000-0000E3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Proposed System</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21</xdr:row>
          <xdr:rowOff>99060</xdr:rowOff>
        </xdr:from>
        <xdr:to>
          <xdr:col>1</xdr:col>
          <xdr:colOff>1333500</xdr:colOff>
          <xdr:row>21</xdr:row>
          <xdr:rowOff>365760</xdr:rowOff>
        </xdr:to>
        <xdr:sp macro="" textlink="">
          <xdr:nvSpPr>
            <xdr:cNvPr id="139265" name="btnAddUtility" hidden="1">
              <a:extLst>
                <a:ext uri="{63B3BB69-23CF-44E3-9099-C40C66FF867C}">
                  <a14:compatExt spid="_x0000_s139265"/>
                </a:ext>
                <a:ext uri="{FF2B5EF4-FFF2-40B4-BE49-F238E27FC236}">
                  <a16:creationId xmlns:a16="http://schemas.microsoft.com/office/drawing/2014/main" id="{00000000-0008-0000-1300-000001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1379220</xdr:colOff>
          <xdr:row>21</xdr:row>
          <xdr:rowOff>106680</xdr:rowOff>
        </xdr:from>
        <xdr:to>
          <xdr:col>2</xdr:col>
          <xdr:colOff>1325880</xdr:colOff>
          <xdr:row>21</xdr:row>
          <xdr:rowOff>350520</xdr:rowOff>
        </xdr:to>
        <xdr:sp macro="" textlink="">
          <xdr:nvSpPr>
            <xdr:cNvPr id="139266" name="btnDeleteUtility" hidden="1">
              <a:extLst>
                <a:ext uri="{63B3BB69-23CF-44E3-9099-C40C66FF867C}">
                  <a14:compatExt spid="_x0000_s139266"/>
                </a:ext>
                <a:ext uri="{FF2B5EF4-FFF2-40B4-BE49-F238E27FC236}">
                  <a16:creationId xmlns:a16="http://schemas.microsoft.com/office/drawing/2014/main" id="{00000000-0008-0000-1300-000002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42</xdr:row>
          <xdr:rowOff>106680</xdr:rowOff>
        </xdr:from>
        <xdr:to>
          <xdr:col>1</xdr:col>
          <xdr:colOff>1417320</xdr:colOff>
          <xdr:row>42</xdr:row>
          <xdr:rowOff>373380</xdr:rowOff>
        </xdr:to>
        <xdr:sp macro="" textlink="">
          <xdr:nvSpPr>
            <xdr:cNvPr id="139267" name="btnAddRenewable" hidden="1">
              <a:extLst>
                <a:ext uri="{63B3BB69-23CF-44E3-9099-C40C66FF867C}">
                  <a14:compatExt spid="_x0000_s139267"/>
                </a:ext>
                <a:ext uri="{FF2B5EF4-FFF2-40B4-BE49-F238E27FC236}">
                  <a16:creationId xmlns:a16="http://schemas.microsoft.com/office/drawing/2014/main" id="{00000000-0008-0000-1300-000003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42</xdr:row>
          <xdr:rowOff>106680</xdr:rowOff>
        </xdr:from>
        <xdr:to>
          <xdr:col>2</xdr:col>
          <xdr:colOff>1402080</xdr:colOff>
          <xdr:row>42</xdr:row>
          <xdr:rowOff>373380</xdr:rowOff>
        </xdr:to>
        <xdr:sp macro="" textlink="">
          <xdr:nvSpPr>
            <xdr:cNvPr id="139268" name="btbDeleteRenewable" hidden="1">
              <a:extLst>
                <a:ext uri="{63B3BB69-23CF-44E3-9099-C40C66FF867C}">
                  <a14:compatExt spid="_x0000_s139268"/>
                </a:ext>
                <a:ext uri="{FF2B5EF4-FFF2-40B4-BE49-F238E27FC236}">
                  <a16:creationId xmlns:a16="http://schemas.microsoft.com/office/drawing/2014/main" id="{00000000-0008-0000-1300-000004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xdr:colOff>
          <xdr:row>75</xdr:row>
          <xdr:rowOff>60960</xdr:rowOff>
        </xdr:from>
        <xdr:to>
          <xdr:col>1</xdr:col>
          <xdr:colOff>464820</xdr:colOff>
          <xdr:row>75</xdr:row>
          <xdr:rowOff>266700</xdr:rowOff>
        </xdr:to>
        <xdr:sp macro="" textlink="">
          <xdr:nvSpPr>
            <xdr:cNvPr id="139269" name="rbOutputReporting1" hidden="1">
              <a:extLst>
                <a:ext uri="{63B3BB69-23CF-44E3-9099-C40C66FF867C}">
                  <a14:compatExt spid="_x0000_s139269"/>
                </a:ext>
                <a:ext uri="{FF2B5EF4-FFF2-40B4-BE49-F238E27FC236}">
                  <a16:creationId xmlns:a16="http://schemas.microsoft.com/office/drawing/2014/main" id="{00000000-0008-0000-1300-000005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76</xdr:row>
          <xdr:rowOff>60960</xdr:rowOff>
        </xdr:from>
        <xdr:to>
          <xdr:col>1</xdr:col>
          <xdr:colOff>419100</xdr:colOff>
          <xdr:row>77</xdr:row>
          <xdr:rowOff>190500</xdr:rowOff>
        </xdr:to>
        <xdr:sp macro="" textlink="">
          <xdr:nvSpPr>
            <xdr:cNvPr id="139270" name="rbOutputReporting2" hidden="1">
              <a:extLst>
                <a:ext uri="{63B3BB69-23CF-44E3-9099-C40C66FF867C}">
                  <a14:compatExt spid="_x0000_s139270"/>
                </a:ext>
                <a:ext uri="{FF2B5EF4-FFF2-40B4-BE49-F238E27FC236}">
                  <a16:creationId xmlns:a16="http://schemas.microsoft.com/office/drawing/2014/main" id="{00000000-0008-0000-1300-000006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80</xdr:row>
          <xdr:rowOff>60960</xdr:rowOff>
        </xdr:from>
        <xdr:to>
          <xdr:col>1</xdr:col>
          <xdr:colOff>441960</xdr:colOff>
          <xdr:row>81</xdr:row>
          <xdr:rowOff>213360</xdr:rowOff>
        </xdr:to>
        <xdr:sp macro="" textlink="">
          <xdr:nvSpPr>
            <xdr:cNvPr id="139271" name="rbOutputReporting4" hidden="1">
              <a:extLst>
                <a:ext uri="{63B3BB69-23CF-44E3-9099-C40C66FF867C}">
                  <a14:compatExt spid="_x0000_s139271"/>
                </a:ext>
                <a:ext uri="{FF2B5EF4-FFF2-40B4-BE49-F238E27FC236}">
                  <a16:creationId xmlns:a16="http://schemas.microsoft.com/office/drawing/2014/main" id="{00000000-0008-0000-1300-000007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73</xdr:row>
          <xdr:rowOff>365760</xdr:rowOff>
        </xdr:from>
        <xdr:to>
          <xdr:col>13</xdr:col>
          <xdr:colOff>0</xdr:colOff>
          <xdr:row>83</xdr:row>
          <xdr:rowOff>0</xdr:rowOff>
        </xdr:to>
        <xdr:sp macro="" textlink="">
          <xdr:nvSpPr>
            <xdr:cNvPr id="139272" name="rbgOutputReporting" hidden="1">
              <a:extLst>
                <a:ext uri="{63B3BB69-23CF-44E3-9099-C40C66FF867C}">
                  <a14:compatExt spid="_x0000_s139272"/>
                </a:ext>
                <a:ext uri="{FF2B5EF4-FFF2-40B4-BE49-F238E27FC236}">
                  <a16:creationId xmlns:a16="http://schemas.microsoft.com/office/drawing/2014/main" id="{00000000-0008-0000-1300-00000820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24</xdr:row>
          <xdr:rowOff>99060</xdr:rowOff>
        </xdr:from>
        <xdr:to>
          <xdr:col>1</xdr:col>
          <xdr:colOff>403860</xdr:colOff>
          <xdr:row>25</xdr:row>
          <xdr:rowOff>213360</xdr:rowOff>
        </xdr:to>
        <xdr:sp macro="" textlink="">
          <xdr:nvSpPr>
            <xdr:cNvPr id="139273" name="SiteRenewable Checkbox" hidden="1">
              <a:extLst>
                <a:ext uri="{63B3BB69-23CF-44E3-9099-C40C66FF867C}">
                  <a14:compatExt spid="_x0000_s139273"/>
                </a:ext>
                <a:ext uri="{FF2B5EF4-FFF2-40B4-BE49-F238E27FC236}">
                  <a16:creationId xmlns:a16="http://schemas.microsoft.com/office/drawing/2014/main" id="{00000000-0008-0000-1300-000009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45</xdr:row>
          <xdr:rowOff>76200</xdr:rowOff>
        </xdr:from>
        <xdr:to>
          <xdr:col>1</xdr:col>
          <xdr:colOff>403860</xdr:colOff>
          <xdr:row>46</xdr:row>
          <xdr:rowOff>251460</xdr:rowOff>
        </xdr:to>
        <xdr:sp macro="" textlink="">
          <xdr:nvSpPr>
            <xdr:cNvPr id="139274" name="ExcCalcCheckbox" hidden="1">
              <a:extLst>
                <a:ext uri="{63B3BB69-23CF-44E3-9099-C40C66FF867C}">
                  <a14:compatExt spid="_x0000_s139274"/>
                </a:ext>
                <a:ext uri="{FF2B5EF4-FFF2-40B4-BE49-F238E27FC236}">
                  <a16:creationId xmlns:a16="http://schemas.microsoft.com/office/drawing/2014/main" id="{00000000-0008-0000-1300-00000A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78</xdr:row>
          <xdr:rowOff>60960</xdr:rowOff>
        </xdr:from>
        <xdr:to>
          <xdr:col>1</xdr:col>
          <xdr:colOff>419100</xdr:colOff>
          <xdr:row>79</xdr:row>
          <xdr:rowOff>213360</xdr:rowOff>
        </xdr:to>
        <xdr:sp macro="" textlink="">
          <xdr:nvSpPr>
            <xdr:cNvPr id="139275" name="rbOutputReporting3" hidden="1">
              <a:extLst>
                <a:ext uri="{63B3BB69-23CF-44E3-9099-C40C66FF867C}">
                  <a14:compatExt spid="_x0000_s139275"/>
                </a:ext>
                <a:ext uri="{FF2B5EF4-FFF2-40B4-BE49-F238E27FC236}">
                  <a16:creationId xmlns:a16="http://schemas.microsoft.com/office/drawing/2014/main" id="{00000000-0008-0000-1300-00000B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42</xdr:row>
          <xdr:rowOff>152400</xdr:rowOff>
        </xdr:from>
        <xdr:to>
          <xdr:col>12</xdr:col>
          <xdr:colOff>1074420</xdr:colOff>
          <xdr:row>42</xdr:row>
          <xdr:rowOff>411480</xdr:rowOff>
        </xdr:to>
        <xdr:sp macro="" textlink="">
          <xdr:nvSpPr>
            <xdr:cNvPr id="139276" name="btnRestoreRenewCost" hidden="1">
              <a:extLst>
                <a:ext uri="{63B3BB69-23CF-44E3-9099-C40C66FF867C}">
                  <a14:compatExt spid="_x0000_s139276"/>
                </a:ext>
                <a:ext uri="{FF2B5EF4-FFF2-40B4-BE49-F238E27FC236}">
                  <a16:creationId xmlns:a16="http://schemas.microsoft.com/office/drawing/2014/main" id="{00000000-0008-0000-1300-00000C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70</xdr:row>
          <xdr:rowOff>175260</xdr:rowOff>
        </xdr:from>
        <xdr:to>
          <xdr:col>1</xdr:col>
          <xdr:colOff>1417320</xdr:colOff>
          <xdr:row>70</xdr:row>
          <xdr:rowOff>441960</xdr:rowOff>
        </xdr:to>
        <xdr:sp macro="" textlink="">
          <xdr:nvSpPr>
            <xdr:cNvPr id="139277" name="btnAddExCalc" hidden="1">
              <a:extLst>
                <a:ext uri="{63B3BB69-23CF-44E3-9099-C40C66FF867C}">
                  <a14:compatExt spid="_x0000_s139277"/>
                </a:ext>
                <a:ext uri="{FF2B5EF4-FFF2-40B4-BE49-F238E27FC236}">
                  <a16:creationId xmlns:a16="http://schemas.microsoft.com/office/drawing/2014/main" id="{00000000-0008-0000-1300-00000D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70</xdr:row>
          <xdr:rowOff>160020</xdr:rowOff>
        </xdr:from>
        <xdr:to>
          <xdr:col>2</xdr:col>
          <xdr:colOff>1432560</xdr:colOff>
          <xdr:row>70</xdr:row>
          <xdr:rowOff>441960</xdr:rowOff>
        </xdr:to>
        <xdr:sp macro="" textlink="">
          <xdr:nvSpPr>
            <xdr:cNvPr id="139278" name="btnDeleteExCalc" hidden="1">
              <a:extLst>
                <a:ext uri="{63B3BB69-23CF-44E3-9099-C40C66FF867C}">
                  <a14:compatExt spid="_x0000_s139278"/>
                </a:ext>
                <a:ext uri="{FF2B5EF4-FFF2-40B4-BE49-F238E27FC236}">
                  <a16:creationId xmlns:a16="http://schemas.microsoft.com/office/drawing/2014/main" id="{00000000-0008-0000-1300-00000E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70</xdr:row>
          <xdr:rowOff>144780</xdr:rowOff>
        </xdr:from>
        <xdr:to>
          <xdr:col>12</xdr:col>
          <xdr:colOff>1074420</xdr:colOff>
          <xdr:row>70</xdr:row>
          <xdr:rowOff>403860</xdr:rowOff>
        </xdr:to>
        <xdr:sp macro="" textlink="">
          <xdr:nvSpPr>
            <xdr:cNvPr id="139279" name="btnRestoreExCalCost" hidden="1">
              <a:extLst>
                <a:ext uri="{63B3BB69-23CF-44E3-9099-C40C66FF867C}">
                  <a14:compatExt spid="_x0000_s139279"/>
                </a:ext>
                <a:ext uri="{FF2B5EF4-FFF2-40B4-BE49-F238E27FC236}">
                  <a16:creationId xmlns:a16="http://schemas.microsoft.com/office/drawing/2014/main" id="{00000000-0008-0000-1300-00000F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518160</xdr:colOff>
          <xdr:row>234</xdr:row>
          <xdr:rowOff>144780</xdr:rowOff>
        </xdr:from>
        <xdr:to>
          <xdr:col>12</xdr:col>
          <xdr:colOff>1165860</xdr:colOff>
          <xdr:row>235</xdr:row>
          <xdr:rowOff>0</xdr:rowOff>
        </xdr:to>
        <xdr:sp macro="" textlink="">
          <xdr:nvSpPr>
            <xdr:cNvPr id="139292" name="btnRestoreExCalCost" hidden="1">
              <a:extLst>
                <a:ext uri="{63B3BB69-23CF-44E3-9099-C40C66FF867C}">
                  <a14:compatExt spid="_x0000_s139292"/>
                </a:ext>
                <a:ext uri="{FF2B5EF4-FFF2-40B4-BE49-F238E27FC236}">
                  <a16:creationId xmlns:a16="http://schemas.microsoft.com/office/drawing/2014/main" id="{00000000-0008-0000-1300-00001C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Restore Virtual Rates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60960</xdr:colOff>
          <xdr:row>43</xdr:row>
          <xdr:rowOff>106680</xdr:rowOff>
        </xdr:from>
        <xdr:to>
          <xdr:col>1</xdr:col>
          <xdr:colOff>1417320</xdr:colOff>
          <xdr:row>43</xdr:row>
          <xdr:rowOff>373380</xdr:rowOff>
        </xdr:to>
        <xdr:sp macro="" textlink="">
          <xdr:nvSpPr>
            <xdr:cNvPr id="160771" name="btnAddRenewable" hidden="1">
              <a:extLst>
                <a:ext uri="{63B3BB69-23CF-44E3-9099-C40C66FF867C}">
                  <a14:compatExt spid="_x0000_s160771"/>
                </a:ext>
                <a:ext uri="{FF2B5EF4-FFF2-40B4-BE49-F238E27FC236}">
                  <a16:creationId xmlns:a16="http://schemas.microsoft.com/office/drawing/2014/main" id="{00000000-0008-0000-1400-000003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43</xdr:row>
          <xdr:rowOff>106680</xdr:rowOff>
        </xdr:from>
        <xdr:to>
          <xdr:col>2</xdr:col>
          <xdr:colOff>1402080</xdr:colOff>
          <xdr:row>43</xdr:row>
          <xdr:rowOff>373380</xdr:rowOff>
        </xdr:to>
        <xdr:sp macro="" textlink="">
          <xdr:nvSpPr>
            <xdr:cNvPr id="160772" name="btbDeleteRenewable" hidden="1">
              <a:extLst>
                <a:ext uri="{63B3BB69-23CF-44E3-9099-C40C66FF867C}">
                  <a14:compatExt spid="_x0000_s160772"/>
                </a:ext>
                <a:ext uri="{FF2B5EF4-FFF2-40B4-BE49-F238E27FC236}">
                  <a16:creationId xmlns:a16="http://schemas.microsoft.com/office/drawing/2014/main" id="{00000000-0008-0000-1400-000004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76</xdr:row>
          <xdr:rowOff>60960</xdr:rowOff>
        </xdr:from>
        <xdr:to>
          <xdr:col>1</xdr:col>
          <xdr:colOff>441960</xdr:colOff>
          <xdr:row>76</xdr:row>
          <xdr:rowOff>266700</xdr:rowOff>
        </xdr:to>
        <xdr:sp macro="" textlink="">
          <xdr:nvSpPr>
            <xdr:cNvPr id="160773" name="rbOutputReporting1" hidden="1">
              <a:extLst>
                <a:ext uri="{63B3BB69-23CF-44E3-9099-C40C66FF867C}">
                  <a14:compatExt spid="_x0000_s160773"/>
                </a:ext>
                <a:ext uri="{FF2B5EF4-FFF2-40B4-BE49-F238E27FC236}">
                  <a16:creationId xmlns:a16="http://schemas.microsoft.com/office/drawing/2014/main" id="{00000000-0008-0000-1400-000005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77</xdr:row>
          <xdr:rowOff>60960</xdr:rowOff>
        </xdr:from>
        <xdr:to>
          <xdr:col>1</xdr:col>
          <xdr:colOff>419100</xdr:colOff>
          <xdr:row>78</xdr:row>
          <xdr:rowOff>190500</xdr:rowOff>
        </xdr:to>
        <xdr:sp macro="" textlink="">
          <xdr:nvSpPr>
            <xdr:cNvPr id="160774" name="rbOutputReporting2" hidden="1">
              <a:extLst>
                <a:ext uri="{63B3BB69-23CF-44E3-9099-C40C66FF867C}">
                  <a14:compatExt spid="_x0000_s160774"/>
                </a:ext>
                <a:ext uri="{FF2B5EF4-FFF2-40B4-BE49-F238E27FC236}">
                  <a16:creationId xmlns:a16="http://schemas.microsoft.com/office/drawing/2014/main" id="{00000000-0008-0000-1400-000006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81</xdr:row>
          <xdr:rowOff>60960</xdr:rowOff>
        </xdr:from>
        <xdr:to>
          <xdr:col>1</xdr:col>
          <xdr:colOff>441960</xdr:colOff>
          <xdr:row>82</xdr:row>
          <xdr:rowOff>213360</xdr:rowOff>
        </xdr:to>
        <xdr:sp macro="" textlink="">
          <xdr:nvSpPr>
            <xdr:cNvPr id="160775" name="rbOutputReporting4" hidden="1">
              <a:extLst>
                <a:ext uri="{63B3BB69-23CF-44E3-9099-C40C66FF867C}">
                  <a14:compatExt spid="_x0000_s160775"/>
                </a:ext>
                <a:ext uri="{FF2B5EF4-FFF2-40B4-BE49-F238E27FC236}">
                  <a16:creationId xmlns:a16="http://schemas.microsoft.com/office/drawing/2014/main" id="{00000000-0008-0000-1400-000007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74</xdr:row>
          <xdr:rowOff>365760</xdr:rowOff>
        </xdr:from>
        <xdr:to>
          <xdr:col>13</xdr:col>
          <xdr:colOff>0</xdr:colOff>
          <xdr:row>84</xdr:row>
          <xdr:rowOff>0</xdr:rowOff>
        </xdr:to>
        <xdr:sp macro="" textlink="">
          <xdr:nvSpPr>
            <xdr:cNvPr id="160776" name="rbgOutputReporting" hidden="1">
              <a:extLst>
                <a:ext uri="{63B3BB69-23CF-44E3-9099-C40C66FF867C}">
                  <a14:compatExt spid="_x0000_s160776"/>
                </a:ext>
                <a:ext uri="{FF2B5EF4-FFF2-40B4-BE49-F238E27FC236}">
                  <a16:creationId xmlns:a16="http://schemas.microsoft.com/office/drawing/2014/main" id="{00000000-0008-0000-1400-0000087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24</xdr:row>
          <xdr:rowOff>99060</xdr:rowOff>
        </xdr:from>
        <xdr:to>
          <xdr:col>1</xdr:col>
          <xdr:colOff>403860</xdr:colOff>
          <xdr:row>25</xdr:row>
          <xdr:rowOff>213360</xdr:rowOff>
        </xdr:to>
        <xdr:sp macro="" textlink="">
          <xdr:nvSpPr>
            <xdr:cNvPr id="160777" name="SiteRenewable Checkbox" hidden="1">
              <a:extLst>
                <a:ext uri="{63B3BB69-23CF-44E3-9099-C40C66FF867C}">
                  <a14:compatExt spid="_x0000_s160777"/>
                </a:ext>
                <a:ext uri="{FF2B5EF4-FFF2-40B4-BE49-F238E27FC236}">
                  <a16:creationId xmlns:a16="http://schemas.microsoft.com/office/drawing/2014/main" id="{00000000-0008-0000-1400-000009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46</xdr:row>
          <xdr:rowOff>76200</xdr:rowOff>
        </xdr:from>
        <xdr:to>
          <xdr:col>1</xdr:col>
          <xdr:colOff>403860</xdr:colOff>
          <xdr:row>47</xdr:row>
          <xdr:rowOff>251460</xdr:rowOff>
        </xdr:to>
        <xdr:sp macro="" textlink="">
          <xdr:nvSpPr>
            <xdr:cNvPr id="160778" name="ExcCalcCheckbox" hidden="1">
              <a:extLst>
                <a:ext uri="{63B3BB69-23CF-44E3-9099-C40C66FF867C}">
                  <a14:compatExt spid="_x0000_s160778"/>
                </a:ext>
                <a:ext uri="{FF2B5EF4-FFF2-40B4-BE49-F238E27FC236}">
                  <a16:creationId xmlns:a16="http://schemas.microsoft.com/office/drawing/2014/main" id="{00000000-0008-0000-1400-00000A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79</xdr:row>
          <xdr:rowOff>60960</xdr:rowOff>
        </xdr:from>
        <xdr:to>
          <xdr:col>1</xdr:col>
          <xdr:colOff>419100</xdr:colOff>
          <xdr:row>80</xdr:row>
          <xdr:rowOff>213360</xdr:rowOff>
        </xdr:to>
        <xdr:sp macro="" textlink="">
          <xdr:nvSpPr>
            <xdr:cNvPr id="160779" name="rbOutputReporting3" hidden="1">
              <a:extLst>
                <a:ext uri="{63B3BB69-23CF-44E3-9099-C40C66FF867C}">
                  <a14:compatExt spid="_x0000_s160779"/>
                </a:ext>
                <a:ext uri="{FF2B5EF4-FFF2-40B4-BE49-F238E27FC236}">
                  <a16:creationId xmlns:a16="http://schemas.microsoft.com/office/drawing/2014/main" id="{00000000-0008-0000-1400-00000B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43</xdr:row>
          <xdr:rowOff>152400</xdr:rowOff>
        </xdr:from>
        <xdr:to>
          <xdr:col>12</xdr:col>
          <xdr:colOff>1074420</xdr:colOff>
          <xdr:row>43</xdr:row>
          <xdr:rowOff>411480</xdr:rowOff>
        </xdr:to>
        <xdr:sp macro="" textlink="">
          <xdr:nvSpPr>
            <xdr:cNvPr id="160780" name="btnRestoreRenewCost" hidden="1">
              <a:extLst>
                <a:ext uri="{63B3BB69-23CF-44E3-9099-C40C66FF867C}">
                  <a14:compatExt spid="_x0000_s160780"/>
                </a:ext>
                <a:ext uri="{FF2B5EF4-FFF2-40B4-BE49-F238E27FC236}">
                  <a16:creationId xmlns:a16="http://schemas.microsoft.com/office/drawing/2014/main" id="{00000000-0008-0000-1400-00000C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71</xdr:row>
          <xdr:rowOff>175260</xdr:rowOff>
        </xdr:from>
        <xdr:to>
          <xdr:col>1</xdr:col>
          <xdr:colOff>1417320</xdr:colOff>
          <xdr:row>71</xdr:row>
          <xdr:rowOff>441960</xdr:rowOff>
        </xdr:to>
        <xdr:sp macro="" textlink="">
          <xdr:nvSpPr>
            <xdr:cNvPr id="160781" name="btnAddExCalc" hidden="1">
              <a:extLst>
                <a:ext uri="{63B3BB69-23CF-44E3-9099-C40C66FF867C}">
                  <a14:compatExt spid="_x0000_s160781"/>
                </a:ext>
                <a:ext uri="{FF2B5EF4-FFF2-40B4-BE49-F238E27FC236}">
                  <a16:creationId xmlns:a16="http://schemas.microsoft.com/office/drawing/2014/main" id="{00000000-0008-0000-1400-00000D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71</xdr:row>
          <xdr:rowOff>160020</xdr:rowOff>
        </xdr:from>
        <xdr:to>
          <xdr:col>2</xdr:col>
          <xdr:colOff>1432560</xdr:colOff>
          <xdr:row>71</xdr:row>
          <xdr:rowOff>441960</xdr:rowOff>
        </xdr:to>
        <xdr:sp macro="" textlink="">
          <xdr:nvSpPr>
            <xdr:cNvPr id="160782" name="btnDeleteExCalc" hidden="1">
              <a:extLst>
                <a:ext uri="{63B3BB69-23CF-44E3-9099-C40C66FF867C}">
                  <a14:compatExt spid="_x0000_s160782"/>
                </a:ext>
                <a:ext uri="{FF2B5EF4-FFF2-40B4-BE49-F238E27FC236}">
                  <a16:creationId xmlns:a16="http://schemas.microsoft.com/office/drawing/2014/main" id="{00000000-0008-0000-1400-00000E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71</xdr:row>
          <xdr:rowOff>144780</xdr:rowOff>
        </xdr:from>
        <xdr:to>
          <xdr:col>12</xdr:col>
          <xdr:colOff>1074420</xdr:colOff>
          <xdr:row>71</xdr:row>
          <xdr:rowOff>403860</xdr:rowOff>
        </xdr:to>
        <xdr:sp macro="" textlink="">
          <xdr:nvSpPr>
            <xdr:cNvPr id="160783" name="btnRestoreExCalCost" hidden="1">
              <a:extLst>
                <a:ext uri="{63B3BB69-23CF-44E3-9099-C40C66FF867C}">
                  <a14:compatExt spid="_x0000_s160783"/>
                </a:ext>
                <a:ext uri="{FF2B5EF4-FFF2-40B4-BE49-F238E27FC236}">
                  <a16:creationId xmlns:a16="http://schemas.microsoft.com/office/drawing/2014/main" id="{00000000-0008-0000-1400-00000F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525780</xdr:colOff>
          <xdr:row>235</xdr:row>
          <xdr:rowOff>144780</xdr:rowOff>
        </xdr:from>
        <xdr:to>
          <xdr:col>12</xdr:col>
          <xdr:colOff>1173480</xdr:colOff>
          <xdr:row>236</xdr:row>
          <xdr:rowOff>0</xdr:rowOff>
        </xdr:to>
        <xdr:sp macro="" textlink="">
          <xdr:nvSpPr>
            <xdr:cNvPr id="160790" name="btnRestoreExCalCost" hidden="1">
              <a:extLst>
                <a:ext uri="{63B3BB69-23CF-44E3-9099-C40C66FF867C}">
                  <a14:compatExt spid="_x0000_s160790"/>
                </a:ext>
                <a:ext uri="{FF2B5EF4-FFF2-40B4-BE49-F238E27FC236}">
                  <a16:creationId xmlns:a16="http://schemas.microsoft.com/office/drawing/2014/main" id="{00000000-0008-0000-1400-000016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Restore Virtual Rates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43</xdr:row>
          <xdr:rowOff>106680</xdr:rowOff>
        </xdr:from>
        <xdr:to>
          <xdr:col>1</xdr:col>
          <xdr:colOff>1417320</xdr:colOff>
          <xdr:row>43</xdr:row>
          <xdr:rowOff>373380</xdr:rowOff>
        </xdr:to>
        <xdr:sp macro="" textlink="">
          <xdr:nvSpPr>
            <xdr:cNvPr id="160793" name="btnAddRenewable" hidden="1">
              <a:extLst>
                <a:ext uri="{63B3BB69-23CF-44E3-9099-C40C66FF867C}">
                  <a14:compatExt spid="_x0000_s160793"/>
                </a:ext>
                <a:ext uri="{FF2B5EF4-FFF2-40B4-BE49-F238E27FC236}">
                  <a16:creationId xmlns:a16="http://schemas.microsoft.com/office/drawing/2014/main" id="{00000000-0008-0000-1400-000019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43</xdr:row>
          <xdr:rowOff>106680</xdr:rowOff>
        </xdr:from>
        <xdr:to>
          <xdr:col>2</xdr:col>
          <xdr:colOff>1402080</xdr:colOff>
          <xdr:row>43</xdr:row>
          <xdr:rowOff>373380</xdr:rowOff>
        </xdr:to>
        <xdr:sp macro="" textlink="">
          <xdr:nvSpPr>
            <xdr:cNvPr id="160794" name="btbDeleteRenewable" hidden="1">
              <a:extLst>
                <a:ext uri="{63B3BB69-23CF-44E3-9099-C40C66FF867C}">
                  <a14:compatExt spid="_x0000_s160794"/>
                </a:ext>
                <a:ext uri="{FF2B5EF4-FFF2-40B4-BE49-F238E27FC236}">
                  <a16:creationId xmlns:a16="http://schemas.microsoft.com/office/drawing/2014/main" id="{00000000-0008-0000-1400-00001A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xdr:colOff>
          <xdr:row>76</xdr:row>
          <xdr:rowOff>60960</xdr:rowOff>
        </xdr:from>
        <xdr:to>
          <xdr:col>1</xdr:col>
          <xdr:colOff>464820</xdr:colOff>
          <xdr:row>76</xdr:row>
          <xdr:rowOff>266700</xdr:rowOff>
        </xdr:to>
        <xdr:sp macro="" textlink="">
          <xdr:nvSpPr>
            <xdr:cNvPr id="160795" name="rbOutputReporting1" hidden="1">
              <a:extLst>
                <a:ext uri="{63B3BB69-23CF-44E3-9099-C40C66FF867C}">
                  <a14:compatExt spid="_x0000_s160795"/>
                </a:ext>
                <a:ext uri="{FF2B5EF4-FFF2-40B4-BE49-F238E27FC236}">
                  <a16:creationId xmlns:a16="http://schemas.microsoft.com/office/drawing/2014/main" id="{00000000-0008-0000-1400-00001B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77</xdr:row>
          <xdr:rowOff>60960</xdr:rowOff>
        </xdr:from>
        <xdr:to>
          <xdr:col>1</xdr:col>
          <xdr:colOff>419100</xdr:colOff>
          <xdr:row>78</xdr:row>
          <xdr:rowOff>190500</xdr:rowOff>
        </xdr:to>
        <xdr:sp macro="" textlink="">
          <xdr:nvSpPr>
            <xdr:cNvPr id="160796" name="rbOutputReporting2" hidden="1">
              <a:extLst>
                <a:ext uri="{63B3BB69-23CF-44E3-9099-C40C66FF867C}">
                  <a14:compatExt spid="_x0000_s160796"/>
                </a:ext>
                <a:ext uri="{FF2B5EF4-FFF2-40B4-BE49-F238E27FC236}">
                  <a16:creationId xmlns:a16="http://schemas.microsoft.com/office/drawing/2014/main" id="{00000000-0008-0000-1400-00001C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81</xdr:row>
          <xdr:rowOff>60960</xdr:rowOff>
        </xdr:from>
        <xdr:to>
          <xdr:col>1</xdr:col>
          <xdr:colOff>441960</xdr:colOff>
          <xdr:row>82</xdr:row>
          <xdr:rowOff>213360</xdr:rowOff>
        </xdr:to>
        <xdr:sp macro="" textlink="">
          <xdr:nvSpPr>
            <xdr:cNvPr id="160797" name="rbOutputReporting4" hidden="1">
              <a:extLst>
                <a:ext uri="{63B3BB69-23CF-44E3-9099-C40C66FF867C}">
                  <a14:compatExt spid="_x0000_s160797"/>
                </a:ext>
                <a:ext uri="{FF2B5EF4-FFF2-40B4-BE49-F238E27FC236}">
                  <a16:creationId xmlns:a16="http://schemas.microsoft.com/office/drawing/2014/main" id="{00000000-0008-0000-1400-00001D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74</xdr:row>
          <xdr:rowOff>365760</xdr:rowOff>
        </xdr:from>
        <xdr:to>
          <xdr:col>13</xdr:col>
          <xdr:colOff>0</xdr:colOff>
          <xdr:row>84</xdr:row>
          <xdr:rowOff>0</xdr:rowOff>
        </xdr:to>
        <xdr:sp macro="" textlink="">
          <xdr:nvSpPr>
            <xdr:cNvPr id="160798" name="rbgOutputReporting" hidden="1">
              <a:extLst>
                <a:ext uri="{63B3BB69-23CF-44E3-9099-C40C66FF867C}">
                  <a14:compatExt spid="_x0000_s160798"/>
                </a:ext>
                <a:ext uri="{FF2B5EF4-FFF2-40B4-BE49-F238E27FC236}">
                  <a16:creationId xmlns:a16="http://schemas.microsoft.com/office/drawing/2014/main" id="{00000000-0008-0000-1400-00001E7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24</xdr:row>
          <xdr:rowOff>99060</xdr:rowOff>
        </xdr:from>
        <xdr:to>
          <xdr:col>1</xdr:col>
          <xdr:colOff>403860</xdr:colOff>
          <xdr:row>25</xdr:row>
          <xdr:rowOff>213360</xdr:rowOff>
        </xdr:to>
        <xdr:sp macro="" textlink="">
          <xdr:nvSpPr>
            <xdr:cNvPr id="160799" name="SiteRenewable Checkbox" hidden="1">
              <a:extLst>
                <a:ext uri="{63B3BB69-23CF-44E3-9099-C40C66FF867C}">
                  <a14:compatExt spid="_x0000_s160799"/>
                </a:ext>
                <a:ext uri="{FF2B5EF4-FFF2-40B4-BE49-F238E27FC236}">
                  <a16:creationId xmlns:a16="http://schemas.microsoft.com/office/drawing/2014/main" id="{00000000-0008-0000-1400-00001F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46</xdr:row>
          <xdr:rowOff>76200</xdr:rowOff>
        </xdr:from>
        <xdr:to>
          <xdr:col>1</xdr:col>
          <xdr:colOff>403860</xdr:colOff>
          <xdr:row>47</xdr:row>
          <xdr:rowOff>251460</xdr:rowOff>
        </xdr:to>
        <xdr:sp macro="" textlink="">
          <xdr:nvSpPr>
            <xdr:cNvPr id="160800" name="ExcCalcCheckbox" hidden="1">
              <a:extLst>
                <a:ext uri="{63B3BB69-23CF-44E3-9099-C40C66FF867C}">
                  <a14:compatExt spid="_x0000_s160800"/>
                </a:ext>
                <a:ext uri="{FF2B5EF4-FFF2-40B4-BE49-F238E27FC236}">
                  <a16:creationId xmlns:a16="http://schemas.microsoft.com/office/drawing/2014/main" id="{00000000-0008-0000-1400-000020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79</xdr:row>
          <xdr:rowOff>60960</xdr:rowOff>
        </xdr:from>
        <xdr:to>
          <xdr:col>1</xdr:col>
          <xdr:colOff>419100</xdr:colOff>
          <xdr:row>80</xdr:row>
          <xdr:rowOff>213360</xdr:rowOff>
        </xdr:to>
        <xdr:sp macro="" textlink="">
          <xdr:nvSpPr>
            <xdr:cNvPr id="160801" name="rbOutputReporting3" hidden="1">
              <a:extLst>
                <a:ext uri="{63B3BB69-23CF-44E3-9099-C40C66FF867C}">
                  <a14:compatExt spid="_x0000_s160801"/>
                </a:ext>
                <a:ext uri="{FF2B5EF4-FFF2-40B4-BE49-F238E27FC236}">
                  <a16:creationId xmlns:a16="http://schemas.microsoft.com/office/drawing/2014/main" id="{00000000-0008-0000-1400-000021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43</xdr:row>
          <xdr:rowOff>152400</xdr:rowOff>
        </xdr:from>
        <xdr:to>
          <xdr:col>12</xdr:col>
          <xdr:colOff>1074420</xdr:colOff>
          <xdr:row>43</xdr:row>
          <xdr:rowOff>411480</xdr:rowOff>
        </xdr:to>
        <xdr:sp macro="" textlink="">
          <xdr:nvSpPr>
            <xdr:cNvPr id="160802" name="btnRestoreRenewCost" hidden="1">
              <a:extLst>
                <a:ext uri="{63B3BB69-23CF-44E3-9099-C40C66FF867C}">
                  <a14:compatExt spid="_x0000_s160802"/>
                </a:ext>
                <a:ext uri="{FF2B5EF4-FFF2-40B4-BE49-F238E27FC236}">
                  <a16:creationId xmlns:a16="http://schemas.microsoft.com/office/drawing/2014/main" id="{00000000-0008-0000-1400-000022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71</xdr:row>
          <xdr:rowOff>175260</xdr:rowOff>
        </xdr:from>
        <xdr:to>
          <xdr:col>1</xdr:col>
          <xdr:colOff>1417320</xdr:colOff>
          <xdr:row>71</xdr:row>
          <xdr:rowOff>441960</xdr:rowOff>
        </xdr:to>
        <xdr:sp macro="" textlink="">
          <xdr:nvSpPr>
            <xdr:cNvPr id="160803" name="btnAddExCalc" hidden="1">
              <a:extLst>
                <a:ext uri="{63B3BB69-23CF-44E3-9099-C40C66FF867C}">
                  <a14:compatExt spid="_x0000_s160803"/>
                </a:ext>
                <a:ext uri="{FF2B5EF4-FFF2-40B4-BE49-F238E27FC236}">
                  <a16:creationId xmlns:a16="http://schemas.microsoft.com/office/drawing/2014/main" id="{00000000-0008-0000-1400-000023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71</xdr:row>
          <xdr:rowOff>160020</xdr:rowOff>
        </xdr:from>
        <xdr:to>
          <xdr:col>2</xdr:col>
          <xdr:colOff>1432560</xdr:colOff>
          <xdr:row>71</xdr:row>
          <xdr:rowOff>441960</xdr:rowOff>
        </xdr:to>
        <xdr:sp macro="" textlink="">
          <xdr:nvSpPr>
            <xdr:cNvPr id="160804" name="btnDeleteExCalc" hidden="1">
              <a:extLst>
                <a:ext uri="{63B3BB69-23CF-44E3-9099-C40C66FF867C}">
                  <a14:compatExt spid="_x0000_s160804"/>
                </a:ext>
                <a:ext uri="{FF2B5EF4-FFF2-40B4-BE49-F238E27FC236}">
                  <a16:creationId xmlns:a16="http://schemas.microsoft.com/office/drawing/2014/main" id="{00000000-0008-0000-1400-000024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71</xdr:row>
          <xdr:rowOff>144780</xdr:rowOff>
        </xdr:from>
        <xdr:to>
          <xdr:col>12</xdr:col>
          <xdr:colOff>1074420</xdr:colOff>
          <xdr:row>71</xdr:row>
          <xdr:rowOff>403860</xdr:rowOff>
        </xdr:to>
        <xdr:sp macro="" textlink="">
          <xdr:nvSpPr>
            <xdr:cNvPr id="160805" name="btnRestoreExCalCost" hidden="1">
              <a:extLst>
                <a:ext uri="{63B3BB69-23CF-44E3-9099-C40C66FF867C}">
                  <a14:compatExt spid="_x0000_s160805"/>
                </a:ext>
                <a:ext uri="{FF2B5EF4-FFF2-40B4-BE49-F238E27FC236}">
                  <a16:creationId xmlns:a16="http://schemas.microsoft.com/office/drawing/2014/main" id="{00000000-0008-0000-1400-000025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518160</xdr:colOff>
          <xdr:row>235</xdr:row>
          <xdr:rowOff>144780</xdr:rowOff>
        </xdr:from>
        <xdr:to>
          <xdr:col>12</xdr:col>
          <xdr:colOff>1165860</xdr:colOff>
          <xdr:row>236</xdr:row>
          <xdr:rowOff>0</xdr:rowOff>
        </xdr:to>
        <xdr:sp macro="" textlink="">
          <xdr:nvSpPr>
            <xdr:cNvPr id="160806" name="Button 38" hidden="1">
              <a:extLst>
                <a:ext uri="{63B3BB69-23CF-44E3-9099-C40C66FF867C}">
                  <a14:compatExt spid="_x0000_s160806"/>
                </a:ext>
                <a:ext uri="{FF2B5EF4-FFF2-40B4-BE49-F238E27FC236}">
                  <a16:creationId xmlns:a16="http://schemas.microsoft.com/office/drawing/2014/main" id="{00000000-0008-0000-1400-000026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Restore Virtual Rates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Envelope%20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nvelope Lookup"/>
    </sheetNames>
    <sheetDataSet>
      <sheetData sheetId="0"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drawing" Target="../drawings/drawing3.xml"/><Relationship Id="rId7" Type="http://schemas.openxmlformats.org/officeDocument/2006/relationships/ctrlProp" Target="../ctrlProps/ctrlProp9.xml"/><Relationship Id="rId12" Type="http://schemas.openxmlformats.org/officeDocument/2006/relationships/ctrlProp" Target="../ctrlProps/ctrlProp14.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vmlDrawing" Target="../drawings/vmlDrawing2.vml"/><Relationship Id="rId9"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21.x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drawing" Target="../drawings/drawing6.xml"/><Relationship Id="rId7" Type="http://schemas.openxmlformats.org/officeDocument/2006/relationships/ctrlProp" Target="../ctrlProps/ctrlProp24.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3" Type="http://schemas.openxmlformats.org/officeDocument/2006/relationships/drawing" Target="../drawings/drawing7.xml"/><Relationship Id="rId21" Type="http://schemas.openxmlformats.org/officeDocument/2006/relationships/ctrlProp" Target="../ctrlProps/ctrlProp42.x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 Type="http://schemas.openxmlformats.org/officeDocument/2006/relationships/printerSettings" Target="../printerSettings/printerSettings14.bin"/><Relationship Id="rId16" Type="http://schemas.openxmlformats.org/officeDocument/2006/relationships/ctrlProp" Target="../ctrlProps/ctrlProp37.xml"/><Relationship Id="rId20" Type="http://schemas.openxmlformats.org/officeDocument/2006/relationships/ctrlProp" Target="../ctrlProps/ctrlProp41.xml"/><Relationship Id="rId1" Type="http://schemas.openxmlformats.org/officeDocument/2006/relationships/printerSettings" Target="../printerSettings/printerSettings13.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vmlDrawing" Target="../drawings/vmlDrawing6.vml"/><Relationship Id="rId9" Type="http://schemas.openxmlformats.org/officeDocument/2006/relationships/ctrlProp" Target="../ctrlProps/ctrlProp30.xml"/><Relationship Id="rId14" Type="http://schemas.openxmlformats.org/officeDocument/2006/relationships/ctrlProp" Target="../ctrlProps/ctrlProp35.xml"/><Relationship Id="rId22" Type="http://schemas.openxmlformats.org/officeDocument/2006/relationships/ctrlProp" Target="../ctrlProps/ctrlProp4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7.xml"/><Relationship Id="rId3" Type="http://schemas.openxmlformats.org/officeDocument/2006/relationships/drawing" Target="../drawings/drawing8.xml"/><Relationship Id="rId7" Type="http://schemas.openxmlformats.org/officeDocument/2006/relationships/ctrlProp" Target="../ctrlProps/ctrlProp46.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ctrlProp" Target="../ctrlProps/ctrlProp45.xml"/><Relationship Id="rId5" Type="http://schemas.openxmlformats.org/officeDocument/2006/relationships/ctrlProp" Target="../ctrlProps/ctrlProp44.xml"/><Relationship Id="rId10" Type="http://schemas.openxmlformats.org/officeDocument/2006/relationships/ctrlProp" Target="../ctrlProps/ctrlProp49.xml"/><Relationship Id="rId4" Type="http://schemas.openxmlformats.org/officeDocument/2006/relationships/vmlDrawing" Target="../drawings/vmlDrawing7.vml"/><Relationship Id="rId9" Type="http://schemas.openxmlformats.org/officeDocument/2006/relationships/ctrlProp" Target="../ctrlProps/ctrlProp4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3.xml"/><Relationship Id="rId13" Type="http://schemas.openxmlformats.org/officeDocument/2006/relationships/ctrlProp" Target="../ctrlProps/ctrlProp58.xml"/><Relationship Id="rId3" Type="http://schemas.openxmlformats.org/officeDocument/2006/relationships/drawing" Target="../drawings/drawing9.xml"/><Relationship Id="rId7" Type="http://schemas.openxmlformats.org/officeDocument/2006/relationships/ctrlProp" Target="../ctrlProps/ctrlProp52.xml"/><Relationship Id="rId12" Type="http://schemas.openxmlformats.org/officeDocument/2006/relationships/ctrlProp" Target="../ctrlProps/ctrlProp57.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ctrlProp" Target="../ctrlProps/ctrlProp51.xml"/><Relationship Id="rId11" Type="http://schemas.openxmlformats.org/officeDocument/2006/relationships/ctrlProp" Target="../ctrlProps/ctrlProp56.xml"/><Relationship Id="rId5" Type="http://schemas.openxmlformats.org/officeDocument/2006/relationships/ctrlProp" Target="../ctrlProps/ctrlProp50.xml"/><Relationship Id="rId10" Type="http://schemas.openxmlformats.org/officeDocument/2006/relationships/ctrlProp" Target="../ctrlProps/ctrlProp55.xml"/><Relationship Id="rId4" Type="http://schemas.openxmlformats.org/officeDocument/2006/relationships/vmlDrawing" Target="../drawings/vmlDrawing8.vml"/><Relationship Id="rId9" Type="http://schemas.openxmlformats.org/officeDocument/2006/relationships/ctrlProp" Target="../ctrlProps/ctrlProp54.xml"/><Relationship Id="rId14" Type="http://schemas.openxmlformats.org/officeDocument/2006/relationships/ctrlProp" Target="../ctrlProps/ctrlProp5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3" Type="http://schemas.openxmlformats.org/officeDocument/2006/relationships/drawing" Target="../drawings/drawing10.xml"/><Relationship Id="rId7" Type="http://schemas.openxmlformats.org/officeDocument/2006/relationships/ctrlProp" Target="../ctrlProps/ctrlProp62.xml"/><Relationship Id="rId12" Type="http://schemas.openxmlformats.org/officeDocument/2006/relationships/ctrlProp" Target="../ctrlProps/ctrlProp67.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ctrlProp" Target="../ctrlProps/ctrlProp61.xml"/><Relationship Id="rId11" Type="http://schemas.openxmlformats.org/officeDocument/2006/relationships/ctrlProp" Target="../ctrlProps/ctrlProp66.xml"/><Relationship Id="rId5" Type="http://schemas.openxmlformats.org/officeDocument/2006/relationships/ctrlProp" Target="../ctrlProps/ctrlProp60.xml"/><Relationship Id="rId15" Type="http://schemas.openxmlformats.org/officeDocument/2006/relationships/ctrlProp" Target="../ctrlProps/ctrlProp70.xml"/><Relationship Id="rId10" Type="http://schemas.openxmlformats.org/officeDocument/2006/relationships/ctrlProp" Target="../ctrlProps/ctrlProp65.xml"/><Relationship Id="rId4" Type="http://schemas.openxmlformats.org/officeDocument/2006/relationships/vmlDrawing" Target="../drawings/vmlDrawing9.vml"/><Relationship Id="rId9" Type="http://schemas.openxmlformats.org/officeDocument/2006/relationships/ctrlProp" Target="../ctrlProps/ctrlProp64.xml"/><Relationship Id="rId14" Type="http://schemas.openxmlformats.org/officeDocument/2006/relationships/ctrlProp" Target="../ctrlProps/ctrlProp69.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1.xml"/><Relationship Id="rId7" Type="http://schemas.openxmlformats.org/officeDocument/2006/relationships/ctrlProp" Target="../ctrlProps/ctrlProp73.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77.xml"/><Relationship Id="rId3" Type="http://schemas.openxmlformats.org/officeDocument/2006/relationships/drawing" Target="../drawings/drawing12.xml"/><Relationship Id="rId7" Type="http://schemas.openxmlformats.org/officeDocument/2006/relationships/ctrlProp" Target="../ctrlProps/ctrlProp76.xm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vmlDrawing" Target="../drawings/vmlDrawing11.v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3.xml"/><Relationship Id="rId7" Type="http://schemas.openxmlformats.org/officeDocument/2006/relationships/comments" Target="../comments1.xml"/><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ctrlProp" Target="../ctrlProps/ctrlProp79.xml"/><Relationship Id="rId5" Type="http://schemas.openxmlformats.org/officeDocument/2006/relationships/ctrlProp" Target="../ctrlProps/ctrlProp78.xml"/><Relationship Id="rId4"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vmlDrawing" Target="../drawings/vmlDrawing13.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14.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15.xml"/><Relationship Id="rId16" Type="http://schemas.openxmlformats.org/officeDocument/2006/relationships/ctrlProp" Target="../ctrlProps/ctrlProp94.xml"/><Relationship Id="rId20" Type="http://schemas.openxmlformats.org/officeDocument/2006/relationships/comments" Target="../comments2.xml"/><Relationship Id="rId1" Type="http://schemas.openxmlformats.org/officeDocument/2006/relationships/printerSettings" Target="../printerSettings/printerSettings31.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02.xml"/><Relationship Id="rId13" Type="http://schemas.openxmlformats.org/officeDocument/2006/relationships/ctrlProp" Target="../ctrlProps/ctrlProp107.xml"/><Relationship Id="rId18" Type="http://schemas.openxmlformats.org/officeDocument/2006/relationships/ctrlProp" Target="../ctrlProps/ctrlProp112.xml"/><Relationship Id="rId26" Type="http://schemas.openxmlformats.org/officeDocument/2006/relationships/ctrlProp" Target="../ctrlProps/ctrlProp120.xml"/><Relationship Id="rId3" Type="http://schemas.openxmlformats.org/officeDocument/2006/relationships/vmlDrawing" Target="../drawings/vmlDrawing15.vml"/><Relationship Id="rId21" Type="http://schemas.openxmlformats.org/officeDocument/2006/relationships/ctrlProp" Target="../ctrlProps/ctrlProp115.xml"/><Relationship Id="rId7" Type="http://schemas.openxmlformats.org/officeDocument/2006/relationships/ctrlProp" Target="../ctrlProps/ctrlProp101.xml"/><Relationship Id="rId12" Type="http://schemas.openxmlformats.org/officeDocument/2006/relationships/ctrlProp" Target="../ctrlProps/ctrlProp106.xml"/><Relationship Id="rId17" Type="http://schemas.openxmlformats.org/officeDocument/2006/relationships/ctrlProp" Target="../ctrlProps/ctrlProp111.xml"/><Relationship Id="rId25" Type="http://schemas.openxmlformats.org/officeDocument/2006/relationships/ctrlProp" Target="../ctrlProps/ctrlProp119.xml"/><Relationship Id="rId2" Type="http://schemas.openxmlformats.org/officeDocument/2006/relationships/drawing" Target="../drawings/drawing16.xml"/><Relationship Id="rId16" Type="http://schemas.openxmlformats.org/officeDocument/2006/relationships/ctrlProp" Target="../ctrlProps/ctrlProp110.xml"/><Relationship Id="rId20" Type="http://schemas.openxmlformats.org/officeDocument/2006/relationships/ctrlProp" Target="../ctrlProps/ctrlProp114.xml"/><Relationship Id="rId29" Type="http://schemas.openxmlformats.org/officeDocument/2006/relationships/ctrlProp" Target="../ctrlProps/ctrlProp123.xml"/><Relationship Id="rId1" Type="http://schemas.openxmlformats.org/officeDocument/2006/relationships/printerSettings" Target="../printerSettings/printerSettings32.bin"/><Relationship Id="rId6" Type="http://schemas.openxmlformats.org/officeDocument/2006/relationships/ctrlProp" Target="../ctrlProps/ctrlProp100.xml"/><Relationship Id="rId11" Type="http://schemas.openxmlformats.org/officeDocument/2006/relationships/ctrlProp" Target="../ctrlProps/ctrlProp105.xml"/><Relationship Id="rId24" Type="http://schemas.openxmlformats.org/officeDocument/2006/relationships/ctrlProp" Target="../ctrlProps/ctrlProp118.xml"/><Relationship Id="rId32" Type="http://schemas.openxmlformats.org/officeDocument/2006/relationships/comments" Target="../comments3.xml"/><Relationship Id="rId5" Type="http://schemas.openxmlformats.org/officeDocument/2006/relationships/ctrlProp" Target="../ctrlProps/ctrlProp99.xml"/><Relationship Id="rId15" Type="http://schemas.openxmlformats.org/officeDocument/2006/relationships/ctrlProp" Target="../ctrlProps/ctrlProp109.xml"/><Relationship Id="rId23" Type="http://schemas.openxmlformats.org/officeDocument/2006/relationships/ctrlProp" Target="../ctrlProps/ctrlProp117.xml"/><Relationship Id="rId28" Type="http://schemas.openxmlformats.org/officeDocument/2006/relationships/ctrlProp" Target="../ctrlProps/ctrlProp122.xml"/><Relationship Id="rId10" Type="http://schemas.openxmlformats.org/officeDocument/2006/relationships/ctrlProp" Target="../ctrlProps/ctrlProp104.xml"/><Relationship Id="rId19" Type="http://schemas.openxmlformats.org/officeDocument/2006/relationships/ctrlProp" Target="../ctrlProps/ctrlProp113.xml"/><Relationship Id="rId31" Type="http://schemas.openxmlformats.org/officeDocument/2006/relationships/ctrlProp" Target="../ctrlProps/ctrlProp125.xml"/><Relationship Id="rId4" Type="http://schemas.openxmlformats.org/officeDocument/2006/relationships/ctrlProp" Target="../ctrlProps/ctrlProp98.xml"/><Relationship Id="rId9" Type="http://schemas.openxmlformats.org/officeDocument/2006/relationships/ctrlProp" Target="../ctrlProps/ctrlProp103.xml"/><Relationship Id="rId14" Type="http://schemas.openxmlformats.org/officeDocument/2006/relationships/ctrlProp" Target="../ctrlProps/ctrlProp108.xml"/><Relationship Id="rId22" Type="http://schemas.openxmlformats.org/officeDocument/2006/relationships/ctrlProp" Target="../ctrlProps/ctrlProp116.xml"/><Relationship Id="rId27" Type="http://schemas.openxmlformats.org/officeDocument/2006/relationships/ctrlProp" Target="../ctrlProps/ctrlProp121.xml"/><Relationship Id="rId30" Type="http://schemas.openxmlformats.org/officeDocument/2006/relationships/ctrlProp" Target="../ctrlProps/ctrlProp12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0"/>
  <dimension ref="A1:L85"/>
  <sheetViews>
    <sheetView showGridLines="0" zoomScaleNormal="100" zoomScaleSheetLayoutView="100" zoomScalePageLayoutView="90" workbookViewId="0"/>
  </sheetViews>
  <sheetFormatPr defaultColWidth="8.6640625" defaultRowHeight="14.4" outlineLevelCol="1" x14ac:dyDescent="0.25"/>
  <cols>
    <col min="1" max="1" width="2.6640625" style="3" customWidth="1"/>
    <col min="2" max="2" width="2.44140625" style="2" customWidth="1"/>
    <col min="3" max="3" width="7" style="2" customWidth="1"/>
    <col min="4" max="4" width="2.6640625" style="2" customWidth="1"/>
    <col min="5" max="5" width="5.6640625" style="3" customWidth="1"/>
    <col min="6" max="6" width="85.6640625" style="3" customWidth="1"/>
    <col min="7" max="7" width="2.6640625" style="3" customWidth="1"/>
    <col min="8" max="8" width="10.44140625" style="3" customWidth="1"/>
    <col min="9" max="9" width="50.44140625" style="3" hidden="1" customWidth="1" outlineLevel="1"/>
    <col min="10" max="10" width="8.6640625" style="3" hidden="1" customWidth="1" outlineLevel="1"/>
    <col min="11" max="11" width="8.6640625" style="3" customWidth="1" collapsed="1"/>
    <col min="12" max="13" width="8.6640625" style="3" customWidth="1"/>
    <col min="14" max="16384" width="8.6640625" style="3"/>
  </cols>
  <sheetData>
    <row r="1" spans="1:12" s="4" customFormat="1" ht="15" customHeight="1" x14ac:dyDescent="0.25">
      <c r="B1" s="5"/>
      <c r="C1" s="5"/>
      <c r="D1" s="5"/>
      <c r="E1" s="5"/>
      <c r="F1" s="5"/>
      <c r="G1" s="6"/>
      <c r="H1" s="6"/>
      <c r="I1" s="6"/>
      <c r="J1" s="6"/>
      <c r="K1" s="6"/>
    </row>
    <row r="2" spans="1:12" s="4" customFormat="1" ht="15" customHeight="1" x14ac:dyDescent="0.25">
      <c r="B2" s="7"/>
      <c r="C2" s="8"/>
      <c r="D2" s="8"/>
      <c r="E2" s="8"/>
      <c r="F2" s="8"/>
      <c r="G2" s="9"/>
      <c r="H2" s="6"/>
      <c r="I2" s="6"/>
      <c r="J2" s="6"/>
      <c r="K2" s="6"/>
    </row>
    <row r="3" spans="1:12" s="6" customFormat="1" ht="42" customHeight="1" x14ac:dyDescent="0.3">
      <c r="A3" s="10"/>
      <c r="B3" s="17"/>
      <c r="C3" s="18"/>
      <c r="D3" s="18"/>
      <c r="E3" s="1994" t="s">
        <v>1207</v>
      </c>
      <c r="F3" s="1995"/>
      <c r="G3" s="19"/>
      <c r="H3" s="11"/>
      <c r="J3" s="11"/>
      <c r="K3" s="11"/>
      <c r="L3" s="11"/>
    </row>
    <row r="4" spans="1:12" s="6" customFormat="1" ht="21.6" customHeight="1" x14ac:dyDescent="0.3">
      <c r="A4" s="10"/>
      <c r="B4" s="17"/>
      <c r="C4" s="18"/>
      <c r="D4" s="18"/>
      <c r="E4" s="2001">
        <v>42887</v>
      </c>
      <c r="F4" s="2002"/>
      <c r="G4" s="19"/>
      <c r="H4" s="11"/>
      <c r="J4" s="11"/>
      <c r="K4" s="11"/>
      <c r="L4" s="11"/>
    </row>
    <row r="5" spans="1:12" s="6" customFormat="1" ht="21" customHeight="1" x14ac:dyDescent="0.3">
      <c r="A5" s="10"/>
      <c r="B5" s="17"/>
      <c r="C5" s="18"/>
      <c r="D5" s="18"/>
      <c r="E5" s="1885" t="s">
        <v>2071</v>
      </c>
      <c r="F5" s="216"/>
      <c r="G5" s="19"/>
      <c r="H5" s="11"/>
      <c r="J5" s="11"/>
      <c r="K5" s="11"/>
      <c r="L5" s="11"/>
    </row>
    <row r="6" spans="1:12" s="6" customFormat="1" ht="41.25" customHeight="1" x14ac:dyDescent="0.3">
      <c r="A6" s="10"/>
      <c r="B6" s="17"/>
      <c r="C6" s="18"/>
      <c r="D6" s="18"/>
      <c r="E6" s="1996" t="s">
        <v>2070</v>
      </c>
      <c r="F6" s="1998"/>
      <c r="G6" s="19"/>
      <c r="H6" s="11"/>
      <c r="J6" s="11"/>
      <c r="K6" s="11"/>
      <c r="L6" s="11"/>
    </row>
    <row r="7" spans="1:12" s="599" customFormat="1" ht="21" customHeight="1" x14ac:dyDescent="0.3">
      <c r="B7" s="600"/>
      <c r="C7" s="601"/>
      <c r="D7" s="602"/>
      <c r="E7" s="2003" t="s">
        <v>2072</v>
      </c>
      <c r="F7" s="2004"/>
      <c r="G7" s="604"/>
      <c r="J7" s="605"/>
    </row>
    <row r="8" spans="1:12" s="599" customFormat="1" ht="15.75" customHeight="1" x14ac:dyDescent="0.3">
      <c r="B8" s="600"/>
      <c r="C8" s="601"/>
      <c r="D8" s="602"/>
      <c r="E8" s="603"/>
      <c r="F8" s="603"/>
      <c r="G8" s="604"/>
      <c r="J8" s="605"/>
    </row>
    <row r="9" spans="1:12" s="4" customFormat="1" ht="15" customHeight="1" x14ac:dyDescent="0.25">
      <c r="B9" s="12"/>
      <c r="C9" s="13"/>
      <c r="D9" s="13"/>
      <c r="E9" s="16" t="s">
        <v>299</v>
      </c>
      <c r="F9" s="13"/>
      <c r="G9" s="14"/>
      <c r="I9" s="6"/>
      <c r="J9" s="6"/>
      <c r="K9" s="6"/>
      <c r="L9" s="6"/>
    </row>
    <row r="10" spans="1:12" s="4" customFormat="1" ht="15" customHeight="1" x14ac:dyDescent="0.25">
      <c r="B10" s="12"/>
      <c r="C10" s="13"/>
      <c r="D10" s="13"/>
      <c r="E10" s="15" t="s">
        <v>1209</v>
      </c>
      <c r="F10" s="13"/>
      <c r="G10" s="14"/>
      <c r="I10" s="6"/>
      <c r="J10" s="6"/>
      <c r="K10" s="6"/>
      <c r="L10" s="6"/>
    </row>
    <row r="11" spans="1:12" s="599" customFormat="1" ht="21" customHeight="1" x14ac:dyDescent="0.3">
      <c r="B11" s="600"/>
      <c r="C11" s="601"/>
      <c r="D11" s="602"/>
      <c r="E11" s="603" t="s">
        <v>1208</v>
      </c>
      <c r="F11" s="603"/>
      <c r="G11" s="604"/>
      <c r="J11" s="605"/>
    </row>
    <row r="12" spans="1:12" s="4" customFormat="1" ht="15" customHeight="1" x14ac:dyDescent="0.25">
      <c r="B12" s="12"/>
      <c r="C12" s="13"/>
      <c r="D12" s="13"/>
      <c r="E12" s="15"/>
      <c r="F12" s="13"/>
      <c r="G12" s="14"/>
      <c r="J12" s="6"/>
      <c r="K12" s="6"/>
      <c r="L12" s="6"/>
    </row>
    <row r="13" spans="1:12" s="4" customFormat="1" ht="15" customHeight="1" x14ac:dyDescent="0.25">
      <c r="B13" s="12"/>
      <c r="C13" s="13"/>
      <c r="D13" s="13"/>
      <c r="E13" s="16" t="s">
        <v>300</v>
      </c>
      <c r="F13" s="13"/>
      <c r="G13" s="14"/>
      <c r="I13" s="6"/>
      <c r="J13" s="6"/>
      <c r="K13" s="6"/>
      <c r="L13" s="6"/>
    </row>
    <row r="14" spans="1:12" s="4" customFormat="1" ht="280.5" customHeight="1" x14ac:dyDescent="0.25">
      <c r="B14" s="12"/>
      <c r="C14" s="13"/>
      <c r="D14" s="13"/>
      <c r="E14" s="1996" t="s">
        <v>2073</v>
      </c>
      <c r="F14" s="1996"/>
      <c r="G14" s="14"/>
      <c r="J14" s="6"/>
      <c r="K14" s="6"/>
      <c r="L14" s="6"/>
    </row>
    <row r="15" spans="1:12" s="4" customFormat="1" ht="15" customHeight="1" x14ac:dyDescent="0.25">
      <c r="B15" s="12"/>
      <c r="C15" s="13"/>
      <c r="D15" s="13"/>
      <c r="E15" s="15"/>
      <c r="F15" s="13"/>
      <c r="G15" s="14"/>
      <c r="J15" s="6"/>
      <c r="K15" s="6"/>
      <c r="L15" s="6"/>
    </row>
    <row r="16" spans="1:12" s="4" customFormat="1" ht="15" customHeight="1" x14ac:dyDescent="0.25">
      <c r="B16" s="12"/>
      <c r="C16" s="13"/>
      <c r="D16" s="13"/>
      <c r="E16" s="16" t="s">
        <v>302</v>
      </c>
      <c r="F16" s="13"/>
      <c r="G16" s="14"/>
      <c r="I16" s="6"/>
      <c r="J16" s="6"/>
      <c r="K16" s="6"/>
      <c r="L16" s="6"/>
    </row>
    <row r="17" spans="2:12" s="4" customFormat="1" ht="57.75" customHeight="1" x14ac:dyDescent="0.25">
      <c r="B17" s="12"/>
      <c r="C17" s="13"/>
      <c r="D17" s="13"/>
      <c r="E17" s="1997" t="s">
        <v>2074</v>
      </c>
      <c r="F17" s="1997"/>
      <c r="G17" s="14"/>
      <c r="I17" s="6"/>
      <c r="J17" s="6"/>
      <c r="K17" s="6"/>
      <c r="L17" s="6"/>
    </row>
    <row r="18" spans="2:12" s="4" customFormat="1" ht="277.5" customHeight="1" x14ac:dyDescent="0.25">
      <c r="B18" s="12"/>
      <c r="C18" s="13"/>
      <c r="D18" s="13"/>
      <c r="E18" s="1999" t="s">
        <v>2075</v>
      </c>
      <c r="F18" s="2000"/>
      <c r="G18" s="14"/>
      <c r="I18" s="6"/>
      <c r="J18" s="6"/>
      <c r="K18" s="6"/>
      <c r="L18" s="6"/>
    </row>
    <row r="19" spans="2:12" s="4" customFormat="1" ht="24" customHeight="1" x14ac:dyDescent="0.25">
      <c r="B19" s="20"/>
      <c r="C19" s="21"/>
      <c r="D19" s="21"/>
      <c r="E19" s="22"/>
      <c r="F19" s="21"/>
      <c r="G19" s="23"/>
      <c r="J19" s="6"/>
      <c r="K19" s="3"/>
      <c r="L19" s="6"/>
    </row>
    <row r="20" spans="2:12" ht="9" customHeight="1" x14ac:dyDescent="0.25">
      <c r="I20" s="47" t="s">
        <v>308</v>
      </c>
    </row>
    <row r="21" spans="2:12" ht="12" customHeight="1" x14ac:dyDescent="0.25">
      <c r="G21" s="725" t="s">
        <v>2236</v>
      </c>
      <c r="I21" s="82" t="s">
        <v>28</v>
      </c>
    </row>
    <row r="22" spans="2:12" ht="12" customHeight="1" x14ac:dyDescent="0.25">
      <c r="G22" s="725" t="s">
        <v>1335</v>
      </c>
      <c r="I22" s="82" t="s">
        <v>31</v>
      </c>
    </row>
    <row r="23" spans="2:12" ht="12" customHeight="1" x14ac:dyDescent="0.25">
      <c r="G23" s="726" t="s">
        <v>1336</v>
      </c>
      <c r="I23" s="82" t="s">
        <v>29</v>
      </c>
    </row>
    <row r="24" spans="2:12" ht="12" customHeight="1" x14ac:dyDescent="0.25">
      <c r="G24" s="726" t="s">
        <v>1337</v>
      </c>
      <c r="I24" s="82" t="s">
        <v>30</v>
      </c>
    </row>
    <row r="25" spans="2:12" x14ac:dyDescent="0.25">
      <c r="G25" s="726" t="s">
        <v>2231</v>
      </c>
      <c r="I25" s="82" t="s">
        <v>32</v>
      </c>
    </row>
    <row r="26" spans="2:12" x14ac:dyDescent="0.25">
      <c r="I26" s="82" t="s">
        <v>151</v>
      </c>
    </row>
    <row r="28" spans="2:12" x14ac:dyDescent="0.25">
      <c r="I28" s="47" t="s">
        <v>332</v>
      </c>
    </row>
    <row r="29" spans="2:12" ht="41.25" customHeight="1" x14ac:dyDescent="0.25">
      <c r="I29" s="83" t="s">
        <v>333</v>
      </c>
    </row>
    <row r="30" spans="2:12" ht="49.5" customHeight="1" x14ac:dyDescent="0.25">
      <c r="I30" s="83" t="s">
        <v>334</v>
      </c>
    </row>
    <row r="32" spans="2:12" x14ac:dyDescent="0.25">
      <c r="I32" s="47" t="s">
        <v>812</v>
      </c>
    </row>
    <row r="33" spans="9:9" x14ac:dyDescent="0.25">
      <c r="I33" s="82" t="s">
        <v>434</v>
      </c>
    </row>
    <row r="34" spans="9:9" x14ac:dyDescent="0.25">
      <c r="I34" s="82" t="s">
        <v>437</v>
      </c>
    </row>
    <row r="36" spans="9:9" x14ac:dyDescent="0.25">
      <c r="I36" s="47" t="s">
        <v>813</v>
      </c>
    </row>
    <row r="37" spans="9:9" x14ac:dyDescent="0.25">
      <c r="I37" s="82" t="s">
        <v>24</v>
      </c>
    </row>
    <row r="38" spans="9:9" x14ac:dyDescent="0.25">
      <c r="I38" s="82" t="s">
        <v>26</v>
      </c>
    </row>
    <row r="39" spans="9:9" x14ac:dyDescent="0.25">
      <c r="I39" s="82" t="s">
        <v>59</v>
      </c>
    </row>
    <row r="40" spans="9:9" x14ac:dyDescent="0.25">
      <c r="I40" s="82" t="s">
        <v>438</v>
      </c>
    </row>
    <row r="42" spans="9:9" x14ac:dyDescent="0.25">
      <c r="I42" s="47" t="s">
        <v>43</v>
      </c>
    </row>
    <row r="43" spans="9:9" x14ac:dyDescent="0.25">
      <c r="I43" s="82" t="s">
        <v>44</v>
      </c>
    </row>
    <row r="44" spans="9:9" x14ac:dyDescent="0.25">
      <c r="I44" s="82" t="s">
        <v>45</v>
      </c>
    </row>
    <row r="45" spans="9:9" x14ac:dyDescent="0.25">
      <c r="I45" s="82" t="s">
        <v>46</v>
      </c>
    </row>
    <row r="46" spans="9:9" x14ac:dyDescent="0.25">
      <c r="I46" s="82" t="s">
        <v>47</v>
      </c>
    </row>
    <row r="47" spans="9:9" x14ac:dyDescent="0.25">
      <c r="I47" s="82" t="s">
        <v>48</v>
      </c>
    </row>
    <row r="48" spans="9:9" x14ac:dyDescent="0.25">
      <c r="I48" s="82" t="s">
        <v>49</v>
      </c>
    </row>
    <row r="49" spans="9:10" x14ac:dyDescent="0.25">
      <c r="I49" s="82" t="s">
        <v>50</v>
      </c>
    </row>
    <row r="50" spans="9:10" x14ac:dyDescent="0.25">
      <c r="I50" s="82" t="s">
        <v>51</v>
      </c>
    </row>
    <row r="51" spans="9:10" x14ac:dyDescent="0.25">
      <c r="I51" s="82" t="s">
        <v>52</v>
      </c>
    </row>
    <row r="52" spans="9:10" x14ac:dyDescent="0.25">
      <c r="I52" s="82" t="s">
        <v>53</v>
      </c>
    </row>
    <row r="53" spans="9:10" x14ac:dyDescent="0.25">
      <c r="I53" s="82" t="s">
        <v>54</v>
      </c>
    </row>
    <row r="54" spans="9:10" x14ac:dyDescent="0.25">
      <c r="I54" s="82" t="s">
        <v>55</v>
      </c>
    </row>
    <row r="55" spans="9:10" x14ac:dyDescent="0.25">
      <c r="I55" s="82" t="s">
        <v>56</v>
      </c>
    </row>
    <row r="56" spans="9:10" x14ac:dyDescent="0.25">
      <c r="I56" s="82" t="s">
        <v>57</v>
      </c>
    </row>
    <row r="57" spans="9:10" x14ac:dyDescent="0.25">
      <c r="I57" s="82" t="s">
        <v>58</v>
      </c>
    </row>
    <row r="58" spans="9:10" x14ac:dyDescent="0.25">
      <c r="I58" s="82" t="s">
        <v>258</v>
      </c>
    </row>
    <row r="59" spans="9:10" x14ac:dyDescent="0.25">
      <c r="I59" s="82" t="s">
        <v>259</v>
      </c>
    </row>
    <row r="60" spans="9:10" x14ac:dyDescent="0.25">
      <c r="I60" s="82">
        <v>8</v>
      </c>
    </row>
    <row r="62" spans="9:10" x14ac:dyDescent="0.25">
      <c r="I62" s="47" t="s">
        <v>1001</v>
      </c>
      <c r="J62" s="47" t="s">
        <v>817</v>
      </c>
    </row>
    <row r="63" spans="9:10" x14ac:dyDescent="0.25">
      <c r="I63" s="82">
        <v>0.5</v>
      </c>
      <c r="J63" s="82">
        <v>125</v>
      </c>
    </row>
    <row r="64" spans="9:10" x14ac:dyDescent="0.25">
      <c r="I64" s="82">
        <v>2.15</v>
      </c>
      <c r="J64" s="82">
        <v>535</v>
      </c>
    </row>
    <row r="66" spans="9:9" x14ac:dyDescent="0.25">
      <c r="I66" s="47" t="s">
        <v>695</v>
      </c>
    </row>
    <row r="67" spans="9:9" x14ac:dyDescent="0.25">
      <c r="I67" s="82" t="s">
        <v>1210</v>
      </c>
    </row>
    <row r="68" spans="9:9" x14ac:dyDescent="0.25">
      <c r="I68" s="82" t="s">
        <v>1211</v>
      </c>
    </row>
    <row r="69" spans="9:9" x14ac:dyDescent="0.25">
      <c r="I69" s="82" t="s">
        <v>1212</v>
      </c>
    </row>
    <row r="70" spans="9:9" x14ac:dyDescent="0.25">
      <c r="I70" s="82" t="s">
        <v>1213</v>
      </c>
    </row>
    <row r="71" spans="9:9" x14ac:dyDescent="0.25">
      <c r="I71" s="82" t="s">
        <v>1214</v>
      </c>
    </row>
    <row r="72" spans="9:9" x14ac:dyDescent="0.25">
      <c r="I72" s="82" t="s">
        <v>1215</v>
      </c>
    </row>
    <row r="73" spans="9:9" x14ac:dyDescent="0.25">
      <c r="I73" s="82" t="s">
        <v>1216</v>
      </c>
    </row>
    <row r="74" spans="9:9" x14ac:dyDescent="0.25">
      <c r="I74" s="82" t="s">
        <v>1217</v>
      </c>
    </row>
    <row r="75" spans="9:9" x14ac:dyDescent="0.25">
      <c r="I75" s="82" t="s">
        <v>1218</v>
      </c>
    </row>
    <row r="76" spans="9:9" x14ac:dyDescent="0.25">
      <c r="I76" s="82" t="s">
        <v>1219</v>
      </c>
    </row>
    <row r="77" spans="9:9" x14ac:dyDescent="0.25">
      <c r="I77" s="82" t="s">
        <v>1220</v>
      </c>
    </row>
    <row r="78" spans="9:9" x14ac:dyDescent="0.25">
      <c r="I78" s="82" t="s">
        <v>1349</v>
      </c>
    </row>
    <row r="79" spans="9:9" x14ac:dyDescent="0.25">
      <c r="I79" s="82" t="s">
        <v>1688</v>
      </c>
    </row>
    <row r="81" spans="9:9" x14ac:dyDescent="0.25">
      <c r="I81" s="47" t="s">
        <v>1343</v>
      </c>
    </row>
    <row r="82" spans="9:9" x14ac:dyDescent="0.25">
      <c r="I82" s="82" t="s">
        <v>1344</v>
      </c>
    </row>
    <row r="83" spans="9:9" x14ac:dyDescent="0.25">
      <c r="I83" s="82" t="s">
        <v>1345</v>
      </c>
    </row>
    <row r="84" spans="9:9" x14ac:dyDescent="0.25">
      <c r="I84" s="82" t="s">
        <v>1346</v>
      </c>
    </row>
    <row r="85" spans="9:9" x14ac:dyDescent="0.25">
      <c r="I85" s="82" t="s">
        <v>1347</v>
      </c>
    </row>
  </sheetData>
  <sheetProtection algorithmName="SHA-512" hashValue="7fyAhdf/nBLW5r32W0L/yTQY/JB0izGqLcBM1xevxzPqx9K3GVZDs5VJYrSa1lRNq7qc3a8rBO358UGOAlCPwQ==" saltValue="SO1EpcJekV0mlGX6neUDpw==" spinCount="100000" sheet="1" objects="1" scenarios="1"/>
  <dataConsolidate/>
  <customSheetViews>
    <customSheetView guid="{75D6F8CE-A4F4-4FDD-BA92-7996F9E19FA9}" scale="90" showGridLines="0">
      <selection activeCell="I74" sqref="I74"/>
      <pageMargins left="0.7" right="0.7" top="0.75" bottom="0.75" header="0.3" footer="0.3"/>
      <pageSetup scale="94" orientation="portrait" horizontalDpi="1200" verticalDpi="1200" r:id="rId1"/>
    </customSheetView>
  </customSheetViews>
  <mergeCells count="7">
    <mergeCell ref="E3:F3"/>
    <mergeCell ref="E14:F14"/>
    <mergeCell ref="E17:F17"/>
    <mergeCell ref="E6:F6"/>
    <mergeCell ref="E18:F18"/>
    <mergeCell ref="E4:F4"/>
    <mergeCell ref="E7:F7"/>
  </mergeCells>
  <pageMargins left="0.7" right="0.7" top="0.75" bottom="0.75" header="0.3" footer="0.3"/>
  <pageSetup scale="94" orientation="portrait" horizontalDpi="1200" verticalDpi="1200" r:id="rId2"/>
  <drawing r:id="rId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theme="0" tint="-4.9989318521683403E-2"/>
  </sheetPr>
  <dimension ref="A1:D119"/>
  <sheetViews>
    <sheetView workbookViewId="0"/>
  </sheetViews>
  <sheetFormatPr defaultColWidth="9.109375" defaultRowHeight="14.4" x14ac:dyDescent="0.3"/>
  <cols>
    <col min="1" max="1" width="2.6640625" style="759" customWidth="1"/>
    <col min="2" max="2" width="40.109375" style="759" bestFit="1" customWidth="1"/>
    <col min="3" max="3" width="116.88671875" style="759" customWidth="1"/>
    <col min="4" max="4" width="4.5546875" style="759" customWidth="1"/>
    <col min="5" max="16384" width="9.109375" style="759"/>
  </cols>
  <sheetData>
    <row r="1" spans="1:4" x14ac:dyDescent="0.3">
      <c r="A1" s="717"/>
      <c r="B1" s="777"/>
      <c r="C1" s="777"/>
      <c r="D1" s="1394"/>
    </row>
    <row r="2" spans="1:4" ht="25.2" x14ac:dyDescent="0.3">
      <c r="A2" s="717"/>
      <c r="B2" s="40" t="s">
        <v>2064</v>
      </c>
      <c r="C2" s="40"/>
      <c r="D2" s="1394"/>
    </row>
    <row r="3" spans="1:4" x14ac:dyDescent="0.3">
      <c r="A3" s="717"/>
      <c r="B3" s="777"/>
      <c r="C3" s="777"/>
      <c r="D3" s="1394"/>
    </row>
    <row r="5" spans="1:4" x14ac:dyDescent="0.3">
      <c r="B5" s="1405" t="s">
        <v>2063</v>
      </c>
      <c r="C5" s="755" t="s">
        <v>2062</v>
      </c>
      <c r="D5" s="1395"/>
    </row>
    <row r="6" spans="1:4" x14ac:dyDescent="0.3">
      <c r="B6" s="1395"/>
      <c r="C6" s="1395"/>
      <c r="D6" s="1395"/>
    </row>
    <row r="7" spans="1:4" ht="26.4" x14ac:dyDescent="0.3">
      <c r="B7" s="1405" t="s">
        <v>2061</v>
      </c>
      <c r="C7" s="755" t="s">
        <v>2060</v>
      </c>
      <c r="D7" s="1395"/>
    </row>
    <row r="8" spans="1:4" ht="28.8" x14ac:dyDescent="0.3">
      <c r="B8" s="1880" t="s">
        <v>2059</v>
      </c>
      <c r="C8" s="1881" t="s">
        <v>2058</v>
      </c>
    </row>
    <row r="9" spans="1:4" ht="75" customHeight="1" x14ac:dyDescent="0.3">
      <c r="B9" s="1880" t="s">
        <v>2057</v>
      </c>
      <c r="C9" s="1881" t="s">
        <v>2056</v>
      </c>
    </row>
    <row r="10" spans="1:4" ht="43.2" x14ac:dyDescent="0.3">
      <c r="B10" s="1880" t="s">
        <v>2055</v>
      </c>
      <c r="C10" s="1881" t="s">
        <v>2054</v>
      </c>
    </row>
    <row r="11" spans="1:4" x14ac:dyDescent="0.3">
      <c r="B11" s="1880" t="s">
        <v>2053</v>
      </c>
      <c r="C11" s="1881"/>
    </row>
    <row r="12" spans="1:4" ht="43.2" x14ac:dyDescent="0.3">
      <c r="B12" s="1880" t="s">
        <v>2066</v>
      </c>
      <c r="C12" s="1881" t="s">
        <v>2067</v>
      </c>
    </row>
    <row r="13" spans="1:4" ht="79.5" customHeight="1" x14ac:dyDescent="0.3">
      <c r="B13" s="1880" t="s">
        <v>2052</v>
      </c>
      <c r="C13" s="1881" t="s">
        <v>2068</v>
      </c>
    </row>
    <row r="14" spans="1:4" ht="84.75" customHeight="1" x14ac:dyDescent="0.3">
      <c r="B14" s="1880" t="s">
        <v>2051</v>
      </c>
      <c r="C14" s="1881" t="s">
        <v>2069</v>
      </c>
    </row>
    <row r="15" spans="1:4" ht="28.8" x14ac:dyDescent="0.3">
      <c r="B15" s="1880" t="s">
        <v>2050</v>
      </c>
      <c r="C15" s="1881" t="s">
        <v>2049</v>
      </c>
    </row>
    <row r="16" spans="1:4" ht="28.8" x14ac:dyDescent="0.3">
      <c r="B16" s="1880" t="s">
        <v>2048</v>
      </c>
      <c r="C16" s="955" t="s">
        <v>2047</v>
      </c>
    </row>
    <row r="17" spans="2:3" x14ac:dyDescent="0.3">
      <c r="B17" s="1880" t="s">
        <v>2046</v>
      </c>
      <c r="C17" s="955" t="s">
        <v>2045</v>
      </c>
    </row>
    <row r="18" spans="2:3" ht="43.2" x14ac:dyDescent="0.3">
      <c r="B18" s="1880" t="s">
        <v>2044</v>
      </c>
      <c r="C18" s="955" t="s">
        <v>2043</v>
      </c>
    </row>
    <row r="19" spans="2:3" x14ac:dyDescent="0.3">
      <c r="B19" s="1069"/>
    </row>
    <row r="20" spans="2:3" x14ac:dyDescent="0.3">
      <c r="B20" s="1069"/>
    </row>
    <row r="21" spans="2:3" x14ac:dyDescent="0.3">
      <c r="B21" s="1069"/>
    </row>
    <row r="22" spans="2:3" x14ac:dyDescent="0.3">
      <c r="B22" s="1069"/>
    </row>
    <row r="23" spans="2:3" x14ac:dyDescent="0.3">
      <c r="B23" s="1069"/>
    </row>
    <row r="24" spans="2:3" x14ac:dyDescent="0.3">
      <c r="B24" s="1069"/>
    </row>
    <row r="25" spans="2:3" x14ac:dyDescent="0.3">
      <c r="B25" s="1069"/>
    </row>
    <row r="26" spans="2:3" x14ac:dyDescent="0.3">
      <c r="B26" s="1069"/>
    </row>
    <row r="27" spans="2:3" x14ac:dyDescent="0.3">
      <c r="B27" s="1069"/>
    </row>
    <row r="28" spans="2:3" x14ac:dyDescent="0.3">
      <c r="B28" s="1069"/>
    </row>
    <row r="29" spans="2:3" x14ac:dyDescent="0.3">
      <c r="B29" s="1069"/>
    </row>
    <row r="30" spans="2:3" x14ac:dyDescent="0.3">
      <c r="B30" s="1069"/>
    </row>
    <row r="31" spans="2:3" x14ac:dyDescent="0.3">
      <c r="B31" s="1069"/>
    </row>
    <row r="32" spans="2:3" x14ac:dyDescent="0.3">
      <c r="B32" s="1069"/>
    </row>
    <row r="33" spans="2:2" x14ac:dyDescent="0.3">
      <c r="B33" s="1069"/>
    </row>
    <row r="34" spans="2:2" x14ac:dyDescent="0.3">
      <c r="B34" s="1069"/>
    </row>
    <row r="35" spans="2:2" x14ac:dyDescent="0.3">
      <c r="B35" s="1069"/>
    </row>
    <row r="36" spans="2:2" x14ac:dyDescent="0.3">
      <c r="B36" s="1069"/>
    </row>
    <row r="37" spans="2:2" x14ac:dyDescent="0.3">
      <c r="B37" s="1069"/>
    </row>
    <row r="38" spans="2:2" x14ac:dyDescent="0.3">
      <c r="B38" s="1069"/>
    </row>
    <row r="39" spans="2:2" x14ac:dyDescent="0.3">
      <c r="B39" s="1069"/>
    </row>
    <row r="40" spans="2:2" x14ac:dyDescent="0.3">
      <c r="B40" s="1069"/>
    </row>
    <row r="41" spans="2:2" x14ac:dyDescent="0.3">
      <c r="B41" s="1069"/>
    </row>
    <row r="42" spans="2:2" x14ac:dyDescent="0.3">
      <c r="B42" s="1069"/>
    </row>
    <row r="43" spans="2:2" x14ac:dyDescent="0.3">
      <c r="B43" s="1069"/>
    </row>
    <row r="44" spans="2:2" x14ac:dyDescent="0.3">
      <c r="B44" s="1069"/>
    </row>
    <row r="45" spans="2:2" x14ac:dyDescent="0.3">
      <c r="B45" s="1069"/>
    </row>
    <row r="46" spans="2:2" x14ac:dyDescent="0.3">
      <c r="B46" s="1069"/>
    </row>
    <row r="47" spans="2:2" x14ac:dyDescent="0.3">
      <c r="B47" s="1069"/>
    </row>
    <row r="48" spans="2:2" x14ac:dyDescent="0.3">
      <c r="B48" s="1069"/>
    </row>
    <row r="49" spans="2:2" x14ac:dyDescent="0.3">
      <c r="B49" s="1069"/>
    </row>
    <row r="50" spans="2:2" x14ac:dyDescent="0.3">
      <c r="B50" s="1069"/>
    </row>
    <row r="51" spans="2:2" x14ac:dyDescent="0.3">
      <c r="B51" s="1069"/>
    </row>
    <row r="52" spans="2:2" x14ac:dyDescent="0.3">
      <c r="B52" s="1069"/>
    </row>
    <row r="53" spans="2:2" x14ac:dyDescent="0.3">
      <c r="B53" s="1069"/>
    </row>
    <row r="54" spans="2:2" x14ac:dyDescent="0.3">
      <c r="B54" s="1069"/>
    </row>
    <row r="55" spans="2:2" x14ac:dyDescent="0.3">
      <c r="B55" s="1069"/>
    </row>
    <row r="56" spans="2:2" x14ac:dyDescent="0.3">
      <c r="B56" s="1069"/>
    </row>
    <row r="57" spans="2:2" x14ac:dyDescent="0.3">
      <c r="B57" s="1069"/>
    </row>
    <row r="58" spans="2:2" x14ac:dyDescent="0.3">
      <c r="B58" s="1069"/>
    </row>
    <row r="59" spans="2:2" x14ac:dyDescent="0.3">
      <c r="B59" s="1069"/>
    </row>
    <row r="60" spans="2:2" x14ac:dyDescent="0.3">
      <c r="B60" s="1069"/>
    </row>
    <row r="61" spans="2:2" x14ac:dyDescent="0.3">
      <c r="B61" s="1069"/>
    </row>
    <row r="62" spans="2:2" x14ac:dyDescent="0.3">
      <c r="B62" s="1069"/>
    </row>
    <row r="63" spans="2:2" x14ac:dyDescent="0.3">
      <c r="B63" s="1069"/>
    </row>
    <row r="64" spans="2:2" x14ac:dyDescent="0.3">
      <c r="B64" s="1069"/>
    </row>
    <row r="65" spans="2:2" x14ac:dyDescent="0.3">
      <c r="B65" s="1069"/>
    </row>
    <row r="66" spans="2:2" x14ac:dyDescent="0.3">
      <c r="B66" s="1069"/>
    </row>
    <row r="67" spans="2:2" x14ac:dyDescent="0.3">
      <c r="B67" s="1069"/>
    </row>
    <row r="68" spans="2:2" x14ac:dyDescent="0.3">
      <c r="B68" s="1069"/>
    </row>
    <row r="69" spans="2:2" x14ac:dyDescent="0.3">
      <c r="B69" s="1069"/>
    </row>
    <row r="70" spans="2:2" x14ac:dyDescent="0.3">
      <c r="B70" s="1069"/>
    </row>
    <row r="71" spans="2:2" x14ac:dyDescent="0.3">
      <c r="B71" s="1069"/>
    </row>
    <row r="72" spans="2:2" x14ac:dyDescent="0.3">
      <c r="B72" s="1069"/>
    </row>
    <row r="73" spans="2:2" x14ac:dyDescent="0.3">
      <c r="B73" s="1069"/>
    </row>
    <row r="74" spans="2:2" x14ac:dyDescent="0.3">
      <c r="B74" s="1069"/>
    </row>
    <row r="75" spans="2:2" x14ac:dyDescent="0.3">
      <c r="B75" s="1069"/>
    </row>
    <row r="76" spans="2:2" x14ac:dyDescent="0.3">
      <c r="B76" s="1069"/>
    </row>
    <row r="77" spans="2:2" x14ac:dyDescent="0.3">
      <c r="B77" s="1069"/>
    </row>
    <row r="78" spans="2:2" x14ac:dyDescent="0.3">
      <c r="B78" s="1069"/>
    </row>
    <row r="79" spans="2:2" x14ac:dyDescent="0.3">
      <c r="B79" s="1069"/>
    </row>
    <row r="80" spans="2:2" x14ac:dyDescent="0.3">
      <c r="B80" s="1069"/>
    </row>
    <row r="81" spans="2:2" x14ac:dyDescent="0.3">
      <c r="B81" s="1069"/>
    </row>
    <row r="82" spans="2:2" x14ac:dyDescent="0.3">
      <c r="B82" s="1069"/>
    </row>
    <row r="83" spans="2:2" x14ac:dyDescent="0.3">
      <c r="B83" s="1069"/>
    </row>
    <row r="84" spans="2:2" x14ac:dyDescent="0.3">
      <c r="B84" s="1069"/>
    </row>
    <row r="85" spans="2:2" x14ac:dyDescent="0.3">
      <c r="B85" s="1069"/>
    </row>
    <row r="86" spans="2:2" x14ac:dyDescent="0.3">
      <c r="B86" s="1069"/>
    </row>
    <row r="87" spans="2:2" x14ac:dyDescent="0.3">
      <c r="B87" s="1069"/>
    </row>
    <row r="88" spans="2:2" x14ac:dyDescent="0.3">
      <c r="B88" s="1069"/>
    </row>
    <row r="89" spans="2:2" x14ac:dyDescent="0.3">
      <c r="B89" s="1069"/>
    </row>
    <row r="90" spans="2:2" x14ac:dyDescent="0.3">
      <c r="B90" s="1069"/>
    </row>
    <row r="91" spans="2:2" x14ac:dyDescent="0.3">
      <c r="B91" s="1069"/>
    </row>
    <row r="92" spans="2:2" x14ac:dyDescent="0.3">
      <c r="B92" s="1069"/>
    </row>
    <row r="93" spans="2:2" x14ac:dyDescent="0.3">
      <c r="B93" s="1069"/>
    </row>
    <row r="94" spans="2:2" x14ac:dyDescent="0.3">
      <c r="B94" s="1069"/>
    </row>
    <row r="95" spans="2:2" x14ac:dyDescent="0.3">
      <c r="B95" s="1069"/>
    </row>
    <row r="96" spans="2:2" x14ac:dyDescent="0.3">
      <c r="B96" s="1069"/>
    </row>
    <row r="97" spans="2:2" x14ac:dyDescent="0.3">
      <c r="B97" s="1069"/>
    </row>
    <row r="98" spans="2:2" x14ac:dyDescent="0.3">
      <c r="B98" s="1069"/>
    </row>
    <row r="99" spans="2:2" x14ac:dyDescent="0.3">
      <c r="B99" s="1069"/>
    </row>
    <row r="100" spans="2:2" x14ac:dyDescent="0.3">
      <c r="B100" s="1069"/>
    </row>
    <row r="101" spans="2:2" x14ac:dyDescent="0.3">
      <c r="B101" s="1069"/>
    </row>
    <row r="102" spans="2:2" x14ac:dyDescent="0.3">
      <c r="B102" s="1069"/>
    </row>
    <row r="103" spans="2:2" x14ac:dyDescent="0.3">
      <c r="B103" s="1069"/>
    </row>
    <row r="104" spans="2:2" x14ac:dyDescent="0.3">
      <c r="B104" s="1069"/>
    </row>
    <row r="105" spans="2:2" x14ac:dyDescent="0.3">
      <c r="B105" s="1069"/>
    </row>
    <row r="106" spans="2:2" x14ac:dyDescent="0.3">
      <c r="B106" s="1069"/>
    </row>
    <row r="107" spans="2:2" x14ac:dyDescent="0.3">
      <c r="B107" s="1069"/>
    </row>
    <row r="108" spans="2:2" x14ac:dyDescent="0.3">
      <c r="B108" s="1069"/>
    </row>
    <row r="109" spans="2:2" x14ac:dyDescent="0.3">
      <c r="B109" s="1069"/>
    </row>
    <row r="110" spans="2:2" x14ac:dyDescent="0.3">
      <c r="B110" s="1069"/>
    </row>
    <row r="111" spans="2:2" x14ac:dyDescent="0.3">
      <c r="B111" s="1069"/>
    </row>
    <row r="112" spans="2:2" x14ac:dyDescent="0.3">
      <c r="B112" s="1069"/>
    </row>
    <row r="113" spans="2:2" x14ac:dyDescent="0.3">
      <c r="B113" s="1069"/>
    </row>
    <row r="114" spans="2:2" x14ac:dyDescent="0.3">
      <c r="B114" s="1069"/>
    </row>
    <row r="115" spans="2:2" x14ac:dyDescent="0.3">
      <c r="B115" s="1069"/>
    </row>
    <row r="116" spans="2:2" x14ac:dyDescent="0.3">
      <c r="B116" s="1069"/>
    </row>
    <row r="117" spans="2:2" x14ac:dyDescent="0.3">
      <c r="B117" s="1069"/>
    </row>
    <row r="118" spans="2:2" x14ac:dyDescent="0.3">
      <c r="B118" s="1069"/>
    </row>
    <row r="119" spans="2:2" x14ac:dyDescent="0.3">
      <c r="B119" s="1069"/>
    </row>
  </sheetData>
  <sheetProtection algorithmName="SHA-512" hashValue="x8nDUdxVyiDzYqu39lk3Gew89USR4o8xBS6gg1V8cIY5rzWxbVA6EHKgSWhhOgrW4sSeWCijl+U4sVEnviX3uw==" saltValue="rMb8fRxob0Owzs9Hwy+/vQ==" spinCount="100000" sheet="1" objects="1" scenarios="1"/>
  <dataConsolid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Q77"/>
  <sheetViews>
    <sheetView showGridLines="0" topLeftCell="A7" zoomScale="90" zoomScaleNormal="90" zoomScalePageLayoutView="90" workbookViewId="0">
      <selection activeCell="C13" sqref="C13"/>
    </sheetView>
  </sheetViews>
  <sheetFormatPr defaultColWidth="8.6640625" defaultRowHeight="15" customHeight="1" outlineLevelCol="1" x14ac:dyDescent="0.3"/>
  <cols>
    <col min="1" max="1" width="2.6640625" style="220" customWidth="1"/>
    <col min="2" max="2" width="50.44140625" style="220" customWidth="1"/>
    <col min="3" max="3" width="30.33203125" style="220" customWidth="1"/>
    <col min="4" max="4" width="2.6640625" style="220" customWidth="1"/>
    <col min="5" max="5" width="32.6640625" style="220" customWidth="1"/>
    <col min="6" max="6" width="14.6640625" style="220" customWidth="1"/>
    <col min="7" max="7" width="2.6640625" customWidth="1"/>
    <col min="8" max="8" width="2.77734375" style="220" customWidth="1"/>
    <col min="9" max="9" width="16.88671875" style="716" hidden="1" customWidth="1" outlineLevel="1"/>
    <col min="10" max="10" width="7" style="716" hidden="1" customWidth="1" outlineLevel="1"/>
    <col min="11" max="11" width="9.6640625" style="716" hidden="1" customWidth="1" outlineLevel="1"/>
    <col min="12" max="13" width="7" style="716" hidden="1" customWidth="1" outlineLevel="1"/>
    <col min="14" max="14" width="8.6640625" style="220" hidden="1" customWidth="1" outlineLevel="1"/>
    <col min="15" max="15" width="2.77734375" style="220" customWidth="1" collapsed="1"/>
    <col min="16" max="16" width="2.77734375" style="220" customWidth="1"/>
    <col min="17" max="17" width="50.77734375" style="220" customWidth="1"/>
    <col min="18" max="21" width="8.6640625" style="220" customWidth="1"/>
    <col min="22" max="16384" width="8.6640625" style="220"/>
  </cols>
  <sheetData>
    <row r="1" spans="1:17" s="221" customFormat="1" ht="15" customHeight="1" x14ac:dyDescent="0.3">
      <c r="A1" s="218"/>
      <c r="B1" s="219"/>
      <c r="C1" s="219"/>
      <c r="D1" s="219"/>
      <c r="E1" s="219"/>
      <c r="F1" s="219"/>
      <c r="G1"/>
      <c r="H1"/>
      <c r="I1" s="220"/>
      <c r="J1" s="220"/>
      <c r="K1" s="220"/>
      <c r="L1" s="220"/>
    </row>
    <row r="2" spans="1:17" s="221" customFormat="1" ht="24" customHeight="1" x14ac:dyDescent="0.3">
      <c r="A2" s="218"/>
      <c r="B2" s="40" t="s">
        <v>305</v>
      </c>
      <c r="C2" s="44"/>
      <c r="D2" s="44"/>
      <c r="E2" s="44"/>
      <c r="F2" s="44"/>
      <c r="G2"/>
      <c r="H2"/>
      <c r="I2" s="220"/>
      <c r="J2" s="220"/>
      <c r="K2" s="220"/>
      <c r="L2" s="220"/>
    </row>
    <row r="3" spans="1:17" s="221" customFormat="1" ht="15" customHeight="1" x14ac:dyDescent="0.3">
      <c r="A3" s="218"/>
      <c r="B3" s="219"/>
      <c r="C3" s="219"/>
      <c r="D3" s="219"/>
      <c r="E3" s="219"/>
      <c r="F3" s="219"/>
      <c r="G3"/>
      <c r="H3"/>
      <c r="I3" s="220"/>
      <c r="J3" s="220"/>
      <c r="K3" s="220"/>
      <c r="L3" s="220"/>
    </row>
    <row r="4" spans="1:17" s="221" customFormat="1" ht="50.25" customHeight="1" x14ac:dyDescent="0.3">
      <c r="A4" s="1345"/>
      <c r="B4" s="2005" t="s">
        <v>1985</v>
      </c>
      <c r="C4" s="2006"/>
      <c r="D4" s="2006"/>
      <c r="E4" s="2006"/>
      <c r="F4" s="2006"/>
      <c r="G4"/>
      <c r="H4"/>
      <c r="I4" s="220"/>
      <c r="J4" s="220"/>
      <c r="K4" s="220"/>
      <c r="L4" s="220"/>
      <c r="Q4" s="750" t="s">
        <v>2090</v>
      </c>
    </row>
    <row r="5" spans="1:17" ht="15" customHeight="1" x14ac:dyDescent="0.3">
      <c r="I5" s="220"/>
      <c r="J5" s="220"/>
      <c r="K5" s="220"/>
      <c r="L5" s="220"/>
      <c r="M5" s="220"/>
    </row>
    <row r="6" spans="1:17" ht="15" customHeight="1" x14ac:dyDescent="0.3">
      <c r="B6" s="738" t="s">
        <v>2008</v>
      </c>
      <c r="E6" s="2017">
        <v>1000137535</v>
      </c>
      <c r="F6" s="2018"/>
      <c r="I6" s="220"/>
      <c r="J6" s="220"/>
      <c r="K6" s="220"/>
      <c r="L6" s="220"/>
      <c r="M6" s="220"/>
      <c r="Q6" s="1886"/>
    </row>
    <row r="7" spans="1:17" ht="15" customHeight="1" x14ac:dyDescent="0.3">
      <c r="I7" s="220"/>
      <c r="J7" s="220"/>
      <c r="K7" s="220"/>
      <c r="L7" s="220"/>
      <c r="M7" s="220"/>
    </row>
    <row r="8" spans="1:17" ht="15" customHeight="1" x14ac:dyDescent="0.3">
      <c r="B8" s="738" t="s">
        <v>1849</v>
      </c>
      <c r="E8" s="2017" t="s">
        <v>2328</v>
      </c>
      <c r="F8" s="2018"/>
      <c r="I8" s="220"/>
      <c r="J8" s="220"/>
      <c r="K8" s="220"/>
      <c r="L8" s="220"/>
      <c r="M8" s="220"/>
      <c r="Q8" s="1886"/>
    </row>
    <row r="9" spans="1:17" ht="15" customHeight="1" x14ac:dyDescent="0.3">
      <c r="I9" s="220"/>
      <c r="J9" s="220"/>
      <c r="K9" s="220"/>
      <c r="L9" s="220"/>
      <c r="M9" s="220"/>
    </row>
    <row r="10" spans="1:17" ht="15" customHeight="1" x14ac:dyDescent="0.3">
      <c r="B10" s="606" t="s">
        <v>1221</v>
      </c>
      <c r="E10" s="2022" t="s">
        <v>1210</v>
      </c>
      <c r="F10" s="2023"/>
      <c r="I10" s="1264" t="str">
        <f>IFERROR(VLOOKUP(E10,DropdownData!Y:Z,2,FALSE),"")</f>
        <v>New Construction</v>
      </c>
      <c r="J10" s="220"/>
      <c r="K10" s="220"/>
      <c r="L10" s="220"/>
      <c r="M10" s="220"/>
      <c r="Q10" s="1886"/>
    </row>
    <row r="11" spans="1:17" ht="9" customHeight="1" x14ac:dyDescent="0.3">
      <c r="I11" s="220"/>
      <c r="J11" s="220"/>
      <c r="K11" s="220"/>
      <c r="L11" s="220"/>
      <c r="M11" s="220"/>
    </row>
    <row r="12" spans="1:17" ht="15" customHeight="1" x14ac:dyDescent="0.3">
      <c r="B12" s="392" t="s">
        <v>1031</v>
      </c>
      <c r="F12" s="1338" t="s">
        <v>2238</v>
      </c>
      <c r="I12" s="1265" t="str">
        <f>IF(F12="SI units","SI","IP")</f>
        <v>SI</v>
      </c>
      <c r="J12" s="1266" t="str">
        <f>CONCATENATE(C48," (",'General Information'!I12,")")</f>
        <v>1B (SI)</v>
      </c>
      <c r="K12" s="220"/>
      <c r="L12" s="220"/>
      <c r="M12" s="220"/>
      <c r="Q12" s="1886"/>
    </row>
    <row r="13" spans="1:17" ht="33" customHeight="1" x14ac:dyDescent="0.3">
      <c r="B13" s="607" t="s">
        <v>1223</v>
      </c>
      <c r="I13" s="220"/>
      <c r="J13" s="220"/>
      <c r="K13" s="220"/>
      <c r="L13" s="220"/>
      <c r="M13" s="220"/>
    </row>
    <row r="14" spans="1:17" ht="15" customHeight="1" x14ac:dyDescent="0.3">
      <c r="B14" s="1" t="s">
        <v>1850</v>
      </c>
      <c r="F14" s="1339">
        <v>1</v>
      </c>
      <c r="I14" s="220"/>
      <c r="J14" s="220"/>
      <c r="K14" s="220"/>
      <c r="L14" s="220"/>
      <c r="M14" s="220"/>
      <c r="Q14" s="1886"/>
    </row>
    <row r="15" spans="1:17" ht="9" customHeight="1" x14ac:dyDescent="0.3">
      <c r="B15" s="1"/>
      <c r="I15" s="220"/>
      <c r="J15" s="220"/>
      <c r="K15" s="220"/>
      <c r="L15" s="220"/>
      <c r="M15" s="220"/>
    </row>
    <row r="16" spans="1:17" ht="15" customHeight="1" x14ac:dyDescent="0.3">
      <c r="B16" s="1" t="s">
        <v>1851</v>
      </c>
      <c r="F16" s="1340">
        <f>IF(pctNew&gt;=0,1-F14,0)</f>
        <v>0</v>
      </c>
      <c r="I16" s="220"/>
      <c r="J16" s="220"/>
      <c r="K16" s="220"/>
      <c r="L16" s="220"/>
      <c r="M16" s="220"/>
      <c r="Q16" s="1886"/>
    </row>
    <row r="17" spans="1:17" ht="9" customHeight="1" x14ac:dyDescent="0.3">
      <c r="B17" s="1"/>
      <c r="F17" s="744"/>
      <c r="I17" s="220"/>
      <c r="J17" s="220"/>
      <c r="K17" s="220"/>
      <c r="L17" s="220"/>
      <c r="M17" s="220"/>
    </row>
    <row r="18" spans="1:17" ht="15" customHeight="1" x14ac:dyDescent="0.3">
      <c r="B18" s="1" t="s">
        <v>1383</v>
      </c>
      <c r="F18" s="744"/>
      <c r="I18" s="220"/>
      <c r="J18" s="220"/>
      <c r="K18" s="220"/>
      <c r="L18" s="220"/>
      <c r="M18" s="220"/>
    </row>
    <row r="19" spans="1:17" ht="9" customHeight="1" x14ac:dyDescent="0.3">
      <c r="B19" s="1"/>
      <c r="F19" s="744"/>
      <c r="I19" s="220"/>
      <c r="J19" s="220"/>
      <c r="K19" s="220"/>
      <c r="L19" s="220"/>
      <c r="M19" s="220"/>
    </row>
    <row r="20" spans="1:17" ht="15" customHeight="1" x14ac:dyDescent="0.3">
      <c r="B20" s="1" t="s">
        <v>1497</v>
      </c>
      <c r="F20" s="1613" t="s">
        <v>1959</v>
      </c>
      <c r="I20" s="220"/>
      <c r="J20" s="220"/>
      <c r="K20" s="220"/>
      <c r="L20" s="220"/>
      <c r="M20" s="220"/>
      <c r="Q20" s="1886"/>
    </row>
    <row r="21" spans="1:17" ht="15" customHeight="1" x14ac:dyDescent="0.3">
      <c r="B21" s="1207" t="str">
        <f>IF(MultipleBuildingsExist="Yes","Note: After completing the General Info tab, complete the Multiple Building Details Tab before proceeding to the other tabs.","")</f>
        <v/>
      </c>
      <c r="F21" s="1346"/>
      <c r="I21" s="220"/>
      <c r="J21" s="220"/>
      <c r="K21" s="220"/>
      <c r="L21" s="220"/>
      <c r="M21" s="220"/>
    </row>
    <row r="22" spans="1:17" ht="9" customHeight="1" x14ac:dyDescent="0.3">
      <c r="I22" s="220"/>
      <c r="J22" s="220"/>
      <c r="K22" s="220"/>
      <c r="L22" s="220"/>
      <c r="M22" s="220"/>
    </row>
    <row r="23" spans="1:17" ht="15" customHeight="1" x14ac:dyDescent="0.3">
      <c r="B23" s="392" t="str">
        <f>IF($I$12="IP","Conditioned building area (sq ft)","Conditioned building area (sq m)")</f>
        <v>Conditioned building area (sq m)</v>
      </c>
      <c r="F23" s="1882">
        <v>17788.54</v>
      </c>
      <c r="I23" s="220"/>
      <c r="J23" s="220"/>
      <c r="K23" s="220"/>
      <c r="L23" s="220"/>
      <c r="M23" s="220"/>
      <c r="Q23" s="1886"/>
    </row>
    <row r="24" spans="1:17" ht="9" customHeight="1" x14ac:dyDescent="0.3">
      <c r="F24" s="1883"/>
      <c r="I24" s="220"/>
      <c r="J24" s="220"/>
      <c r="K24" s="220"/>
      <c r="L24" s="220"/>
      <c r="M24" s="220"/>
    </row>
    <row r="25" spans="1:17" ht="15" customHeight="1" x14ac:dyDescent="0.3">
      <c r="B25" s="392" t="str">
        <f>IF($I$12="IP","Unconditioned building area (sq ft)","Unconditioned building area (sq m)")</f>
        <v>Unconditioned building area (sq m)</v>
      </c>
      <c r="F25" s="1882">
        <v>2084.84</v>
      </c>
      <c r="I25" s="738"/>
      <c r="J25" s="220"/>
      <c r="K25" s="220"/>
      <c r="L25" s="220"/>
      <c r="M25" s="220"/>
      <c r="Q25" s="1886"/>
    </row>
    <row r="26" spans="1:17" ht="9" customHeight="1" x14ac:dyDescent="0.3">
      <c r="F26" s="1883"/>
      <c r="I26" s="220"/>
      <c r="J26" s="220"/>
      <c r="K26" s="220"/>
      <c r="L26" s="220"/>
      <c r="M26" s="220"/>
    </row>
    <row r="27" spans="1:17" ht="15" customHeight="1" x14ac:dyDescent="0.3">
      <c r="B27" s="392" t="str">
        <f>IF($I$12="IP","Total building area (sq ft)","Total building area (sq m)")</f>
        <v>Total building area (sq m)</v>
      </c>
      <c r="F27" s="1884">
        <f>F23+F25</f>
        <v>19873.38</v>
      </c>
      <c r="I27" s="220"/>
      <c r="J27" s="220"/>
      <c r="K27" s="220"/>
      <c r="L27" s="220"/>
      <c r="M27" s="220"/>
      <c r="Q27" s="1886"/>
    </row>
    <row r="28" spans="1:17" ht="9" customHeight="1" x14ac:dyDescent="0.3">
      <c r="B28" s="392"/>
      <c r="F28" s="735"/>
      <c r="I28" s="220"/>
      <c r="J28" s="220"/>
      <c r="K28" s="220"/>
      <c r="L28" s="220"/>
      <c r="M28" s="220"/>
    </row>
    <row r="29" spans="1:17" ht="15" customHeight="1" x14ac:dyDescent="0.3">
      <c r="B29" s="738" t="s">
        <v>1355</v>
      </c>
      <c r="F29" s="1341" t="s">
        <v>1959</v>
      </c>
      <c r="I29" s="220"/>
      <c r="J29" s="220"/>
      <c r="K29" s="220"/>
      <c r="L29" s="220"/>
      <c r="M29" s="220"/>
      <c r="Q29" s="1886"/>
    </row>
    <row r="30" spans="1:17" ht="9" hidden="1" customHeight="1" x14ac:dyDescent="0.3">
      <c r="A30" s="738"/>
      <c r="B30" s="392"/>
      <c r="F30" s="735"/>
      <c r="I30" s="220"/>
      <c r="J30" s="220"/>
      <c r="K30" s="220"/>
      <c r="L30" s="220"/>
      <c r="M30" s="220"/>
    </row>
    <row r="31" spans="1:17" ht="15" hidden="1" customHeight="1" x14ac:dyDescent="0.3">
      <c r="A31" s="738"/>
      <c r="B31" s="738" t="s">
        <v>1339</v>
      </c>
      <c r="F31" s="652">
        <v>6</v>
      </c>
      <c r="I31" s="220"/>
      <c r="J31" s="220"/>
      <c r="K31" s="220"/>
      <c r="L31" s="220"/>
      <c r="M31" s="220"/>
    </row>
    <row r="32" spans="1:17" ht="33" customHeight="1" x14ac:dyDescent="0.3">
      <c r="I32" s="220"/>
      <c r="J32" s="220"/>
      <c r="K32" s="220"/>
      <c r="L32" s="220"/>
      <c r="M32" s="220"/>
    </row>
    <row r="33" spans="2:17" ht="15" customHeight="1" x14ac:dyDescent="0.3">
      <c r="B33" s="26" t="s">
        <v>1030</v>
      </c>
      <c r="I33" s="220"/>
      <c r="J33" s="220"/>
      <c r="K33" s="220"/>
      <c r="L33" s="220"/>
      <c r="M33" s="220"/>
    </row>
    <row r="34" spans="2:17" ht="9" customHeight="1" x14ac:dyDescent="0.3">
      <c r="B34" s="26"/>
      <c r="I34" s="220"/>
      <c r="J34" s="220"/>
      <c r="K34" s="220"/>
      <c r="L34" s="220"/>
      <c r="M34" s="220"/>
    </row>
    <row r="35" spans="2:17" ht="15" customHeight="1" x14ac:dyDescent="0.3">
      <c r="B35" s="469" t="s">
        <v>1342</v>
      </c>
      <c r="C35" s="2007" t="s">
        <v>2239</v>
      </c>
      <c r="D35" s="2008"/>
      <c r="E35" s="2008"/>
      <c r="F35" s="2009"/>
      <c r="I35" s="220"/>
      <c r="J35" s="220"/>
      <c r="K35" s="220"/>
      <c r="L35" s="220"/>
      <c r="M35" s="220"/>
      <c r="Q35" s="1886"/>
    </row>
    <row r="36" spans="2:17" ht="9" customHeight="1" x14ac:dyDescent="0.3">
      <c r="B36" s="526"/>
      <c r="C36" s="1310"/>
      <c r="D36" s="1310"/>
      <c r="E36" s="1310"/>
      <c r="F36" s="1310"/>
      <c r="I36" s="220"/>
      <c r="J36" s="220"/>
      <c r="K36" s="220"/>
      <c r="L36" s="220"/>
      <c r="M36" s="220"/>
    </row>
    <row r="37" spans="2:17" ht="15" customHeight="1" x14ac:dyDescent="0.3">
      <c r="B37" s="526" t="s">
        <v>1341</v>
      </c>
      <c r="C37" s="2007" t="s">
        <v>1345</v>
      </c>
      <c r="D37" s="2008"/>
      <c r="E37" s="2008"/>
      <c r="F37" s="2009"/>
      <c r="I37" s="220"/>
      <c r="J37" s="220"/>
      <c r="K37" s="220"/>
      <c r="L37" s="220"/>
      <c r="M37" s="220"/>
      <c r="Q37" s="1886"/>
    </row>
    <row r="38" spans="2:17" ht="9" hidden="1" customHeight="1" x14ac:dyDescent="0.3">
      <c r="B38" s="526"/>
      <c r="C38" s="741"/>
      <c r="D38" s="741"/>
      <c r="E38" s="741"/>
      <c r="F38" s="741"/>
      <c r="I38" s="220"/>
      <c r="J38" s="220"/>
      <c r="K38" s="220"/>
      <c r="L38" s="220"/>
      <c r="M38" s="220"/>
    </row>
    <row r="39" spans="2:17" ht="14.4" hidden="1" x14ac:dyDescent="0.3">
      <c r="B39" s="2016" t="s">
        <v>1348</v>
      </c>
      <c r="C39" s="2016"/>
      <c r="D39" s="2016"/>
      <c r="E39" s="2016"/>
      <c r="F39" s="2016"/>
      <c r="I39" s="220"/>
      <c r="J39" s="220"/>
      <c r="K39" s="220"/>
      <c r="L39" s="220"/>
      <c r="M39" s="220"/>
    </row>
    <row r="40" spans="2:17" ht="46.5" hidden="1" customHeight="1" x14ac:dyDescent="0.3">
      <c r="B40" s="2019"/>
      <c r="C40" s="2020"/>
      <c r="D40" s="2020"/>
      <c r="E40" s="2020"/>
      <c r="F40" s="2021"/>
      <c r="I40" s="220"/>
      <c r="J40" s="220"/>
      <c r="K40" s="220"/>
      <c r="L40" s="220"/>
      <c r="M40" s="220"/>
    </row>
    <row r="41" spans="2:17" ht="9" customHeight="1" x14ac:dyDescent="0.3">
      <c r="B41" s="526"/>
      <c r="C41" s="1311"/>
      <c r="D41" s="1311"/>
      <c r="E41" s="1311"/>
      <c r="F41" s="1311"/>
      <c r="I41" s="220"/>
      <c r="J41" s="220"/>
      <c r="K41" s="220"/>
      <c r="L41" s="220"/>
      <c r="M41" s="220"/>
    </row>
    <row r="42" spans="2:17" ht="15" customHeight="1" x14ac:dyDescent="0.3">
      <c r="B42" s="469" t="s">
        <v>496</v>
      </c>
      <c r="C42" s="2007" t="s">
        <v>504</v>
      </c>
      <c r="D42" s="2008"/>
      <c r="E42" s="2008"/>
      <c r="F42" s="2009"/>
      <c r="I42" s="220"/>
      <c r="J42" s="220"/>
      <c r="K42" s="220"/>
      <c r="L42" s="220"/>
      <c r="M42" s="220"/>
      <c r="Q42" s="1886"/>
    </row>
    <row r="43" spans="2:17" ht="9" customHeight="1" x14ac:dyDescent="0.3">
      <c r="I43" s="220"/>
      <c r="J43" s="220"/>
      <c r="K43" s="220"/>
      <c r="L43" s="220"/>
      <c r="M43" s="220"/>
    </row>
    <row r="44" spans="2:17" ht="15" customHeight="1" x14ac:dyDescent="0.3">
      <c r="B44" s="469" t="s">
        <v>497</v>
      </c>
      <c r="C44" s="2007" t="s">
        <v>507</v>
      </c>
      <c r="D44" s="2008"/>
      <c r="E44" s="2008"/>
      <c r="F44" s="2009"/>
      <c r="I44" s="1267" t="str">
        <f>IF(C44="California Title-24 2013, Part 6","TRUE","FALSE")</f>
        <v>FALSE</v>
      </c>
      <c r="J44" s="220"/>
      <c r="K44" s="220"/>
      <c r="L44" s="220"/>
      <c r="M44" s="220"/>
      <c r="Q44" s="1886"/>
    </row>
    <row r="45" spans="2:17" ht="9" customHeight="1" x14ac:dyDescent="0.3">
      <c r="I45" s="220"/>
      <c r="J45" s="220"/>
      <c r="K45" s="220"/>
      <c r="L45" s="220"/>
      <c r="M45" s="220"/>
    </row>
    <row r="46" spans="2:17" ht="15" customHeight="1" x14ac:dyDescent="0.3">
      <c r="B46" s="469" t="s">
        <v>498</v>
      </c>
      <c r="C46" s="2010" t="s">
        <v>2240</v>
      </c>
      <c r="D46" s="2011"/>
      <c r="E46" s="2011"/>
      <c r="F46" s="2012"/>
      <c r="I46" s="220"/>
      <c r="J46" s="220"/>
      <c r="K46" s="220"/>
      <c r="L46" s="220"/>
      <c r="M46" s="220"/>
      <c r="Q46" s="1886"/>
    </row>
    <row r="47" spans="2:17" ht="9" customHeight="1" x14ac:dyDescent="0.3">
      <c r="I47" s="220"/>
      <c r="J47" s="220"/>
      <c r="K47" s="220"/>
      <c r="L47" s="220"/>
      <c r="M47" s="220"/>
    </row>
    <row r="48" spans="2:17" s="85" customFormat="1" ht="15" customHeight="1" x14ac:dyDescent="0.3">
      <c r="B48" s="469" t="s">
        <v>1224</v>
      </c>
      <c r="C48" s="2010" t="s">
        <v>45</v>
      </c>
      <c r="D48" s="2011"/>
      <c r="E48" s="2011"/>
      <c r="F48" s="2012"/>
      <c r="G48" s="521"/>
      <c r="H48" s="390"/>
      <c r="I48" s="390"/>
      <c r="J48" s="390"/>
      <c r="K48" s="406"/>
      <c r="L48" s="90"/>
      <c r="N48" s="91"/>
      <c r="P48" s="306"/>
      <c r="Q48" s="1887"/>
    </row>
    <row r="49" spans="2:17" s="85" customFormat="1" ht="21" customHeight="1" x14ac:dyDescent="0.25">
      <c r="B49" s="740"/>
      <c r="C49" s="92"/>
      <c r="D49" s="92"/>
      <c r="E49" s="92"/>
      <c r="F49" s="92"/>
      <c r="G49" s="92"/>
      <c r="H49" s="92"/>
      <c r="I49" s="92"/>
      <c r="J49" s="92"/>
      <c r="K49" s="92"/>
      <c r="L49" s="90"/>
      <c r="Q49" s="220"/>
    </row>
    <row r="50" spans="2:17" ht="36.75" customHeight="1" x14ac:dyDescent="0.3">
      <c r="B50" s="2016" t="s">
        <v>1293</v>
      </c>
      <c r="C50" s="2016"/>
      <c r="D50" s="2016"/>
      <c r="E50" s="2016"/>
      <c r="F50" s="2016"/>
      <c r="I50" s="220"/>
      <c r="J50" s="220"/>
      <c r="K50" s="220"/>
      <c r="L50" s="220"/>
      <c r="M50" s="220"/>
    </row>
    <row r="51" spans="2:17" ht="46.5" customHeight="1" x14ac:dyDescent="0.3">
      <c r="B51" s="2013"/>
      <c r="C51" s="2014"/>
      <c r="D51" s="2014"/>
      <c r="E51" s="2014"/>
      <c r="F51" s="2015"/>
      <c r="I51" s="220"/>
      <c r="J51" s="220"/>
      <c r="K51" s="220"/>
      <c r="L51" s="220"/>
      <c r="M51" s="220"/>
      <c r="Q51" s="1886"/>
    </row>
    <row r="52" spans="2:17" s="400" customFormat="1" ht="21" customHeight="1" x14ac:dyDescent="0.25">
      <c r="B52" s="61"/>
      <c r="C52" s="48"/>
      <c r="D52" s="48"/>
      <c r="E52" s="48"/>
      <c r="F52" s="737"/>
      <c r="G52" s="404"/>
      <c r="I52" s="880"/>
    </row>
    <row r="53" spans="2:17" s="386" customFormat="1" ht="45.75" customHeight="1" x14ac:dyDescent="0.3">
      <c r="B53" s="2024" t="s">
        <v>495</v>
      </c>
      <c r="C53" s="2024"/>
      <c r="D53" s="2024"/>
      <c r="E53" s="2024"/>
      <c r="F53" s="2024"/>
      <c r="G53"/>
      <c r="H53" s="220"/>
      <c r="I53" s="220"/>
      <c r="J53" s="220"/>
      <c r="K53" s="1309"/>
      <c r="L53" s="1309"/>
      <c r="M53" s="1309"/>
      <c r="N53" s="1309"/>
    </row>
    <row r="54" spans="2:17" s="386" customFormat="1" ht="33" customHeight="1" x14ac:dyDescent="0.3">
      <c r="B54" s="2024" t="s">
        <v>1294</v>
      </c>
      <c r="C54" s="2024"/>
      <c r="D54" s="2024"/>
      <c r="E54" s="2024"/>
      <c r="F54" s="2024"/>
      <c r="G54"/>
      <c r="H54" s="387"/>
      <c r="I54" s="387"/>
      <c r="J54" s="387"/>
      <c r="K54" s="387"/>
      <c r="L54" s="387"/>
      <c r="M54" s="387"/>
      <c r="N54" s="387"/>
    </row>
    <row r="55" spans="2:17" s="386" customFormat="1" ht="34.5" customHeight="1" x14ac:dyDescent="0.3">
      <c r="B55" s="388"/>
      <c r="C55" s="736"/>
      <c r="D55" s="736"/>
      <c r="E55" s="388"/>
      <c r="F55" s="388"/>
      <c r="G55"/>
      <c r="H55" s="388"/>
      <c r="I55" s="388"/>
      <c r="J55" s="388"/>
      <c r="K55" s="388"/>
      <c r="L55" s="388"/>
      <c r="M55" s="388"/>
      <c r="N55" s="388"/>
    </row>
    <row r="56" spans="2:17" s="400" customFormat="1" ht="24.75" customHeight="1" x14ac:dyDescent="0.3">
      <c r="B56" s="2037" t="s">
        <v>1052</v>
      </c>
      <c r="C56" s="2037"/>
      <c r="D56" s="2037"/>
      <c r="E56" s="2037"/>
      <c r="F56" s="2037"/>
      <c r="G56" s="404"/>
    </row>
    <row r="57" spans="2:17" s="400" customFormat="1" ht="28.5" customHeight="1" x14ac:dyDescent="0.3">
      <c r="B57" s="2038" t="s">
        <v>1222</v>
      </c>
      <c r="C57" s="2038"/>
      <c r="D57" s="2038"/>
      <c r="E57" s="2038"/>
      <c r="F57" s="2038"/>
      <c r="G57" s="404"/>
    </row>
    <row r="58" spans="2:17" s="27" customFormat="1" ht="15" customHeight="1" x14ac:dyDescent="0.3">
      <c r="B58" s="734"/>
      <c r="C58" s="734"/>
      <c r="D58" s="734"/>
      <c r="E58" s="734"/>
      <c r="F58" s="734"/>
      <c r="G58"/>
      <c r="H58" s="31"/>
      <c r="I58" s="1268" t="b">
        <v>0</v>
      </c>
      <c r="J58" s="81"/>
      <c r="K58" s="81"/>
      <c r="L58" s="81"/>
      <c r="M58" s="81"/>
    </row>
    <row r="59" spans="2:17" s="27" customFormat="1" ht="21" customHeight="1" x14ac:dyDescent="0.3">
      <c r="B59" s="2035" t="s">
        <v>331</v>
      </c>
      <c r="C59" s="2036"/>
      <c r="D59" s="1973"/>
      <c r="E59" s="1974"/>
      <c r="F59" s="1975"/>
      <c r="G59"/>
      <c r="H59" s="31"/>
      <c r="I59" s="1268" t="b">
        <v>0</v>
      </c>
      <c r="J59" s="1270" t="b">
        <v>0</v>
      </c>
      <c r="K59" s="1270" t="b">
        <v>0</v>
      </c>
      <c r="L59" s="81"/>
      <c r="M59" s="81"/>
      <c r="Q59" s="1888"/>
    </row>
    <row r="60" spans="2:17" s="27" customFormat="1" ht="21" customHeight="1" x14ac:dyDescent="0.3">
      <c r="B60" s="2033" t="s">
        <v>2065</v>
      </c>
      <c r="C60" s="2034"/>
      <c r="D60" s="2030"/>
      <c r="E60" s="2031"/>
      <c r="F60" s="2032"/>
      <c r="G60"/>
      <c r="H60" s="31"/>
      <c r="I60" s="1268" t="b">
        <f>IF(AND(I58=TRUE,LEFT(D60,6)="Path 1"),TRUE,FALSE)</f>
        <v>0</v>
      </c>
      <c r="J60" s="1270" t="b">
        <f>IF(AND(I58=TRUE,LEFT(D60,6)="Path 2"),TRUE,FALSE)</f>
        <v>0</v>
      </c>
      <c r="K60" s="1270" t="b">
        <f>IF(AND(I58=TRUE,LEFT(D60,6)="Path 3"),TRUE,FALSE)</f>
        <v>0</v>
      </c>
      <c r="L60" s="1270" t="b">
        <f>IF(AND(I58=TRUE,LEFT(D60,6)="Path 4"),TRUE,FALSE)</f>
        <v>0</v>
      </c>
      <c r="M60" s="81"/>
      <c r="Q60" s="1888"/>
    </row>
    <row r="61" spans="2:17" s="67" customFormat="1" ht="21" customHeight="1" x14ac:dyDescent="0.3">
      <c r="B61" s="2025" t="s">
        <v>336</v>
      </c>
      <c r="C61" s="2026"/>
      <c r="D61" s="2027"/>
      <c r="E61" s="2028"/>
      <c r="F61" s="2029"/>
      <c r="G61"/>
      <c r="H61" s="31"/>
      <c r="I61" s="1269" t="b">
        <f>IF(D61="Modeling Method",TRUE,FALSE)</f>
        <v>0</v>
      </c>
      <c r="J61" s="1271" t="b">
        <f>IF(D61="Monitoring Method",TRUE,FALSE)</f>
        <v>0</v>
      </c>
      <c r="K61" s="960"/>
      <c r="L61" s="960"/>
      <c r="M61" s="960"/>
      <c r="Q61" s="1889"/>
    </row>
    <row r="62" spans="2:17" s="67" customFormat="1" ht="65.25" customHeight="1" x14ac:dyDescent="0.3">
      <c r="B62" s="2025" t="s">
        <v>335</v>
      </c>
      <c r="C62" s="2026"/>
      <c r="D62" s="2046"/>
      <c r="E62" s="2047"/>
      <c r="F62" s="2048"/>
      <c r="G62"/>
      <c r="H62" s="31"/>
      <c r="I62" s="532"/>
      <c r="J62" s="532"/>
      <c r="K62" s="960"/>
      <c r="L62" s="960"/>
      <c r="M62" s="960"/>
      <c r="Q62" s="1889"/>
    </row>
    <row r="63" spans="2:17" ht="33" customHeight="1" x14ac:dyDescent="0.3">
      <c r="I63" s="1"/>
      <c r="J63" s="1"/>
      <c r="K63" s="1"/>
      <c r="L63" s="1"/>
      <c r="M63" s="1"/>
    </row>
    <row r="64" spans="2:17" s="400" customFormat="1" ht="25.5" customHeight="1" x14ac:dyDescent="0.3">
      <c r="B64" s="2037" t="s">
        <v>1049</v>
      </c>
      <c r="C64" s="2037"/>
      <c r="D64" s="2037"/>
      <c r="E64" s="2037"/>
      <c r="F64" s="2037"/>
      <c r="G64" s="404"/>
      <c r="I64" s="1270" t="b">
        <f>IF(OR(I65=TRUE,I66=TRUE),TRUE,FALSE)</f>
        <v>0</v>
      </c>
      <c r="J64" s="81"/>
      <c r="K64" s="81"/>
      <c r="L64" s="81"/>
      <c r="M64" s="81"/>
    </row>
    <row r="65" spans="2:17" s="400" customFormat="1" ht="42" customHeight="1" x14ac:dyDescent="0.2">
      <c r="B65" s="2052" t="s">
        <v>1225</v>
      </c>
      <c r="C65" s="2053"/>
      <c r="D65" s="2053"/>
      <c r="E65" s="2054"/>
      <c r="F65" s="2054"/>
      <c r="G65" s="405"/>
      <c r="I65" s="1270" t="b">
        <f>IF(OR($E$10="LEED v4 ID+C: Commercial Interiors",$E$10="LEED v4 ID+C: Retail",$E$10="LEED v4 ID+C: Hospitality"),TRUE,FALSE)</f>
        <v>0</v>
      </c>
      <c r="J65" s="81"/>
      <c r="K65" s="81"/>
      <c r="L65" s="81"/>
      <c r="M65" s="81"/>
      <c r="Q65" s="1890"/>
    </row>
    <row r="66" spans="2:17" s="400" customFormat="1" ht="70.5" customHeight="1" x14ac:dyDescent="0.2">
      <c r="B66" s="2049" t="s">
        <v>1226</v>
      </c>
      <c r="C66" s="2050"/>
      <c r="D66" s="2050"/>
      <c r="E66" s="2051"/>
      <c r="F66" s="2051"/>
      <c r="G66" s="405"/>
      <c r="I66" s="1270" t="b">
        <f>IF($E$10="LEED v4 BD+C: Data Centers",TRUE,FALSE)</f>
        <v>0</v>
      </c>
      <c r="J66" s="81"/>
      <c r="K66" s="1272" t="b">
        <f>IF(AND(I66=TRUE,E66="Avg of Full IT Load + Startup IT Load"),TRUE,FALSE)</f>
        <v>0</v>
      </c>
      <c r="L66" s="1272" t="b">
        <f>I66</f>
        <v>0</v>
      </c>
      <c r="M66" s="1272" t="b">
        <f>IF(OR($E$10="LEED v4 ID+C: Retail",$E$10="LEED v4 BD+C: Retail"),TRUE,FALSE)</f>
        <v>0</v>
      </c>
      <c r="Q66" s="1890"/>
    </row>
    <row r="67" spans="2:17" s="440" customFormat="1" ht="33" customHeight="1" x14ac:dyDescent="0.3">
      <c r="B67" s="477"/>
      <c r="C67" s="477"/>
      <c r="D67" s="477"/>
      <c r="E67" s="477"/>
      <c r="F67" s="477"/>
      <c r="G67" s="403"/>
      <c r="I67" s="100"/>
      <c r="J67" s="100"/>
      <c r="K67" s="1273" t="s">
        <v>1124</v>
      </c>
      <c r="L67" s="1273" t="s">
        <v>1125</v>
      </c>
      <c r="M67" s="1273" t="s">
        <v>84</v>
      </c>
    </row>
    <row r="68" spans="2:17" s="400" customFormat="1" ht="25.5" customHeight="1" x14ac:dyDescent="0.3">
      <c r="B68" s="2037" t="s">
        <v>1037</v>
      </c>
      <c r="C68" s="2037"/>
      <c r="D68" s="2037"/>
      <c r="E68" s="2037"/>
      <c r="F68" s="2037"/>
      <c r="G68" s="404"/>
    </row>
    <row r="69" spans="2:17" s="400" customFormat="1" ht="21" customHeight="1" x14ac:dyDescent="0.2">
      <c r="B69" s="733" t="s">
        <v>1130</v>
      </c>
      <c r="C69" s="2043" t="s">
        <v>2241</v>
      </c>
      <c r="D69" s="2044"/>
      <c r="E69" s="2044"/>
      <c r="F69" s="2045"/>
      <c r="G69" s="405"/>
      <c r="Q69" s="1890"/>
    </row>
    <row r="70" spans="2:17" s="400" customFormat="1" ht="33" customHeight="1" x14ac:dyDescent="0.2">
      <c r="B70" s="2039" t="s">
        <v>1036</v>
      </c>
      <c r="C70" s="2040"/>
      <c r="D70" s="2041"/>
      <c r="E70" s="2041"/>
      <c r="F70" s="2042"/>
      <c r="G70" s="405"/>
      <c r="Q70" s="1890"/>
    </row>
    <row r="71" spans="2:17" s="440" customFormat="1" ht="21" customHeight="1" x14ac:dyDescent="0.3">
      <c r="B71" s="477"/>
      <c r="C71" s="477"/>
      <c r="D71" s="477"/>
      <c r="E71" s="477"/>
      <c r="F71" s="477"/>
      <c r="G71" s="403"/>
    </row>
    <row r="72" spans="2:17" ht="15" customHeight="1" x14ac:dyDescent="0.3">
      <c r="I72" s="220"/>
      <c r="J72" s="220"/>
      <c r="K72" s="220"/>
      <c r="L72" s="220"/>
      <c r="M72" s="220"/>
    </row>
    <row r="73" spans="2:17" ht="15" customHeight="1" x14ac:dyDescent="0.3">
      <c r="I73" s="220"/>
      <c r="J73" s="220"/>
      <c r="K73" s="220"/>
      <c r="L73" s="220"/>
      <c r="M73" s="220"/>
    </row>
    <row r="74" spans="2:17" ht="15" customHeight="1" x14ac:dyDescent="0.3">
      <c r="I74" s="220"/>
      <c r="J74" s="220"/>
      <c r="K74" s="220"/>
      <c r="L74" s="220"/>
      <c r="M74" s="220"/>
    </row>
    <row r="75" spans="2:17" ht="15" customHeight="1" x14ac:dyDescent="0.3">
      <c r="I75" s="220"/>
      <c r="J75" s="220"/>
      <c r="K75" s="220"/>
      <c r="L75" s="220"/>
      <c r="M75" s="220"/>
    </row>
    <row r="76" spans="2:17" ht="15" customHeight="1" x14ac:dyDescent="0.3">
      <c r="I76" s="220"/>
      <c r="J76" s="220"/>
      <c r="K76" s="220"/>
      <c r="L76" s="220"/>
      <c r="M76" s="220"/>
    </row>
    <row r="77" spans="2:17" ht="15" customHeight="1" x14ac:dyDescent="0.3">
      <c r="I77" s="220"/>
      <c r="J77" s="220"/>
      <c r="K77" s="220"/>
      <c r="L77" s="220"/>
      <c r="M77" s="220"/>
    </row>
  </sheetData>
  <sheetProtection algorithmName="SHA-512" hashValue="PWulHnubRBeWBzMcDGZsQ8GDjOMNzCD9AL6sptDcDue+eiVQDZxuG9C277TQ8Rn0BCs0jMNp+87qeKWe6RYDRg==" saltValue="6KdPu+bIzEEbkrdKjhVLbw==" spinCount="100000" sheet="1" objects="1" scenarios="1"/>
  <dataConsolidate/>
  <customSheetViews>
    <customSheetView guid="{75D6F8CE-A4F4-4FDD-BA92-7996F9E19FA9}" scale="90" showGridLines="0" hiddenRows="1">
      <selection activeCell="C38" sqref="C38:F38"/>
      <pageMargins left="0.7" right="0.7" top="0.75" bottom="0.75" header="0.3" footer="0.3"/>
      <pageSetup orientation="portrait" r:id="rId1"/>
    </customSheetView>
  </customSheetViews>
  <mergeCells count="33">
    <mergeCell ref="B70:F70"/>
    <mergeCell ref="C69:F69"/>
    <mergeCell ref="B54:F54"/>
    <mergeCell ref="D62:F62"/>
    <mergeCell ref="B62:C62"/>
    <mergeCell ref="B68:F68"/>
    <mergeCell ref="B64:F64"/>
    <mergeCell ref="B66:D66"/>
    <mergeCell ref="E66:F66"/>
    <mergeCell ref="B65:D65"/>
    <mergeCell ref="E65:F65"/>
    <mergeCell ref="B53:F53"/>
    <mergeCell ref="B61:C61"/>
    <mergeCell ref="D61:F61"/>
    <mergeCell ref="D60:F60"/>
    <mergeCell ref="B60:C60"/>
    <mergeCell ref="B59:C59"/>
    <mergeCell ref="B56:F56"/>
    <mergeCell ref="B57:F57"/>
    <mergeCell ref="B4:F4"/>
    <mergeCell ref="C42:F42"/>
    <mergeCell ref="C46:F46"/>
    <mergeCell ref="C44:F44"/>
    <mergeCell ref="B51:F51"/>
    <mergeCell ref="C48:F48"/>
    <mergeCell ref="B50:F50"/>
    <mergeCell ref="E6:F6"/>
    <mergeCell ref="E8:F8"/>
    <mergeCell ref="C37:F37"/>
    <mergeCell ref="B39:F39"/>
    <mergeCell ref="B40:F40"/>
    <mergeCell ref="E10:F10"/>
    <mergeCell ref="C35:F35"/>
  </mergeCells>
  <conditionalFormatting sqref="B70:F70">
    <cfRule type="expression" dxfId="113" priority="11">
      <formula>IF($C$69="Claiming savings beyond the baseline building requirements",FALSE, TRUE)</formula>
    </cfRule>
  </conditionalFormatting>
  <conditionalFormatting sqref="B65">
    <cfRule type="expression" dxfId="112" priority="8">
      <formula>IF($I65 =TRUE,FALSE,TRUE)</formula>
    </cfRule>
  </conditionalFormatting>
  <conditionalFormatting sqref="B61:F62">
    <cfRule type="expression" dxfId="111" priority="7">
      <formula>IF(OR($I$58=FALSE,$I$60=TRUE,$L$60=TRUE),TRUE,FALSE)</formula>
    </cfRule>
  </conditionalFormatting>
  <conditionalFormatting sqref="F29">
    <cfRule type="expression" dxfId="110" priority="6">
      <formula>IF(RatingSystemSelection&lt;&gt;"LEED v4 BD+C: Multifamily Midrise",TRUE,FALSE)</formula>
    </cfRule>
  </conditionalFormatting>
  <conditionalFormatting sqref="B66:F66">
    <cfRule type="expression" dxfId="109" priority="3">
      <formula>IF($I66 =TRUE,FALSE,TRUE)</formula>
    </cfRule>
  </conditionalFormatting>
  <conditionalFormatting sqref="E65">
    <cfRule type="expression" dxfId="108" priority="2">
      <formula>IF($I65 =TRUE,FALSE,TRUE)</formula>
    </cfRule>
  </conditionalFormatting>
  <conditionalFormatting sqref="B59:F60">
    <cfRule type="expression" dxfId="107" priority="1">
      <formula>IF($I$58=FALSE,TRUE,FALSE)</formula>
    </cfRule>
  </conditionalFormatting>
  <dataValidations count="16">
    <dataValidation type="list" allowBlank="1" showInputMessage="1" showErrorMessage="1" sqref="D60:G60" xr:uid="{00000000-0002-0000-0200-000000000000}">
      <formula1>"Path 1. ASHRAE 90.1-2010 Appendix G,Path 2. Full DES Performance Accounting,Path 3. Streamlined DES Modeling,Path 4. California Title-24 baseline default efficiencies"</formula1>
    </dataValidation>
    <dataValidation type="list" allowBlank="1" showInputMessage="1" showErrorMessage="1" sqref="D61 G61" xr:uid="{00000000-0002-0000-0200-000001000000}">
      <formula1>"Modeling Method,Monitoring Method"</formula1>
    </dataValidation>
    <dataValidation type="list" allowBlank="1" showInputMessage="1" showErrorMessage="1" sqref="C69:F69" xr:uid="{00000000-0002-0000-0200-000002000000}">
      <formula1>"Identically in both buildings based on the requirements of the baseline building, Claiming savings beyond the baseline building requirements, N/A - No unfinished spaces"</formula1>
    </dataValidation>
    <dataValidation type="list" allowBlank="1" showInputMessage="1" showErrorMessage="1" sqref="E66:F66" xr:uid="{00000000-0002-0000-0200-000003000000}">
      <formula1>"Full buildout IT Loads, Avg of Full IT Load + Startup IT Load"</formula1>
    </dataValidation>
    <dataValidation type="list" allowBlank="1" showInputMessage="1" showErrorMessage="1" sqref="F12:G12" xr:uid="{00000000-0002-0000-0200-000004000000}">
      <formula1>"IP units, SI units"</formula1>
    </dataValidation>
    <dataValidation type="list" allowBlank="1" sqref="G42" xr:uid="{00000000-0002-0000-0200-000005000000}">
      <formula1>SimulationProgram</formula1>
    </dataValidation>
    <dataValidation type="list" allowBlank="1" showErrorMessage="1" sqref="G44" xr:uid="{00000000-0002-0000-0200-000006000000}">
      <formula1>EnergyCode</formula1>
    </dataValidation>
    <dataValidation type="list" allowBlank="1" showInputMessage="1" showErrorMessage="1" sqref="E10" xr:uid="{00000000-0002-0000-0200-000007000000}">
      <formula1>RatingSystem</formula1>
    </dataValidation>
    <dataValidation type="list" allowBlank="1" showInputMessage="1" showErrorMessage="1" sqref="C42:F42" xr:uid="{00000000-0002-0000-0200-000008000000}">
      <formula1>SimulationProgram</formula1>
    </dataValidation>
    <dataValidation type="list" allowBlank="1" showInputMessage="1" showErrorMessage="1" sqref="C44:F44" xr:uid="{00000000-0002-0000-0200-000009000000}">
      <formula1>EnergyCode</formula1>
    </dataValidation>
    <dataValidation type="list" allowBlank="1" showInputMessage="1" showErrorMessage="1" sqref="K48" xr:uid="{00000000-0002-0000-0200-00000A000000}">
      <formula1>IF($Q$14="FALSE",AshraeClimate,CaliforniaClimate)</formula1>
    </dataValidation>
    <dataValidation type="list" allowBlank="1" showInputMessage="1" sqref="C42:F42 C44:F44" xr:uid="{00000000-0002-0000-0200-00000B000000}">
      <formula1>#REF!</formula1>
    </dataValidation>
    <dataValidation type="list" allowBlank="1" showInputMessage="1" showErrorMessage="1" sqref="C48:F48" xr:uid="{00000000-0002-0000-0200-00000C000000}">
      <formula1>IF($I$44="FALSE",AshraeClimate,CaliforniaClimate)</formula1>
    </dataValidation>
    <dataValidation type="list" allowBlank="1" showInputMessage="1" showErrorMessage="1" sqref="C37:F37" xr:uid="{00000000-0002-0000-0200-00000D000000}">
      <formula1>ProjectPhaseCompleteness</formula1>
    </dataValidation>
    <dataValidation type="list" allowBlank="1" showInputMessage="1" showErrorMessage="1" sqref="F29" xr:uid="{00000000-0002-0000-0200-00000E000000}">
      <formula1>"Yes, No"</formula1>
    </dataValidation>
    <dataValidation type="list" allowBlank="1" showInputMessage="1" showErrorMessage="1" sqref="F20" xr:uid="{00000000-0002-0000-0200-00000F000000}">
      <formula1>"Yes,No"</formula1>
    </dataValidation>
  </dataValidations>
  <pageMargins left="0.7" right="0.7" top="0.75" bottom="0.75" header="0.3" footer="0.3"/>
  <pageSetup orientation="portrait" r:id="rId2"/>
  <ignoredErrors>
    <ignoredError sqref="F27"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38920" r:id="rId5" name="Check Box 8">
              <controlPr defaultSize="0" autoFill="0" autoLine="0" autoPict="0">
                <anchor moveWithCells="1">
                  <from>
                    <xdr:col>4</xdr:col>
                    <xdr:colOff>0</xdr:colOff>
                    <xdr:row>58</xdr:row>
                    <xdr:rowOff>0</xdr:rowOff>
                  </from>
                  <to>
                    <xdr:col>4</xdr:col>
                    <xdr:colOff>914400</xdr:colOff>
                    <xdr:row>59</xdr:row>
                    <xdr:rowOff>38100</xdr:rowOff>
                  </to>
                </anchor>
              </controlPr>
            </control>
          </mc:Choice>
        </mc:AlternateContent>
        <mc:AlternateContent xmlns:mc="http://schemas.openxmlformats.org/markup-compatibility/2006">
          <mc:Choice Requires="x14">
            <control shapeId="38921" r:id="rId6" name="Check Box 9">
              <controlPr defaultSize="0" autoFill="0" autoLine="0" autoPict="0">
                <anchor moveWithCells="1">
                  <from>
                    <xdr:col>4</xdr:col>
                    <xdr:colOff>1127760</xdr:colOff>
                    <xdr:row>58</xdr:row>
                    <xdr:rowOff>0</xdr:rowOff>
                  </from>
                  <to>
                    <xdr:col>4</xdr:col>
                    <xdr:colOff>2057400</xdr:colOff>
                    <xdr:row>59</xdr:row>
                    <xdr:rowOff>38100</xdr:rowOff>
                  </to>
                </anchor>
              </controlPr>
            </control>
          </mc:Choice>
        </mc:AlternateContent>
        <mc:AlternateContent xmlns:mc="http://schemas.openxmlformats.org/markup-compatibility/2006">
          <mc:Choice Requires="x14">
            <control shapeId="38922" r:id="rId7" name="Check Box 10">
              <controlPr defaultSize="0" autoFill="0" autoLine="0" autoPict="0">
                <anchor moveWithCells="1">
                  <from>
                    <xdr:col>5</xdr:col>
                    <xdr:colOff>175260</xdr:colOff>
                    <xdr:row>58</xdr:row>
                    <xdr:rowOff>0</xdr:rowOff>
                  </from>
                  <to>
                    <xdr:col>6</xdr:col>
                    <xdr:colOff>99060</xdr:colOff>
                    <xdr:row>59</xdr:row>
                    <xdr:rowOff>60960</xdr:rowOff>
                  </to>
                </anchor>
              </controlPr>
            </control>
          </mc:Choice>
        </mc:AlternateContent>
        <mc:AlternateContent xmlns:mc="http://schemas.openxmlformats.org/markup-compatibility/2006">
          <mc:Choice Requires="x14">
            <control shapeId="38927" r:id="rId8" name="Check Box 15">
              <controlPr defaultSize="0" autoFill="0" autoLine="0" autoPict="0">
                <anchor moveWithCells="1">
                  <from>
                    <xdr:col>1</xdr:col>
                    <xdr:colOff>0</xdr:colOff>
                    <xdr:row>51</xdr:row>
                    <xdr:rowOff>175260</xdr:rowOff>
                  </from>
                  <to>
                    <xdr:col>1</xdr:col>
                    <xdr:colOff>327660</xdr:colOff>
                    <xdr:row>52</xdr:row>
                    <xdr:rowOff>251460</xdr:rowOff>
                  </to>
                </anchor>
              </controlPr>
            </control>
          </mc:Choice>
        </mc:AlternateContent>
        <mc:AlternateContent xmlns:mc="http://schemas.openxmlformats.org/markup-compatibility/2006">
          <mc:Choice Requires="x14">
            <control shapeId="38928" r:id="rId9" name="Check Box 16">
              <controlPr defaultSize="0" autoFill="0" autoLine="0" autoPict="0">
                <anchor moveWithCells="1">
                  <from>
                    <xdr:col>1</xdr:col>
                    <xdr:colOff>0</xdr:colOff>
                    <xdr:row>52</xdr:row>
                    <xdr:rowOff>480060</xdr:rowOff>
                  </from>
                  <to>
                    <xdr:col>1</xdr:col>
                    <xdr:colOff>327660</xdr:colOff>
                    <xdr:row>53</xdr:row>
                    <xdr:rowOff>251460</xdr:rowOff>
                  </to>
                </anchor>
              </controlPr>
            </control>
          </mc:Choice>
        </mc:AlternateContent>
        <mc:AlternateContent xmlns:mc="http://schemas.openxmlformats.org/markup-compatibility/2006">
          <mc:Choice Requires="x14">
            <control shapeId="38933" r:id="rId10" name="DES_Checkbox">
              <controlPr defaultSize="0" autoFill="0" autoLine="0" autoPict="0" macro="[0]!DES_Checkbox_Click">
                <anchor moveWithCells="1">
                  <from>
                    <xdr:col>1</xdr:col>
                    <xdr:colOff>22860</xdr:colOff>
                    <xdr:row>55</xdr:row>
                    <xdr:rowOff>251460</xdr:rowOff>
                  </from>
                  <to>
                    <xdr:col>1</xdr:col>
                    <xdr:colOff>327660</xdr:colOff>
                    <xdr:row>56</xdr:row>
                    <xdr:rowOff>228600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U36"/>
  <sheetViews>
    <sheetView workbookViewId="0"/>
  </sheetViews>
  <sheetFormatPr defaultColWidth="9.109375" defaultRowHeight="14.4" outlineLevelCol="1" x14ac:dyDescent="0.3"/>
  <cols>
    <col min="1" max="1" width="2.5546875" style="759" customWidth="1"/>
    <col min="2" max="2" width="14.44140625" style="759" customWidth="1"/>
    <col min="3" max="3" width="16.33203125" style="759" customWidth="1"/>
    <col min="4" max="4" width="14.5546875" style="759" customWidth="1"/>
    <col min="5" max="5" width="15.6640625" style="759" customWidth="1"/>
    <col min="6" max="11" width="14.6640625" style="759" customWidth="1"/>
    <col min="12" max="14" width="2.77734375" style="759" customWidth="1"/>
    <col min="15" max="15" width="9.109375" style="759" hidden="1" customWidth="1" outlineLevel="1"/>
    <col min="16" max="16" width="2.77734375" style="759" customWidth="1" collapsed="1"/>
    <col min="17" max="17" width="2.77734375" style="759" customWidth="1"/>
    <col min="18" max="18" width="50.77734375" style="759" customWidth="1"/>
    <col min="19" max="16384" width="9.109375" style="759"/>
  </cols>
  <sheetData>
    <row r="1" spans="1:21" x14ac:dyDescent="0.3">
      <c r="A1" s="717" t="s">
        <v>1299</v>
      </c>
      <c r="B1" s="88"/>
      <c r="C1" s="88"/>
      <c r="D1" s="88"/>
      <c r="E1" s="88"/>
      <c r="F1" s="88"/>
      <c r="G1" s="87"/>
      <c r="H1" s="88"/>
      <c r="I1" s="87"/>
      <c r="J1" s="87"/>
      <c r="K1" s="88"/>
      <c r="L1" s="967"/>
      <c r="M1" s="967"/>
      <c r="N1" s="967"/>
      <c r="O1" s="967"/>
      <c r="P1" s="967"/>
      <c r="Q1" s="967"/>
      <c r="R1" s="967"/>
      <c r="S1" s="967"/>
      <c r="T1" s="967"/>
      <c r="U1" s="967"/>
    </row>
    <row r="2" spans="1:21" ht="25.2" x14ac:dyDescent="0.3">
      <c r="A2" s="717" t="s">
        <v>1299</v>
      </c>
      <c r="B2" s="40" t="s">
        <v>1498</v>
      </c>
      <c r="C2" s="40"/>
      <c r="D2" s="40"/>
      <c r="E2" s="40"/>
      <c r="F2" s="40"/>
      <c r="G2" s="40"/>
      <c r="H2" s="40"/>
      <c r="I2" s="40"/>
      <c r="J2" s="40"/>
      <c r="K2" s="40"/>
      <c r="L2" s="968"/>
      <c r="M2" s="968"/>
      <c r="N2" s="968"/>
      <c r="O2" s="968"/>
      <c r="P2" s="968"/>
      <c r="Q2" s="968"/>
      <c r="R2" s="968"/>
      <c r="S2" s="968"/>
      <c r="T2" s="968"/>
      <c r="U2" s="968"/>
    </row>
    <row r="3" spans="1:21" x14ac:dyDescent="0.3">
      <c r="A3" s="717" t="s">
        <v>1299</v>
      </c>
      <c r="B3" s="88"/>
      <c r="C3" s="88"/>
      <c r="D3" s="88"/>
      <c r="E3" s="88"/>
      <c r="F3" s="88"/>
      <c r="G3" s="87"/>
      <c r="H3" s="88"/>
      <c r="I3" s="87"/>
      <c r="J3" s="87"/>
      <c r="K3" s="88"/>
      <c r="L3" s="967"/>
      <c r="M3" s="967"/>
      <c r="N3" s="967"/>
      <c r="O3" s="967"/>
      <c r="P3" s="967"/>
      <c r="Q3" s="967"/>
      <c r="R3" s="967"/>
      <c r="S3" s="967"/>
      <c r="T3" s="967"/>
      <c r="U3" s="967"/>
    </row>
    <row r="4" spans="1:21" x14ac:dyDescent="0.3">
      <c r="A4" s="751" t="s">
        <v>1299</v>
      </c>
    </row>
    <row r="5" spans="1:21" ht="25.5" customHeight="1" x14ac:dyDescent="0.3">
      <c r="A5" s="751" t="s">
        <v>1299</v>
      </c>
      <c r="B5" s="764" t="s">
        <v>1842</v>
      </c>
    </row>
    <row r="6" spans="1:21" ht="19.5" customHeight="1" x14ac:dyDescent="0.3">
      <c r="A6" s="751"/>
      <c r="O6" s="1312">
        <v>1</v>
      </c>
    </row>
    <row r="7" spans="1:21" ht="19.5" customHeight="1" x14ac:dyDescent="0.3">
      <c r="A7" s="751"/>
      <c r="O7" s="1197"/>
    </row>
    <row r="8" spans="1:21" ht="19.5" customHeight="1" x14ac:dyDescent="0.3">
      <c r="A8" s="751"/>
    </row>
    <row r="9" spans="1:21" ht="12.75" customHeight="1" x14ac:dyDescent="0.3">
      <c r="A9" s="751"/>
    </row>
    <row r="10" spans="1:21" ht="107.25" customHeight="1" x14ac:dyDescent="0.3">
      <c r="A10" s="751" t="s">
        <v>1299</v>
      </c>
      <c r="B10" s="2066" t="str">
        <f>IF(proj_RatingSystem="ND",CONCATENATE("The minimum average building energy improvement over ASHRAE 90.1-2010 must be 5% for new buildings, 3% for major building renovations, or 2% for core and shell buildings."," Multiple buildings may be grouped into a single energy model, provided (1) the building type (new construction, major renovation, or core and shell) is consistent for all buildings included in the energy model, ","or (2) an average 5% improvement is demonstrated for the entire energy model.", "If only a subset of the building energy model details is reported, check the box below, and for the buildings without the details reported here, ","report the sum total energy  consumption for the buildings not reported here in the Performance_Output_Residual tab."," Provide a narrative confirming that at least 90% of the building area for ND non-residential, mixed-use and multiunit residential buildings 4 stories or more were modeled",", and briefly describing the energy efficiency measures for any buildings where energy model details are not reported here."),CONCATENATE("The documentation must be sufficient to show that each building individually complies with the prerequisite performance improvement requirements."," If not modeling each building in a separate energy model to show individual compliance, complete the narrative below to justify that all buildings meet the prerequisite performance improvement requirements. ","Note: if insufficient information is available in the narrative and input data to prove that all buildings individually meet the prerequisite performance improvement requirements, ","additional energy simulation outputs including submetered data per building may be required during the review process to confirm prerequisite compliance per building."))</f>
        <v>The documentation must be sufficient to show that each building individually complies with the prerequisite performance improvement requirements. If not modeling each building in a separate energy model to show individual compliance, complete the narrative below to justify that all buildings meet the prerequisite performance improvement requirements. Note: if insufficient information is available in the narrative and input data to prove that all buildings individually meet the prerequisite performance improvement requirements, additional energy simulation outputs including submetered data per building may be required during the review process to confirm prerequisite compliance per building.</v>
      </c>
      <c r="C10" s="2067"/>
      <c r="D10" s="2067"/>
      <c r="E10" s="2067"/>
      <c r="F10" s="2067"/>
      <c r="G10" s="2067"/>
      <c r="H10" s="2067"/>
      <c r="I10" s="2067"/>
      <c r="J10" s="2067"/>
      <c r="K10" s="2067"/>
      <c r="R10" s="1069" t="s">
        <v>2090</v>
      </c>
    </row>
    <row r="11" spans="1:21" ht="54.75" customHeight="1" x14ac:dyDescent="0.3">
      <c r="A11" s="751" t="s">
        <v>1299</v>
      </c>
      <c r="B11" s="2068"/>
      <c r="C11" s="2069"/>
      <c r="D11" s="2069"/>
      <c r="E11" s="2069"/>
      <c r="F11" s="2069"/>
      <c r="G11" s="2069"/>
      <c r="H11" s="2069"/>
      <c r="I11" s="2069"/>
      <c r="J11" s="2069"/>
      <c r="K11" s="2070"/>
      <c r="R11" s="1892"/>
    </row>
    <row r="12" spans="1:21" ht="50.1" customHeight="1" x14ac:dyDescent="0.3">
      <c r="A12" s="751"/>
      <c r="O12" s="1342" t="b">
        <v>0</v>
      </c>
    </row>
    <row r="13" spans="1:21" ht="15.6" x14ac:dyDescent="0.3">
      <c r="A13" s="751" t="s">
        <v>1299</v>
      </c>
      <c r="B13" s="764" t="s">
        <v>1030</v>
      </c>
    </row>
    <row r="14" spans="1:21" ht="9" customHeight="1" x14ac:dyDescent="0.3">
      <c r="A14" s="751" t="s">
        <v>1299</v>
      </c>
    </row>
    <row r="15" spans="1:21" s="913" customFormat="1" ht="21" customHeight="1" x14ac:dyDescent="0.25">
      <c r="A15" s="751" t="s">
        <v>1299</v>
      </c>
      <c r="B15" s="2064" t="s">
        <v>1601</v>
      </c>
      <c r="C15" s="2065"/>
      <c r="D15" s="2058"/>
      <c r="E15" s="2058"/>
      <c r="F15" s="2058"/>
      <c r="G15" s="2058"/>
      <c r="H15" s="2058"/>
      <c r="I15" s="2058"/>
      <c r="J15" s="2058" t="s">
        <v>1505</v>
      </c>
      <c r="K15" s="2059"/>
    </row>
    <row r="16" spans="1:21" s="971" customFormat="1" ht="15" hidden="1" customHeight="1" x14ac:dyDescent="0.3">
      <c r="A16" s="969" t="s">
        <v>1299</v>
      </c>
      <c r="B16" s="1823" t="s">
        <v>1607</v>
      </c>
      <c r="C16" s="1824"/>
      <c r="D16" s="1824"/>
      <c r="E16" s="1824"/>
      <c r="F16" s="1824"/>
      <c r="G16" s="1824"/>
      <c r="H16" s="1824"/>
      <c r="I16" s="1824"/>
      <c r="J16" s="1825" t="s">
        <v>1505</v>
      </c>
      <c r="K16" s="1826"/>
    </row>
    <row r="17" spans="1:18" s="913" customFormat="1" ht="15" customHeight="1" x14ac:dyDescent="0.25">
      <c r="A17" s="751"/>
      <c r="B17" s="2074" t="str">
        <f>INDEX(MBD_BS_Table,3,1)</f>
        <v>Saudi Aramco Corporate Academy - Dhahran</v>
      </c>
      <c r="C17" s="2075"/>
      <c r="D17" s="2075"/>
      <c r="E17" s="2075"/>
      <c r="F17" s="2075"/>
      <c r="G17" s="2075"/>
      <c r="H17" s="2075"/>
      <c r="I17" s="2075"/>
      <c r="J17" s="2076">
        <v>1</v>
      </c>
      <c r="K17" s="2077"/>
      <c r="R17" s="1908"/>
    </row>
    <row r="18" spans="1:18" s="913" customFormat="1" ht="6" customHeight="1" x14ac:dyDescent="0.25">
      <c r="A18" s="751"/>
      <c r="B18" s="1262"/>
      <c r="C18" s="1262"/>
      <c r="D18" s="1262"/>
      <c r="E18" s="1262"/>
      <c r="F18" s="1262"/>
      <c r="G18" s="1262"/>
      <c r="H18" s="1262"/>
      <c r="I18" s="1262"/>
      <c r="J18" s="1263"/>
      <c r="K18" s="1263"/>
    </row>
    <row r="19" spans="1:18" ht="31.5" customHeight="1" x14ac:dyDescent="0.3">
      <c r="A19" s="751" t="s">
        <v>1299</v>
      </c>
    </row>
    <row r="20" spans="1:18" ht="21" customHeight="1" x14ac:dyDescent="0.3">
      <c r="A20" s="751"/>
      <c r="B20" s="764" t="s">
        <v>1960</v>
      </c>
    </row>
    <row r="21" spans="1:18" ht="21" customHeight="1" x14ac:dyDescent="0.3">
      <c r="A21" s="751" t="s">
        <v>1299</v>
      </c>
      <c r="B21" s="1793"/>
      <c r="C21" s="1794"/>
      <c r="D21" s="1795"/>
      <c r="E21" s="1796" t="s">
        <v>1606</v>
      </c>
      <c r="F21" s="1796" t="str">
        <f>"Modeled Building Area "&amp;IF(SI_IP_Units="IP","(sq. ft.)","(sq. m.)")</f>
        <v>Modeled Building Area (sq. m.)</v>
      </c>
      <c r="G21" s="1796"/>
      <c r="H21" s="1796"/>
      <c r="I21" s="1796" t="s">
        <v>1500</v>
      </c>
      <c r="J21" s="1796"/>
      <c r="K21" s="1797"/>
    </row>
    <row r="22" spans="1:18" ht="33" customHeight="1" x14ac:dyDescent="0.3">
      <c r="A22" s="751" t="s">
        <v>1299</v>
      </c>
      <c r="B22" s="1798" t="s">
        <v>1358</v>
      </c>
      <c r="C22" s="1799"/>
      <c r="D22" s="1799"/>
      <c r="E22" s="1800" t="s">
        <v>1607</v>
      </c>
      <c r="F22" s="1800" t="s">
        <v>1505</v>
      </c>
      <c r="G22" s="1769" t="s">
        <v>1499</v>
      </c>
      <c r="H22" s="1769" t="s">
        <v>438</v>
      </c>
      <c r="I22" s="1769" t="s">
        <v>434</v>
      </c>
      <c r="J22" s="1801" t="s">
        <v>1501</v>
      </c>
      <c r="K22" s="1802"/>
    </row>
    <row r="23" spans="1:18" hidden="1" x14ac:dyDescent="0.3">
      <c r="A23" s="751"/>
      <c r="B23" s="2071" t="s">
        <v>1689</v>
      </c>
      <c r="C23" s="2071"/>
      <c r="D23" s="2071"/>
      <c r="E23" s="1803" t="str">
        <f>INDEX(MBD_BS_Table,2, 1)</f>
        <v>Residual Project</v>
      </c>
      <c r="F23" s="1804"/>
      <c r="G23" s="1804"/>
      <c r="H23" s="1804"/>
      <c r="I23" s="1805"/>
      <c r="J23" s="1806">
        <f t="shared" ref="J23" si="0">I23</f>
        <v>0</v>
      </c>
      <c r="K23" s="1807"/>
    </row>
    <row r="24" spans="1:18" ht="15" customHeight="1" x14ac:dyDescent="0.3">
      <c r="A24" s="751" t="s">
        <v>1299</v>
      </c>
      <c r="B24" s="2072" t="str">
        <f>GI_Project_Name</f>
        <v>Saudi Aramco Corporate Academy - Dhahran</v>
      </c>
      <c r="C24" s="2073"/>
      <c r="D24" s="2073"/>
      <c r="E24" s="1808">
        <v>1</v>
      </c>
      <c r="F24" s="1809">
        <v>1</v>
      </c>
      <c r="G24" s="1810">
        <v>1000</v>
      </c>
      <c r="H24" s="1810">
        <v>500</v>
      </c>
      <c r="I24" s="1811">
        <v>1</v>
      </c>
      <c r="J24" s="1812">
        <f>1-I24</f>
        <v>0</v>
      </c>
      <c r="K24" s="1813"/>
      <c r="R24" s="1892"/>
    </row>
    <row r="25" spans="1:18" x14ac:dyDescent="0.3">
      <c r="A25" s="751" t="s">
        <v>1299</v>
      </c>
      <c r="B25" s="1227" t="s">
        <v>673</v>
      </c>
      <c r="C25" s="788"/>
      <c r="D25" s="788"/>
      <c r="E25" s="788"/>
      <c r="F25" s="788"/>
      <c r="G25" s="788"/>
      <c r="H25" s="788"/>
      <c r="I25" s="788"/>
      <c r="J25" s="788"/>
    </row>
    <row r="26" spans="1:18" x14ac:dyDescent="0.3">
      <c r="A26" s="751"/>
      <c r="B26" s="788"/>
      <c r="C26" s="788"/>
      <c r="D26" s="788"/>
      <c r="E26" s="788"/>
      <c r="F26" s="788"/>
      <c r="G26" s="788"/>
      <c r="H26" s="788"/>
      <c r="I26" s="788"/>
      <c r="J26" s="788"/>
    </row>
    <row r="27" spans="1:18" x14ac:dyDescent="0.3">
      <c r="A27" s="751" t="s">
        <v>1299</v>
      </c>
      <c r="B27" s="788"/>
      <c r="C27" s="788"/>
      <c r="D27" s="788"/>
      <c r="E27" s="788"/>
      <c r="F27" s="788"/>
      <c r="G27" s="788"/>
      <c r="H27" s="788"/>
      <c r="I27" s="788"/>
      <c r="J27" s="788"/>
    </row>
    <row r="28" spans="1:18" x14ac:dyDescent="0.3">
      <c r="A28" s="751" t="s">
        <v>1299</v>
      </c>
      <c r="B28" s="788"/>
      <c r="C28" s="788"/>
      <c r="D28" s="788"/>
      <c r="E28" s="788"/>
      <c r="F28" s="788"/>
      <c r="G28" s="788"/>
      <c r="H28" s="788"/>
      <c r="I28" s="788"/>
      <c r="J28" s="788"/>
    </row>
    <row r="29" spans="1:18" ht="15.6" x14ac:dyDescent="0.3">
      <c r="A29" s="751" t="s">
        <v>1299</v>
      </c>
      <c r="B29" s="764" t="s">
        <v>1502</v>
      </c>
      <c r="C29" s="764"/>
    </row>
    <row r="30" spans="1:18" ht="9" customHeight="1" x14ac:dyDescent="0.3">
      <c r="A30" s="751" t="s">
        <v>1299</v>
      </c>
    </row>
    <row r="31" spans="1:18" ht="21" customHeight="1" x14ac:dyDescent="0.3">
      <c r="A31" s="751" t="s">
        <v>1299</v>
      </c>
      <c r="B31" s="2060"/>
      <c r="C31" s="2061"/>
      <c r="D31" s="1814"/>
      <c r="E31" s="1815"/>
      <c r="F31" s="1711" t="str">
        <f>"Modeled Building Area "&amp;IF(SI_IP_Units="IP","(sq. ft.)","(sq. m.)")</f>
        <v>Modeled Building Area (sq. m.)</v>
      </c>
      <c r="G31" s="1711"/>
      <c r="H31" s="1711"/>
      <c r="I31" s="1711" t="s">
        <v>1500</v>
      </c>
      <c r="J31" s="1816"/>
      <c r="K31" s="1817"/>
    </row>
    <row r="32" spans="1:18" s="955" customFormat="1" ht="33" customHeight="1" x14ac:dyDescent="0.3">
      <c r="A32" s="970" t="s">
        <v>1299</v>
      </c>
      <c r="B32" s="2062"/>
      <c r="C32" s="2063"/>
      <c r="D32" s="1818"/>
      <c r="E32" s="1819"/>
      <c r="F32" s="1792" t="s">
        <v>1506</v>
      </c>
      <c r="G32" s="1792" t="s">
        <v>1499</v>
      </c>
      <c r="H32" s="1792" t="s">
        <v>438</v>
      </c>
      <c r="I32" s="1792" t="s">
        <v>434</v>
      </c>
      <c r="J32" s="1801" t="s">
        <v>1501</v>
      </c>
      <c r="K32" s="1802"/>
    </row>
    <row r="33" spans="1:18" x14ac:dyDescent="0.3">
      <c r="A33" s="751" t="s">
        <v>1299</v>
      </c>
      <c r="B33" s="2055" t="s">
        <v>2009</v>
      </c>
      <c r="C33" s="2056"/>
      <c r="D33" s="2056"/>
      <c r="E33" s="2057"/>
      <c r="F33" s="1820">
        <f ca="1">SUM(OFFSET(MBD_BS_Index,1,MATCH($F$22,MBD_BS_Hdr,0)-1,ROWS(MBD_BS_Index)-1,1))</f>
        <v>1</v>
      </c>
      <c r="G33" s="1821">
        <f ca="1">SUMPRODUCT(OFFSET(MBD_BS_Index,1,MATCH($G$22,MBD_BS_Hdr,0)-1,ROWS(MBD_BS_Index)-1,1),OFFSET(MBD_BS_Index,1,MATCH($F$22,MBD_BS_Hdr,0)-1,ROWS(MBD_BS_Index)-1,1))</f>
        <v>1000</v>
      </c>
      <c r="H33" s="1821">
        <f ca="1">SUMPRODUCT(OFFSET(MBD_BS_Index,1,MATCH($H$22,MBD_BS_Hdr,0)-1,ROWS(MBD_BS_Index)-1,1),OFFSET(MBD_BS_Index,1,MATCH($F$22,MBD_BS_Hdr,0)-1,ROWS(MBD_BS_Index)-1,1))</f>
        <v>500</v>
      </c>
      <c r="I33" s="1822">
        <f ca="1">(SUMPRODUCT(OFFSET(MBD_BS_Index,1,MATCH($F$22,MBD_BS_Hdr,0)-1,ROWS(MBD_BS_Index)-1,1),OFFSET(MBD_BS_Index,1,MATCH($G$22,MBD_BS_Hdr,0)-1,ROWS(MBD_BS_Index)-1,1),OFFSET(MBD_BS_Index,1,MATCH($I$22,MBD_BS_Hdr,0)-1,ROWS(MBD_BS_Index)-1,1))+SUMPRODUCT(OFFSET(MBD_BS_Index,1,MATCH($F$22,MBD_BS_Hdr,0)-1,ROWS(MBD_BS_Index)-1,1),OFFSET(MBD_BS_Index,1,MATCH($H$22,MBD_BS_Hdr,0)-1,ROWS(MBD_BS_Index)-1,1),OFFSET(MBD_BS_Index,1,MATCH($I$22,MBD_BS_Hdr,0)-1,ROWS(MBD_BS_Index)-1,1)))/(SUMPRODUCT(OFFSET(MBD_BS_Index,1,MATCH($F$22,MBD_BS_Hdr,0)-1,ROWS(MBD_BS_Index)-1,1),OFFSET(MBD_BS_Index,1,MATCH($G$22,MBD_BS_Hdr,0)-1,ROWS(MBD_BS_Index)-1,1))+SUMPRODUCT(OFFSET(MBD_BS_Index,1,MATCH($F$22,MBD_BS_Hdr,0)-1,ROWS(MBD_BS_Index)-1,1),OFFSET(MBD_BS_Index,1,MATCH($H$22,MBD_BS_Hdr,0)-1,ROWS(MBD_BS_Index)-1,1)))</f>
        <v>1</v>
      </c>
      <c r="J33" s="1812">
        <f ca="1">1-I33</f>
        <v>0</v>
      </c>
      <c r="K33" s="1813"/>
      <c r="R33" s="1892"/>
    </row>
    <row r="34" spans="1:18" x14ac:dyDescent="0.3">
      <c r="A34" s="751" t="s">
        <v>1299</v>
      </c>
    </row>
    <row r="35" spans="1:18" x14ac:dyDescent="0.3">
      <c r="A35" s="876"/>
    </row>
    <row r="36" spans="1:18" x14ac:dyDescent="0.3">
      <c r="A36" s="876"/>
    </row>
  </sheetData>
  <sheetProtection algorithmName="SHA-512" hashValue="GTWnSjiMwhVVn6+bplMaDTYoCwgdcdGSe+xDBs5YB0u/8Cejk8d/Kk7kNGwOEVJn/h8m+tmEW7BKpwND349O8A==" saltValue="Q4NqjFPgNs99612aSD/kXQ==" spinCount="100000" sheet="1" objects="1" scenarios="1"/>
  <dataConsolidate/>
  <customSheetViews>
    <customSheetView guid="{75D6F8CE-A4F4-4FDD-BA92-7996F9E19FA9}" hiddenRows="1">
      <selection activeCell="H19" sqref="H19"/>
      <pageMargins left="0.7" right="0.7" top="0.75" bottom="0.75" header="0.3" footer="0.3"/>
      <pageSetup orientation="portrait" r:id="rId1"/>
    </customSheetView>
  </customSheetViews>
  <mergeCells count="10">
    <mergeCell ref="B33:E33"/>
    <mergeCell ref="J15:K15"/>
    <mergeCell ref="B31:C32"/>
    <mergeCell ref="B15:I15"/>
    <mergeCell ref="B10:K10"/>
    <mergeCell ref="B11:K11"/>
    <mergeCell ref="B23:D23"/>
    <mergeCell ref="B24:D24"/>
    <mergeCell ref="B17:I17"/>
    <mergeCell ref="J17:K17"/>
  </mergeCells>
  <conditionalFormatting sqref="B10:K11">
    <cfRule type="expression" dxfId="106" priority="57">
      <formula>AND(proj_RatingSystem&lt;&gt;"ND",$O$6=1)</formula>
    </cfRule>
  </conditionalFormatting>
  <conditionalFormatting sqref="B17:K17">
    <cfRule type="expression" dxfId="105" priority="2">
      <formula>IF($O$6&lt;&gt;3,TRUE,FALSE)</formula>
    </cfRule>
  </conditionalFormatting>
  <dataValidations count="3">
    <dataValidation type="decimal" allowBlank="1" showInputMessage="1" showErrorMessage="1" sqref="I33:J33 I23:J24" xr:uid="{00000000-0002-0000-0300-000000000000}">
      <formula1>0</formula1>
      <formula2>1</formula2>
    </dataValidation>
    <dataValidation type="list" allowBlank="1" showInputMessage="1" showErrorMessage="1" sqref="E23" xr:uid="{00000000-0002-0000-0300-000001000000}">
      <formula1>OFFSET(MBD_EMI_Index,2,0,ROWS(MBD_EMI_Index)-2,1)</formula1>
    </dataValidation>
    <dataValidation type="list" allowBlank="1" showInputMessage="1" showErrorMessage="1" sqref="E24" xr:uid="{00000000-0002-0000-0300-000002000000}">
      <formula1>OFFSET(MBD_EMI_Index,1,0,ROWS(MBD_EMI_Index)-1,1)</formula1>
    </dataValidation>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7521" r:id="rId5" name="Button 1">
              <controlPr defaultSize="0" print="0" autoFill="0" autoPict="0" macro="[0]!AddBldg">
                <anchor moveWithCells="1">
                  <from>
                    <xdr:col>1</xdr:col>
                    <xdr:colOff>38100</xdr:colOff>
                    <xdr:row>25</xdr:row>
                    <xdr:rowOff>7620</xdr:rowOff>
                  </from>
                  <to>
                    <xdr:col>2</xdr:col>
                    <xdr:colOff>449580</xdr:colOff>
                    <xdr:row>26</xdr:row>
                    <xdr:rowOff>83820</xdr:rowOff>
                  </to>
                </anchor>
              </controlPr>
            </control>
          </mc:Choice>
        </mc:AlternateContent>
        <mc:AlternateContent xmlns:mc="http://schemas.openxmlformats.org/markup-compatibility/2006">
          <mc:Choice Requires="x14">
            <control shapeId="107522" r:id="rId6" name="Button 2">
              <controlPr defaultSize="0" print="0" autoFill="0" autoPict="0" macro="[0]!DeleteBldg">
                <anchor moveWithCells="1">
                  <from>
                    <xdr:col>2</xdr:col>
                    <xdr:colOff>518160</xdr:colOff>
                    <xdr:row>25</xdr:row>
                    <xdr:rowOff>7620</xdr:rowOff>
                  </from>
                  <to>
                    <xdr:col>3</xdr:col>
                    <xdr:colOff>800100</xdr:colOff>
                    <xdr:row>26</xdr:row>
                    <xdr:rowOff>83820</xdr:rowOff>
                  </to>
                </anchor>
              </controlPr>
            </control>
          </mc:Choice>
        </mc:AlternateContent>
        <mc:AlternateContent xmlns:mc="http://schemas.openxmlformats.org/markup-compatibility/2006">
          <mc:Choice Requires="x14">
            <control shapeId="107526" r:id="rId7" name="btnAddEnergyModel">
              <controlPr defaultSize="0" print="0" autoFill="0" autoPict="0" macro="[0]!AddEnergyModel">
                <anchor moveWithCells="1">
                  <from>
                    <xdr:col>1</xdr:col>
                    <xdr:colOff>7620</xdr:colOff>
                    <xdr:row>18</xdr:row>
                    <xdr:rowOff>0</xdr:rowOff>
                  </from>
                  <to>
                    <xdr:col>2</xdr:col>
                    <xdr:colOff>426720</xdr:colOff>
                    <xdr:row>18</xdr:row>
                    <xdr:rowOff>251460</xdr:rowOff>
                  </to>
                </anchor>
              </controlPr>
            </control>
          </mc:Choice>
        </mc:AlternateContent>
        <mc:AlternateContent xmlns:mc="http://schemas.openxmlformats.org/markup-compatibility/2006">
          <mc:Choice Requires="x14">
            <control shapeId="107527" r:id="rId8" name="btnDeleteEnergyModel">
              <controlPr defaultSize="0" print="0" autoFill="0" autoPict="0" macro="[0]!DeleteEnergyModel">
                <anchor moveWithCells="1">
                  <from>
                    <xdr:col>2</xdr:col>
                    <xdr:colOff>541020</xdr:colOff>
                    <xdr:row>18</xdr:row>
                    <xdr:rowOff>0</xdr:rowOff>
                  </from>
                  <to>
                    <xdr:col>3</xdr:col>
                    <xdr:colOff>800100</xdr:colOff>
                    <xdr:row>18</xdr:row>
                    <xdr:rowOff>236220</xdr:rowOff>
                  </to>
                </anchor>
              </controlPr>
            </control>
          </mc:Choice>
        </mc:AlternateContent>
        <mc:AlternateContent xmlns:mc="http://schemas.openxmlformats.org/markup-compatibility/2006">
          <mc:Choice Requires="x14">
            <control shapeId="107531" r:id="rId9" name="EMSubset_Checkbox">
              <controlPr defaultSize="0" autoFill="0" autoLine="0" autoPict="0" macro="[0]!EMSubsetHideShowBuildingID" altText="Project is submitting a subset of Energy Models for LEED Documentation. The energy consumption for the other buildings not individually submitted are reported as &quot;Residual Project&quot;">
                <anchor moveWithCells="1">
                  <from>
                    <xdr:col>0</xdr:col>
                    <xdr:colOff>160020</xdr:colOff>
                    <xdr:row>11</xdr:row>
                    <xdr:rowOff>182880</xdr:rowOff>
                  </from>
                  <to>
                    <xdr:col>10</xdr:col>
                    <xdr:colOff>784860</xdr:colOff>
                    <xdr:row>11</xdr:row>
                    <xdr:rowOff>464820</xdr:rowOff>
                  </to>
                </anchor>
              </controlPr>
            </control>
          </mc:Choice>
        </mc:AlternateContent>
        <mc:AlternateContent xmlns:mc="http://schemas.openxmlformats.org/markup-compatibility/2006">
          <mc:Choice Requires="x14">
            <control shapeId="107534" r:id="rId10" name="rb1EnergyModelreporting">
              <controlPr defaultSize="0" autoFill="0" autoLine="0" autoPict="0" macro="[0]!ResetEnergyModelTable">
                <anchor moveWithCells="1">
                  <from>
                    <xdr:col>1</xdr:col>
                    <xdr:colOff>182880</xdr:colOff>
                    <xdr:row>5</xdr:row>
                    <xdr:rowOff>0</xdr:rowOff>
                  </from>
                  <to>
                    <xdr:col>10</xdr:col>
                    <xdr:colOff>609600</xdr:colOff>
                    <xdr:row>5</xdr:row>
                    <xdr:rowOff>190500</xdr:rowOff>
                  </to>
                </anchor>
              </controlPr>
            </control>
          </mc:Choice>
        </mc:AlternateContent>
        <mc:AlternateContent xmlns:mc="http://schemas.openxmlformats.org/markup-compatibility/2006">
          <mc:Choice Requires="x14">
            <control shapeId="107536" r:id="rId11" name="rb2EnergyModelreporting">
              <controlPr defaultSize="0" autoFill="0" autoLine="0" autoPict="0" macro="[0]!ResetEnergyModelTable">
                <anchor moveWithCells="1">
                  <from>
                    <xdr:col>1</xdr:col>
                    <xdr:colOff>175260</xdr:colOff>
                    <xdr:row>6</xdr:row>
                    <xdr:rowOff>0</xdr:rowOff>
                  </from>
                  <to>
                    <xdr:col>10</xdr:col>
                    <xdr:colOff>754380</xdr:colOff>
                    <xdr:row>6</xdr:row>
                    <xdr:rowOff>190500</xdr:rowOff>
                  </to>
                </anchor>
              </controlPr>
            </control>
          </mc:Choice>
        </mc:AlternateContent>
        <mc:AlternateContent xmlns:mc="http://schemas.openxmlformats.org/markup-compatibility/2006">
          <mc:Choice Requires="x14">
            <control shapeId="107538" r:id="rId12" name="rb3EnergyModelreporting">
              <controlPr defaultSize="0" autoFill="0" autoLine="0" autoPict="0" macro="[0]!ResetEnergyModelTable">
                <anchor moveWithCells="1">
                  <from>
                    <xdr:col>1</xdr:col>
                    <xdr:colOff>175260</xdr:colOff>
                    <xdr:row>7</xdr:row>
                    <xdr:rowOff>0</xdr:rowOff>
                  </from>
                  <to>
                    <xdr:col>10</xdr:col>
                    <xdr:colOff>678180</xdr:colOff>
                    <xdr:row>7</xdr:row>
                    <xdr:rowOff>228600</xdr:rowOff>
                  </to>
                </anchor>
              </controlPr>
            </control>
          </mc:Choice>
        </mc:AlternateContent>
        <mc:AlternateContent xmlns:mc="http://schemas.openxmlformats.org/markup-compatibility/2006">
          <mc:Choice Requires="x14">
            <control shapeId="107541" r:id="rId13" name="rbgOutputReporting">
              <controlPr defaultSize="0" print="0" autoFill="0" autoPict="0">
                <anchor moveWithCells="1">
                  <from>
                    <xdr:col>0</xdr:col>
                    <xdr:colOff>160020</xdr:colOff>
                    <xdr:row>4</xdr:row>
                    <xdr:rowOff>274320</xdr:rowOff>
                  </from>
                  <to>
                    <xdr:col>10</xdr:col>
                    <xdr:colOff>784860</xdr:colOff>
                    <xdr:row>8</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U105"/>
  <sheetViews>
    <sheetView workbookViewId="0">
      <selection activeCell="L17" sqref="L17"/>
    </sheetView>
  </sheetViews>
  <sheetFormatPr defaultColWidth="9.109375" defaultRowHeight="14.4" x14ac:dyDescent="0.3"/>
  <cols>
    <col min="1" max="1" width="1.6640625" style="759" customWidth="1"/>
    <col min="2" max="2" width="15.5546875" style="759" customWidth="1"/>
    <col min="3" max="3" width="31.33203125" style="759" customWidth="1"/>
    <col min="4" max="18" width="10.6640625" style="759" customWidth="1"/>
    <col min="19" max="20" width="2.77734375" style="759" customWidth="1"/>
    <col min="21" max="21" width="50.77734375" style="759" customWidth="1"/>
    <col min="22" max="16384" width="9.109375" style="759"/>
  </cols>
  <sheetData>
    <row r="1" spans="1:21" x14ac:dyDescent="0.3">
      <c r="A1" s="717" t="s">
        <v>1299</v>
      </c>
      <c r="B1" s="777"/>
      <c r="C1" s="777"/>
      <c r="D1" s="777"/>
      <c r="E1" s="777"/>
      <c r="F1" s="778"/>
      <c r="G1" s="778"/>
      <c r="H1" s="777"/>
      <c r="I1" s="777"/>
      <c r="J1" s="777"/>
      <c r="K1" s="778"/>
      <c r="L1" s="777"/>
      <c r="M1" s="777"/>
      <c r="N1" s="777"/>
      <c r="O1" s="777"/>
      <c r="P1" s="777"/>
      <c r="Q1" s="777"/>
      <c r="R1" s="777"/>
    </row>
    <row r="2" spans="1:21" ht="25.2" x14ac:dyDescent="0.3">
      <c r="A2" s="717" t="s">
        <v>1299</v>
      </c>
      <c r="B2" s="40" t="s">
        <v>1411</v>
      </c>
      <c r="C2" s="40"/>
      <c r="D2" s="40"/>
      <c r="E2" s="40"/>
      <c r="F2" s="40"/>
      <c r="G2" s="40"/>
      <c r="H2" s="40"/>
      <c r="I2" s="40"/>
      <c r="J2" s="40"/>
      <c r="K2" s="40"/>
      <c r="L2" s="40"/>
      <c r="M2" s="40"/>
      <c r="N2" s="40"/>
      <c r="O2" s="40"/>
      <c r="P2" s="40"/>
      <c r="Q2" s="40"/>
      <c r="R2" s="40"/>
    </row>
    <row r="3" spans="1:21" x14ac:dyDescent="0.3">
      <c r="A3" s="717" t="s">
        <v>1299</v>
      </c>
      <c r="B3" s="777"/>
      <c r="C3" s="777"/>
      <c r="D3" s="777"/>
      <c r="E3" s="777"/>
      <c r="F3" s="778"/>
      <c r="G3" s="778"/>
      <c r="H3" s="777"/>
      <c r="I3" s="777"/>
      <c r="J3" s="777"/>
      <c r="K3" s="778"/>
      <c r="L3" s="777"/>
      <c r="M3" s="777"/>
      <c r="N3" s="777"/>
      <c r="O3" s="777"/>
      <c r="P3" s="777"/>
      <c r="Q3" s="777"/>
      <c r="R3" s="777"/>
    </row>
    <row r="4" spans="1:21" x14ac:dyDescent="0.3">
      <c r="A4" s="835" t="s">
        <v>1299</v>
      </c>
      <c r="B4" s="574"/>
      <c r="C4" s="574"/>
      <c r="D4" s="574"/>
      <c r="E4" s="574"/>
      <c r="F4" s="574"/>
      <c r="G4" s="574"/>
      <c r="H4" s="574"/>
      <c r="I4" s="574"/>
      <c r="J4" s="574"/>
      <c r="K4" s="574"/>
      <c r="L4" s="574"/>
      <c r="M4" s="574"/>
      <c r="N4" s="574"/>
      <c r="O4" s="574"/>
      <c r="P4" s="574"/>
      <c r="Q4" s="574"/>
      <c r="R4" s="574"/>
    </row>
    <row r="5" spans="1:21" ht="87.75" customHeight="1" x14ac:dyDescent="0.3">
      <c r="A5" s="835" t="s">
        <v>1299</v>
      </c>
      <c r="B5" s="1996" t="str">
        <f>CONCATENATE("Complete the table for each building in the project. Provide information for the ",IF(proj_RatingSystem="Homes","Dwelling Units","Main Building Schedules")," and for each additional area or set of areas where the schedules differ significantly. Ensure that the reported schedules are consistent with the energy-model entered values, and that schedules account for all mandatory controls. ",IF(proj_RatingSystem="Homes",CONCATENATE("Residential lighting shall be for two to three hours per day (700 to 1100 equivalent full load hours per year). See the EFLH Calculator for default Residential Dwelling Unit Schedules that may be input into the energy model.", " Corridors and parking garages shall be lit 24 hours per day; parking garages shall include schedule adjustments for occupant sensor controls."),"" ),""," Ensure that schedules account for all mandatory controls.",CHAR(10),"*Note: The following Equivalent full load schedule information may be optionally excluded from the Table: ","(1) End-uses that do not significantly influence overall energy consumption for the project building type (i.e. service water heating for an office building &lt; 5% of total energy consumption),"," (2) Spaces modeled with differing schedules that contribute minimally to overall building energy consumption (i.e. electrical/mechanical rooms in a school building that contribute &lt; 5% of total building energy consumption")</f>
        <v>Complete the table for each building in the project. Provide information for the Main Building Schedules and for each additional area or set of areas where the schedules differ significantly. Ensure that the reported schedules are consistent with the energy-model entered values, and that schedules account for all mandatory controls.  Ensure that schedules account for all mandatory controls.
*Note: The following Equivalent full load schedule information may be optionally excluded from the Table: (1) End-uses that do not significantly influence overall energy consumption for the project building type (i.e. service water heating for an office building &lt; 5% of total energy consumption), (2) Spaces modeled with differing schedules that contribute minimally to overall building energy consumption (i.e. electrical/mechanical rooms in a school building that contribute &lt; 5% of total building energy consumption</v>
      </c>
      <c r="C5" s="1996"/>
      <c r="D5" s="1996"/>
      <c r="E5" s="1996"/>
      <c r="F5" s="1996"/>
      <c r="G5" s="1996"/>
      <c r="H5" s="1996"/>
      <c r="I5" s="1996"/>
      <c r="J5" s="1996"/>
      <c r="K5" s="1996"/>
      <c r="L5" s="1996"/>
      <c r="M5" s="1996"/>
      <c r="N5" s="1996"/>
      <c r="O5" s="1996"/>
      <c r="P5" s="1996"/>
      <c r="Q5" s="1996"/>
      <c r="R5" s="1996"/>
      <c r="U5" s="886" t="s">
        <v>2090</v>
      </c>
    </row>
    <row r="6" spans="1:21" x14ac:dyDescent="0.3">
      <c r="A6" s="835" t="s">
        <v>1299</v>
      </c>
      <c r="B6" s="2080" t="s">
        <v>1412</v>
      </c>
      <c r="C6" s="2081"/>
      <c r="D6" s="2081"/>
      <c r="E6" s="2081"/>
      <c r="F6" s="2081"/>
      <c r="G6" s="2081"/>
      <c r="H6" s="2081"/>
      <c r="I6" s="2081"/>
      <c r="J6" s="2081"/>
      <c r="K6" s="2081"/>
      <c r="L6" s="2081"/>
      <c r="M6" s="2081"/>
      <c r="N6" s="2081"/>
      <c r="O6" s="2081"/>
      <c r="P6" s="2081"/>
      <c r="Q6" s="2081"/>
      <c r="R6" s="2081"/>
    </row>
    <row r="7" spans="1:21" x14ac:dyDescent="0.3">
      <c r="A7" s="835" t="s">
        <v>1299</v>
      </c>
      <c r="B7" s="574"/>
      <c r="C7" s="574"/>
      <c r="D7" s="574"/>
      <c r="E7" s="574"/>
      <c r="F7" s="574"/>
      <c r="G7" s="574"/>
      <c r="H7" s="574"/>
      <c r="I7" s="574"/>
      <c r="J7" s="574"/>
      <c r="K7" s="574"/>
      <c r="L7" s="574"/>
      <c r="M7" s="574"/>
      <c r="N7" s="574"/>
      <c r="O7" s="574"/>
      <c r="P7" s="574"/>
      <c r="Q7" s="574"/>
      <c r="R7" s="574"/>
    </row>
    <row r="8" spans="1:21" ht="29.25" customHeight="1" x14ac:dyDescent="0.3">
      <c r="A8" s="835" t="s">
        <v>1299</v>
      </c>
      <c r="B8" s="2082" t="s">
        <v>1358</v>
      </c>
      <c r="C8" s="2082" t="s">
        <v>1413</v>
      </c>
      <c r="D8" s="2085" t="s">
        <v>1414</v>
      </c>
      <c r="E8" s="2086"/>
      <c r="F8" s="2086"/>
      <c r="G8" s="2086"/>
      <c r="H8" s="2086"/>
      <c r="I8" s="2086"/>
      <c r="J8" s="2086"/>
      <c r="K8" s="2086"/>
      <c r="L8" s="2086"/>
      <c r="M8" s="2087"/>
      <c r="N8" s="2082" t="s">
        <v>1415</v>
      </c>
      <c r="O8" s="2090" t="str">
        <f>IF(proj_RatingSystem="Homes","Active Mode Setpoint","Occupied Mode Setpoint")</f>
        <v>Occupied Mode Setpoint</v>
      </c>
      <c r="P8" s="2091"/>
      <c r="Q8" s="2090" t="s">
        <v>1416</v>
      </c>
      <c r="R8" s="2091"/>
    </row>
    <row r="9" spans="1:21" ht="27.75" customHeight="1" x14ac:dyDescent="0.3">
      <c r="A9" s="835" t="s">
        <v>1299</v>
      </c>
      <c r="B9" s="2083"/>
      <c r="C9" s="2083"/>
      <c r="D9" s="2092" t="s">
        <v>281</v>
      </c>
      <c r="E9" s="2078" t="s">
        <v>283</v>
      </c>
      <c r="F9" s="2078" t="s">
        <v>1417</v>
      </c>
      <c r="G9" s="2078" t="s">
        <v>1418</v>
      </c>
      <c r="H9" s="2078" t="s">
        <v>1419</v>
      </c>
      <c r="I9" s="2078" t="s">
        <v>1420</v>
      </c>
      <c r="J9" s="2078" t="s">
        <v>1421</v>
      </c>
      <c r="K9" s="2078" t="s">
        <v>282</v>
      </c>
      <c r="L9" s="2094" t="s">
        <v>1422</v>
      </c>
      <c r="M9" s="2095"/>
      <c r="N9" s="2088"/>
      <c r="O9" s="2096" t="str">
        <f>CONCATENATE("Cooling",IF(SI_IP_Units="IP"," (degrees F)"," (degrees C)"))</f>
        <v>Cooling (degrees C)</v>
      </c>
      <c r="P9" s="2095" t="str">
        <f>CONCATENATE("Heating",IF(SI_IP_Units="IP"," (degrees F)"," (degrees C)"))</f>
        <v>Heating (degrees C)</v>
      </c>
      <c r="Q9" s="2096" t="str">
        <f>CONCATENATE("Cooling",IF(SI_IP_Units="IP"," (degrees F)"," (degrees C)"))</f>
        <v>Cooling (degrees C)</v>
      </c>
      <c r="R9" s="2095" t="str">
        <f>CONCATENATE("Heating",IF(SI_IP_Units="IP"," (degrees F)"," (degrees C)"))</f>
        <v>Heating (degrees C)</v>
      </c>
    </row>
    <row r="10" spans="1:21" ht="27.75" customHeight="1" x14ac:dyDescent="0.3">
      <c r="A10" s="835" t="s">
        <v>1299</v>
      </c>
      <c r="B10" s="2084"/>
      <c r="C10" s="2084"/>
      <c r="D10" s="2093"/>
      <c r="E10" s="2079"/>
      <c r="F10" s="2079"/>
      <c r="G10" s="2079"/>
      <c r="H10" s="2079"/>
      <c r="I10" s="2079"/>
      <c r="J10" s="2079"/>
      <c r="K10" s="2079"/>
      <c r="L10" s="1363" t="s">
        <v>2256</v>
      </c>
      <c r="M10" s="1364"/>
      <c r="N10" s="2089"/>
      <c r="O10" s="2097"/>
      <c r="P10" s="2098"/>
      <c r="Q10" s="2097"/>
      <c r="R10" s="2098"/>
    </row>
    <row r="11" spans="1:21" ht="38.25" hidden="1" customHeight="1" x14ac:dyDescent="0.3">
      <c r="A11" s="835" t="s">
        <v>1299</v>
      </c>
      <c r="B11" s="911" t="str">
        <f>B8</f>
        <v>Building ID</v>
      </c>
      <c r="C11" s="911" t="str">
        <f t="shared" ref="C11" si="0">C8</f>
        <v>Areas Served</v>
      </c>
      <c r="D11" s="911" t="str">
        <f>D9</f>
        <v>Interior Lighting</v>
      </c>
      <c r="E11" s="911" t="str">
        <f t="shared" ref="E11:R11" si="1">E9</f>
        <v>Service Water Heating</v>
      </c>
      <c r="F11" s="911" t="str">
        <f t="shared" si="1"/>
        <v>Receptacle Equipment and Appliances</v>
      </c>
      <c r="G11" s="911" t="str">
        <f t="shared" si="1"/>
        <v>Refriger-ation</v>
      </c>
      <c r="H11" s="911" t="str">
        <f t="shared" si="1"/>
        <v>Server Equip-ment</v>
      </c>
      <c r="I11" s="911" t="str">
        <f t="shared" si="1"/>
        <v>Cooking Equip-ment</v>
      </c>
      <c r="J11" s="911" t="str">
        <f t="shared" si="1"/>
        <v>Elevators / Escalators</v>
      </c>
      <c r="K11" s="911" t="str">
        <f t="shared" si="1"/>
        <v>Exterior Lighting</v>
      </c>
      <c r="L11" s="911" t="str">
        <f t="shared" si="1"/>
        <v>Other Loads (Indicate Loads)</v>
      </c>
      <c r="M11" s="911">
        <f t="shared" si="1"/>
        <v>0</v>
      </c>
      <c r="N11" s="911" t="str">
        <f>N8</f>
        <v>HVAC:
hours per year fans running continuously</v>
      </c>
      <c r="O11" s="911" t="str">
        <f t="shared" si="1"/>
        <v>Cooling (degrees C)</v>
      </c>
      <c r="P11" s="911" t="str">
        <f t="shared" si="1"/>
        <v>Heating (degrees C)</v>
      </c>
      <c r="Q11" s="911" t="str">
        <f t="shared" si="1"/>
        <v>Cooling (degrees C)</v>
      </c>
      <c r="R11" s="884" t="str">
        <f t="shared" si="1"/>
        <v>Heating (degrees C)</v>
      </c>
    </row>
    <row r="12" spans="1:21" hidden="1" x14ac:dyDescent="0.3">
      <c r="A12" s="835" t="s">
        <v>1299</v>
      </c>
      <c r="B12" s="1365" t="str">
        <f>IF(MultipleBuildingsExist="Yes","All",GI_Project_Name)</f>
        <v>Saudi Aramco Corporate Academy - Dhahran</v>
      </c>
      <c r="C12" s="1365" t="s">
        <v>1423</v>
      </c>
      <c r="D12" s="1962">
        <f>854</f>
        <v>854</v>
      </c>
      <c r="E12" s="1366">
        <f>2446</f>
        <v>2446</v>
      </c>
      <c r="F12" s="1366">
        <f>2117</f>
        <v>2117</v>
      </c>
      <c r="G12" s="1366"/>
      <c r="H12" s="1366"/>
      <c r="I12" s="1366"/>
      <c r="J12" s="1366"/>
      <c r="K12" s="1366"/>
      <c r="L12" s="1366"/>
      <c r="M12" s="1367"/>
      <c r="N12" s="1368">
        <v>8760</v>
      </c>
      <c r="O12" s="1369">
        <v>78</v>
      </c>
      <c r="P12" s="1370">
        <v>72</v>
      </c>
      <c r="Q12" s="1369">
        <v>80</v>
      </c>
      <c r="R12" s="1370">
        <v>70</v>
      </c>
      <c r="U12" s="1892"/>
    </row>
    <row r="13" spans="1:21" ht="16.5" customHeight="1" x14ac:dyDescent="0.3">
      <c r="A13" s="835" t="s">
        <v>1299</v>
      </c>
      <c r="B13" s="1371" t="str">
        <f>IF(MultipleBuildingsExist="Yes","All",GI_Project_Name)</f>
        <v>Saudi Aramco Corporate Academy - Dhahran</v>
      </c>
      <c r="C13" s="1372" t="s">
        <v>1424</v>
      </c>
      <c r="D13" s="1373">
        <v>2487</v>
      </c>
      <c r="E13" s="1373">
        <v>1527</v>
      </c>
      <c r="F13" s="1373">
        <v>2317</v>
      </c>
      <c r="G13" s="1373"/>
      <c r="H13" s="1373"/>
      <c r="I13" s="1373"/>
      <c r="J13" s="1373">
        <v>1436</v>
      </c>
      <c r="K13" s="1373">
        <v>4364</v>
      </c>
      <c r="L13" s="1373">
        <v>4176</v>
      </c>
      <c r="M13" s="1373"/>
      <c r="N13" s="1373">
        <v>2772</v>
      </c>
      <c r="O13" s="1374">
        <v>24</v>
      </c>
      <c r="P13" s="1374">
        <v>21</v>
      </c>
      <c r="Q13" s="1374">
        <v>30</v>
      </c>
      <c r="R13" s="1375">
        <v>15</v>
      </c>
      <c r="U13" s="1892"/>
    </row>
    <row r="14" spans="1:21" ht="5.25" customHeight="1" x14ac:dyDescent="0.3">
      <c r="A14" s="835" t="s">
        <v>1299</v>
      </c>
      <c r="B14" s="1376"/>
      <c r="C14" s="1377"/>
      <c r="D14" s="1378"/>
      <c r="E14" s="1379"/>
      <c r="F14" s="1379"/>
      <c r="G14" s="1379"/>
      <c r="H14" s="1379"/>
      <c r="I14" s="1379"/>
      <c r="J14" s="1379"/>
      <c r="K14" s="1379"/>
      <c r="L14" s="1379"/>
      <c r="M14" s="1380"/>
      <c r="N14" s="1381"/>
      <c r="O14" s="1382"/>
      <c r="P14" s="1383"/>
      <c r="Q14" s="1382"/>
      <c r="R14" s="1383"/>
    </row>
    <row r="15" spans="1:21" ht="16.5" hidden="1" customHeight="1" x14ac:dyDescent="0.3">
      <c r="A15" s="1208" t="s">
        <v>915</v>
      </c>
      <c r="B15" s="1384" t="str">
        <f t="shared" ref="B15:B20" si="2">GI_Project_Name</f>
        <v>Saudi Aramco Corporate Academy - Dhahran</v>
      </c>
      <c r="C15" s="1384"/>
      <c r="D15" s="1385"/>
      <c r="E15" s="1386"/>
      <c r="F15" s="1386"/>
      <c r="G15" s="1386"/>
      <c r="H15" s="1386"/>
      <c r="I15" s="1386"/>
      <c r="J15" s="1386"/>
      <c r="K15" s="1386"/>
      <c r="L15" s="1386"/>
      <c r="M15" s="1387"/>
      <c r="N15" s="1388"/>
      <c r="O15" s="1389"/>
      <c r="P15" s="1390"/>
      <c r="Q15" s="1389"/>
      <c r="R15" s="1390"/>
    </row>
    <row r="16" spans="1:21" ht="15.9" customHeight="1" x14ac:dyDescent="0.3">
      <c r="A16" s="1208" t="s">
        <v>915</v>
      </c>
      <c r="B16" s="1391" t="str">
        <f t="shared" si="2"/>
        <v>Saudi Aramco Corporate Academy - Dhahran</v>
      </c>
      <c r="C16" s="1391" t="s">
        <v>2330</v>
      </c>
      <c r="D16" s="1392">
        <v>2448</v>
      </c>
      <c r="E16" s="1392"/>
      <c r="F16" s="1392">
        <v>2200</v>
      </c>
      <c r="G16" s="1392"/>
      <c r="H16" s="1392"/>
      <c r="I16" s="1392"/>
      <c r="J16" s="1392"/>
      <c r="K16" s="1392"/>
      <c r="L16" s="1392"/>
      <c r="M16" s="1392"/>
      <c r="N16" s="1392"/>
      <c r="O16" s="1393">
        <v>24</v>
      </c>
      <c r="P16" s="1393">
        <v>21</v>
      </c>
      <c r="Q16" s="1393">
        <v>30</v>
      </c>
      <c r="R16" s="1393">
        <v>15</v>
      </c>
      <c r="U16" s="1891"/>
    </row>
    <row r="17" spans="1:21" ht="15.9" customHeight="1" x14ac:dyDescent="0.3">
      <c r="A17" s="1208" t="s">
        <v>915</v>
      </c>
      <c r="B17" s="1391" t="str">
        <f t="shared" si="2"/>
        <v>Saudi Aramco Corporate Academy - Dhahran</v>
      </c>
      <c r="C17" s="1391" t="s">
        <v>2331</v>
      </c>
      <c r="D17" s="1392">
        <v>2599</v>
      </c>
      <c r="E17" s="1392"/>
      <c r="F17" s="1392">
        <v>1782</v>
      </c>
      <c r="G17" s="1392"/>
      <c r="H17" s="1392"/>
      <c r="I17" s="1392"/>
      <c r="J17" s="1392"/>
      <c r="K17" s="1392"/>
      <c r="L17" s="1392"/>
      <c r="M17" s="1392"/>
      <c r="N17" s="1392"/>
      <c r="O17" s="1393">
        <v>24</v>
      </c>
      <c r="P17" s="1393">
        <v>21</v>
      </c>
      <c r="Q17" s="1393">
        <v>30</v>
      </c>
      <c r="R17" s="1393">
        <v>15</v>
      </c>
      <c r="U17" s="1891"/>
    </row>
    <row r="18" spans="1:21" ht="15.9" customHeight="1" x14ac:dyDescent="0.3">
      <c r="A18" s="1208" t="s">
        <v>915</v>
      </c>
      <c r="B18" s="1391" t="str">
        <f t="shared" si="2"/>
        <v>Saudi Aramco Corporate Academy - Dhahran</v>
      </c>
      <c r="C18" s="1391" t="s">
        <v>2332</v>
      </c>
      <c r="D18" s="1392">
        <v>1879</v>
      </c>
      <c r="E18" s="1392"/>
      <c r="F18" s="1392">
        <v>2121</v>
      </c>
      <c r="G18" s="1392"/>
      <c r="H18" s="1392"/>
      <c r="I18" s="1392"/>
      <c r="J18" s="1392"/>
      <c r="K18" s="1392"/>
      <c r="L18" s="1392"/>
      <c r="M18" s="1392"/>
      <c r="N18" s="1392"/>
      <c r="O18" s="1393">
        <v>24</v>
      </c>
      <c r="P18" s="1393">
        <v>21</v>
      </c>
      <c r="Q18" s="1393">
        <v>30</v>
      </c>
      <c r="R18" s="1393">
        <v>15</v>
      </c>
      <c r="U18" s="1891"/>
    </row>
    <row r="19" spans="1:21" ht="15.9" customHeight="1" x14ac:dyDescent="0.3">
      <c r="A19" s="1208" t="s">
        <v>915</v>
      </c>
      <c r="B19" s="1391" t="str">
        <f t="shared" si="2"/>
        <v>Saudi Aramco Corporate Academy - Dhahran</v>
      </c>
      <c r="C19" s="1391" t="s">
        <v>2333</v>
      </c>
      <c r="D19" s="1392">
        <v>3553</v>
      </c>
      <c r="E19" s="1392"/>
      <c r="F19" s="1392"/>
      <c r="G19" s="1392"/>
      <c r="H19" s="1392"/>
      <c r="I19" s="1392"/>
      <c r="J19" s="1392"/>
      <c r="K19" s="1392"/>
      <c r="L19" s="1392"/>
      <c r="M19" s="1392"/>
      <c r="N19" s="1392"/>
      <c r="O19" s="1393">
        <v>24</v>
      </c>
      <c r="P19" s="1393">
        <v>21</v>
      </c>
      <c r="Q19" s="1393">
        <v>30</v>
      </c>
      <c r="R19" s="1393">
        <v>15</v>
      </c>
      <c r="U19" s="1891"/>
    </row>
    <row r="20" spans="1:21" ht="15.9" customHeight="1" x14ac:dyDescent="0.3">
      <c r="A20" s="1208" t="s">
        <v>915</v>
      </c>
      <c r="B20" s="1391" t="str">
        <f t="shared" si="2"/>
        <v>Saudi Aramco Corporate Academy - Dhahran</v>
      </c>
      <c r="C20" s="1391" t="s">
        <v>2334</v>
      </c>
      <c r="D20" s="1392"/>
      <c r="E20" s="1392"/>
      <c r="F20" s="1392"/>
      <c r="G20" s="1392"/>
      <c r="H20" s="1392"/>
      <c r="I20" s="1392"/>
      <c r="J20" s="1392"/>
      <c r="K20" s="1392"/>
      <c r="L20" s="1392"/>
      <c r="M20" s="1392"/>
      <c r="N20" s="1392">
        <v>8760</v>
      </c>
      <c r="O20" s="1393">
        <v>22</v>
      </c>
      <c r="P20" s="1393">
        <v>15</v>
      </c>
      <c r="Q20" s="1393">
        <v>22</v>
      </c>
      <c r="R20" s="1393">
        <v>15</v>
      </c>
      <c r="U20" s="1891"/>
    </row>
    <row r="21" spans="1:21" x14ac:dyDescent="0.3">
      <c r="A21" s="835" t="s">
        <v>1299</v>
      </c>
    </row>
    <row r="22" spans="1:21" x14ac:dyDescent="0.3">
      <c r="A22" s="835" t="s">
        <v>1299</v>
      </c>
    </row>
    <row r="23" spans="1:21" x14ac:dyDescent="0.3">
      <c r="A23" s="835" t="s">
        <v>1299</v>
      </c>
    </row>
    <row r="24" spans="1:21" x14ac:dyDescent="0.3">
      <c r="A24" s="835" t="s">
        <v>1299</v>
      </c>
    </row>
    <row r="25" spans="1:21" x14ac:dyDescent="0.3">
      <c r="A25" s="835" t="s">
        <v>1299</v>
      </c>
    </row>
    <row r="26" spans="1:21" x14ac:dyDescent="0.3">
      <c r="A26" s="835" t="s">
        <v>1299</v>
      </c>
    </row>
    <row r="27" spans="1:21" x14ac:dyDescent="0.3">
      <c r="A27" s="835" t="s">
        <v>1299</v>
      </c>
    </row>
    <row r="28" spans="1:21" x14ac:dyDescent="0.3">
      <c r="A28" s="835" t="s">
        <v>1299</v>
      </c>
    </row>
    <row r="29" spans="1:21" x14ac:dyDescent="0.3">
      <c r="A29" s="835" t="s">
        <v>1299</v>
      </c>
    </row>
    <row r="30" spans="1:21" x14ac:dyDescent="0.3">
      <c r="A30" s="835" t="s">
        <v>1299</v>
      </c>
    </row>
    <row r="31" spans="1:21" x14ac:dyDescent="0.3">
      <c r="A31" s="835" t="s">
        <v>1299</v>
      </c>
    </row>
    <row r="32" spans="1:21" x14ac:dyDescent="0.3">
      <c r="A32" s="835" t="s">
        <v>1299</v>
      </c>
    </row>
    <row r="33" spans="1:1" x14ac:dyDescent="0.3">
      <c r="A33" s="835" t="s">
        <v>1299</v>
      </c>
    </row>
    <row r="34" spans="1:1" x14ac:dyDescent="0.3">
      <c r="A34" s="835" t="s">
        <v>1299</v>
      </c>
    </row>
    <row r="35" spans="1:1" x14ac:dyDescent="0.3">
      <c r="A35" s="835" t="s">
        <v>1299</v>
      </c>
    </row>
    <row r="36" spans="1:1" x14ac:dyDescent="0.3">
      <c r="A36" s="835" t="s">
        <v>1299</v>
      </c>
    </row>
    <row r="37" spans="1:1" x14ac:dyDescent="0.3">
      <c r="A37" s="835" t="s">
        <v>1299</v>
      </c>
    </row>
    <row r="38" spans="1:1" x14ac:dyDescent="0.3">
      <c r="A38" s="835" t="s">
        <v>1299</v>
      </c>
    </row>
    <row r="39" spans="1:1" x14ac:dyDescent="0.3">
      <c r="A39" s="835" t="s">
        <v>1299</v>
      </c>
    </row>
    <row r="40" spans="1:1" x14ac:dyDescent="0.3">
      <c r="A40" s="835" t="s">
        <v>1299</v>
      </c>
    </row>
    <row r="41" spans="1:1" x14ac:dyDescent="0.3">
      <c r="A41" s="835" t="s">
        <v>1299</v>
      </c>
    </row>
    <row r="42" spans="1:1" x14ac:dyDescent="0.3">
      <c r="A42" s="835" t="s">
        <v>1299</v>
      </c>
    </row>
    <row r="43" spans="1:1" x14ac:dyDescent="0.3">
      <c r="A43" s="835" t="s">
        <v>1299</v>
      </c>
    </row>
    <row r="44" spans="1:1" x14ac:dyDescent="0.3">
      <c r="A44" s="835" t="s">
        <v>1299</v>
      </c>
    </row>
    <row r="45" spans="1:1" x14ac:dyDescent="0.3">
      <c r="A45" s="835" t="s">
        <v>1299</v>
      </c>
    </row>
    <row r="46" spans="1:1" x14ac:dyDescent="0.3">
      <c r="A46" s="835" t="s">
        <v>1299</v>
      </c>
    </row>
    <row r="47" spans="1:1" x14ac:dyDescent="0.3">
      <c r="A47" s="835" t="s">
        <v>1299</v>
      </c>
    </row>
    <row r="48" spans="1:1" x14ac:dyDescent="0.3">
      <c r="A48" s="835" t="s">
        <v>1299</v>
      </c>
    </row>
    <row r="49" spans="1:1" x14ac:dyDescent="0.3">
      <c r="A49" s="835" t="s">
        <v>1299</v>
      </c>
    </row>
    <row r="50" spans="1:1" x14ac:dyDescent="0.3">
      <c r="A50" s="835" t="s">
        <v>1299</v>
      </c>
    </row>
    <row r="51" spans="1:1" x14ac:dyDescent="0.3">
      <c r="A51" s="835" t="s">
        <v>1299</v>
      </c>
    </row>
    <row r="52" spans="1:1" x14ac:dyDescent="0.3">
      <c r="A52" s="835" t="s">
        <v>1299</v>
      </c>
    </row>
    <row r="53" spans="1:1" x14ac:dyDescent="0.3">
      <c r="A53" s="835" t="s">
        <v>1299</v>
      </c>
    </row>
    <row r="54" spans="1:1" x14ac:dyDescent="0.3">
      <c r="A54" s="835" t="s">
        <v>1299</v>
      </c>
    </row>
    <row r="55" spans="1:1" x14ac:dyDescent="0.3">
      <c r="A55" s="835" t="s">
        <v>1299</v>
      </c>
    </row>
    <row r="56" spans="1:1" x14ac:dyDescent="0.3">
      <c r="A56" s="835" t="s">
        <v>1299</v>
      </c>
    </row>
    <row r="57" spans="1:1" x14ac:dyDescent="0.3">
      <c r="A57" s="835" t="s">
        <v>1299</v>
      </c>
    </row>
    <row r="58" spans="1:1" x14ac:dyDescent="0.3">
      <c r="A58" s="835" t="s">
        <v>1299</v>
      </c>
    </row>
    <row r="59" spans="1:1" x14ac:dyDescent="0.3">
      <c r="A59" s="835" t="s">
        <v>1299</v>
      </c>
    </row>
    <row r="60" spans="1:1" x14ac:dyDescent="0.3">
      <c r="A60" s="835" t="s">
        <v>1299</v>
      </c>
    </row>
    <row r="61" spans="1:1" x14ac:dyDescent="0.3">
      <c r="A61" s="835" t="s">
        <v>1299</v>
      </c>
    </row>
    <row r="62" spans="1:1" x14ac:dyDescent="0.3">
      <c r="A62" s="835" t="s">
        <v>1299</v>
      </c>
    </row>
    <row r="63" spans="1:1" x14ac:dyDescent="0.3">
      <c r="A63" s="835" t="s">
        <v>1299</v>
      </c>
    </row>
    <row r="64" spans="1:1" x14ac:dyDescent="0.3">
      <c r="A64" s="835" t="s">
        <v>1299</v>
      </c>
    </row>
    <row r="65" spans="1:1" x14ac:dyDescent="0.3">
      <c r="A65" s="835" t="s">
        <v>1299</v>
      </c>
    </row>
    <row r="66" spans="1:1" x14ac:dyDescent="0.3">
      <c r="A66" s="835" t="s">
        <v>1299</v>
      </c>
    </row>
    <row r="67" spans="1:1" x14ac:dyDescent="0.3">
      <c r="A67" s="835" t="s">
        <v>1299</v>
      </c>
    </row>
    <row r="68" spans="1:1" x14ac:dyDescent="0.3">
      <c r="A68" s="835" t="s">
        <v>1299</v>
      </c>
    </row>
    <row r="69" spans="1:1" x14ac:dyDescent="0.3">
      <c r="A69" s="835" t="s">
        <v>1299</v>
      </c>
    </row>
    <row r="70" spans="1:1" x14ac:dyDescent="0.3">
      <c r="A70" s="835" t="s">
        <v>1299</v>
      </c>
    </row>
    <row r="71" spans="1:1" x14ac:dyDescent="0.3">
      <c r="A71" s="835" t="s">
        <v>1299</v>
      </c>
    </row>
    <row r="72" spans="1:1" x14ac:dyDescent="0.3">
      <c r="A72" s="835" t="s">
        <v>1299</v>
      </c>
    </row>
    <row r="73" spans="1:1" x14ac:dyDescent="0.3">
      <c r="A73" s="835" t="s">
        <v>1299</v>
      </c>
    </row>
    <row r="74" spans="1:1" x14ac:dyDescent="0.3">
      <c r="A74" s="835" t="s">
        <v>1299</v>
      </c>
    </row>
    <row r="75" spans="1:1" x14ac:dyDescent="0.3">
      <c r="A75" s="835" t="s">
        <v>1299</v>
      </c>
    </row>
    <row r="76" spans="1:1" x14ac:dyDescent="0.3">
      <c r="A76" s="835" t="s">
        <v>1299</v>
      </c>
    </row>
    <row r="77" spans="1:1" x14ac:dyDescent="0.3">
      <c r="A77" s="835" t="s">
        <v>1299</v>
      </c>
    </row>
    <row r="78" spans="1:1" x14ac:dyDescent="0.3">
      <c r="A78" s="835" t="s">
        <v>1299</v>
      </c>
    </row>
    <row r="79" spans="1:1" x14ac:dyDescent="0.3">
      <c r="A79" s="835" t="s">
        <v>1299</v>
      </c>
    </row>
    <row r="80" spans="1:1" x14ac:dyDescent="0.3">
      <c r="A80" s="835" t="s">
        <v>1299</v>
      </c>
    </row>
    <row r="81" spans="1:1" x14ac:dyDescent="0.3">
      <c r="A81" s="835" t="s">
        <v>1299</v>
      </c>
    </row>
    <row r="82" spans="1:1" x14ac:dyDescent="0.3">
      <c r="A82" s="835" t="s">
        <v>1299</v>
      </c>
    </row>
    <row r="83" spans="1:1" x14ac:dyDescent="0.3">
      <c r="A83" s="835" t="s">
        <v>1299</v>
      </c>
    </row>
    <row r="84" spans="1:1" x14ac:dyDescent="0.3">
      <c r="A84" s="835" t="s">
        <v>1299</v>
      </c>
    </row>
    <row r="85" spans="1:1" x14ac:dyDescent="0.3">
      <c r="A85" s="835" t="s">
        <v>1299</v>
      </c>
    </row>
    <row r="86" spans="1:1" x14ac:dyDescent="0.3">
      <c r="A86" s="835" t="s">
        <v>1299</v>
      </c>
    </row>
    <row r="87" spans="1:1" x14ac:dyDescent="0.3">
      <c r="A87" s="835" t="s">
        <v>1299</v>
      </c>
    </row>
    <row r="88" spans="1:1" x14ac:dyDescent="0.3">
      <c r="A88" s="835" t="s">
        <v>1299</v>
      </c>
    </row>
    <row r="89" spans="1:1" x14ac:dyDescent="0.3">
      <c r="A89" s="835" t="s">
        <v>1299</v>
      </c>
    </row>
    <row r="90" spans="1:1" x14ac:dyDescent="0.3">
      <c r="A90" s="835" t="s">
        <v>1299</v>
      </c>
    </row>
    <row r="91" spans="1:1" x14ac:dyDescent="0.3">
      <c r="A91" s="835" t="s">
        <v>1299</v>
      </c>
    </row>
    <row r="92" spans="1:1" x14ac:dyDescent="0.3">
      <c r="A92" s="835" t="s">
        <v>1299</v>
      </c>
    </row>
    <row r="93" spans="1:1" x14ac:dyDescent="0.3">
      <c r="A93" s="835" t="s">
        <v>1299</v>
      </c>
    </row>
    <row r="94" spans="1:1" x14ac:dyDescent="0.3">
      <c r="A94" s="835" t="s">
        <v>1299</v>
      </c>
    </row>
    <row r="95" spans="1:1" x14ac:dyDescent="0.3">
      <c r="A95" s="835" t="s">
        <v>1299</v>
      </c>
    </row>
    <row r="96" spans="1:1" x14ac:dyDescent="0.3">
      <c r="A96" s="835" t="s">
        <v>1299</v>
      </c>
    </row>
    <row r="97" spans="1:1" x14ac:dyDescent="0.3">
      <c r="A97" s="835" t="s">
        <v>1299</v>
      </c>
    </row>
    <row r="98" spans="1:1" x14ac:dyDescent="0.3">
      <c r="A98" s="835" t="s">
        <v>1299</v>
      </c>
    </row>
    <row r="99" spans="1:1" x14ac:dyDescent="0.3">
      <c r="A99" s="835" t="s">
        <v>1299</v>
      </c>
    </row>
    <row r="100" spans="1:1" x14ac:dyDescent="0.3">
      <c r="A100" s="835" t="s">
        <v>1299</v>
      </c>
    </row>
    <row r="101" spans="1:1" x14ac:dyDescent="0.3">
      <c r="A101" s="835" t="s">
        <v>1299</v>
      </c>
    </row>
    <row r="102" spans="1:1" x14ac:dyDescent="0.3">
      <c r="A102" s="835" t="s">
        <v>1299</v>
      </c>
    </row>
    <row r="103" spans="1:1" x14ac:dyDescent="0.3">
      <c r="A103" s="835" t="s">
        <v>1299</v>
      </c>
    </row>
    <row r="104" spans="1:1" x14ac:dyDescent="0.3">
      <c r="A104" s="835" t="s">
        <v>1299</v>
      </c>
    </row>
    <row r="105" spans="1:1" x14ac:dyDescent="0.3">
      <c r="A105" s="835" t="s">
        <v>1299</v>
      </c>
    </row>
  </sheetData>
  <sheetProtection algorithmName="SHA-512" hashValue="PuePDIyzMvrAldpHzqWBtov9KrD6kHWxE8GxwWnn+xQNePsuYf2QignhZHF+hNe1zSHWO86hEeIEjLXeEREPTQ==" saltValue="0og5lNRDU8W9KodvzWz8XA==" spinCount="100000" sheet="1" objects="1" scenarios="1"/>
  <dataConsolidate/>
  <customSheetViews>
    <customSheetView guid="{75D6F8CE-A4F4-4FDD-BA92-7996F9E19FA9}">
      <selection activeCell="A16" sqref="A16:A17"/>
      <pageMargins left="0.7" right="0.7" top="0.75" bottom="0.75" header="0.3" footer="0.3"/>
      <pageSetup orientation="portrait" r:id="rId1"/>
    </customSheetView>
  </customSheetViews>
  <mergeCells count="21">
    <mergeCell ref="L9:M9"/>
    <mergeCell ref="O9:O10"/>
    <mergeCell ref="P9:P10"/>
    <mergeCell ref="Q9:Q10"/>
    <mergeCell ref="R9:R10"/>
    <mergeCell ref="K9:K10"/>
    <mergeCell ref="B5:R5"/>
    <mergeCell ref="B6:R6"/>
    <mergeCell ref="B8:B10"/>
    <mergeCell ref="C8:C10"/>
    <mergeCell ref="D8:M8"/>
    <mergeCell ref="N8:N10"/>
    <mergeCell ref="O8:P8"/>
    <mergeCell ref="Q8:R8"/>
    <mergeCell ref="D9:D10"/>
    <mergeCell ref="E9:E10"/>
    <mergeCell ref="F9:F10"/>
    <mergeCell ref="G9:G10"/>
    <mergeCell ref="H9:H10"/>
    <mergeCell ref="I9:I10"/>
    <mergeCell ref="J9:J10"/>
  </mergeCells>
  <dataValidations count="2">
    <dataValidation type="list" allowBlank="1" showInputMessage="1" showErrorMessage="1" sqref="B15:B20" xr:uid="{00000000-0002-0000-0400-000000000000}">
      <formula1>BuildingIDLookup</formula1>
    </dataValidation>
    <dataValidation allowBlank="1" sqref="D12:R20" xr:uid="{00000000-0002-0000-0400-000001000000}"/>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6263" r:id="rId5" name="Button 7">
              <controlPr defaultSize="0" print="0" autoFill="0" autoPict="0" macro="[0]!addA">
                <anchor moveWithCells="1">
                  <from>
                    <xdr:col>1</xdr:col>
                    <xdr:colOff>0</xdr:colOff>
                    <xdr:row>21</xdr:row>
                    <xdr:rowOff>0</xdr:rowOff>
                  </from>
                  <to>
                    <xdr:col>2</xdr:col>
                    <xdr:colOff>342900</xdr:colOff>
                    <xdr:row>22</xdr:row>
                    <xdr:rowOff>76200</xdr:rowOff>
                  </to>
                </anchor>
              </controlPr>
            </control>
          </mc:Choice>
        </mc:AlternateContent>
        <mc:AlternateContent xmlns:mc="http://schemas.openxmlformats.org/markup-compatibility/2006">
          <mc:Choice Requires="x14">
            <control shapeId="96265" r:id="rId6" name="Button 9">
              <controlPr defaultSize="0" print="0" autoFill="0" autoPict="0" macro="[0]!DeleteSome">
                <anchor moveWithCells="1">
                  <from>
                    <xdr:col>2</xdr:col>
                    <xdr:colOff>403860</xdr:colOff>
                    <xdr:row>21</xdr:row>
                    <xdr:rowOff>0</xdr:rowOff>
                  </from>
                  <to>
                    <xdr:col>2</xdr:col>
                    <xdr:colOff>1744980</xdr:colOff>
                    <xdr:row>22</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0" tint="-0.249977111117893"/>
  </sheetPr>
  <dimension ref="A1:AE500"/>
  <sheetViews>
    <sheetView workbookViewId="0">
      <selection activeCell="H14" sqref="H14"/>
    </sheetView>
  </sheetViews>
  <sheetFormatPr defaultColWidth="9.109375" defaultRowHeight="14.4" x14ac:dyDescent="0.3"/>
  <cols>
    <col min="1" max="1" width="2.6640625" style="759" customWidth="1"/>
    <col min="2" max="2" width="32.6640625" style="759" customWidth="1"/>
    <col min="3" max="26" width="8.6640625" style="759" customWidth="1"/>
    <col min="27" max="28" width="10.6640625" style="759" customWidth="1"/>
    <col min="29" max="30" width="2.77734375" style="759" customWidth="1"/>
    <col min="31" max="31" width="50.77734375" style="759" customWidth="1"/>
    <col min="32" max="16384" width="9.109375" style="759"/>
  </cols>
  <sheetData>
    <row r="1" spans="1:31" x14ac:dyDescent="0.3">
      <c r="A1" s="717"/>
      <c r="B1" s="777"/>
      <c r="C1" s="777"/>
      <c r="D1" s="777"/>
      <c r="E1" s="777"/>
      <c r="F1" s="778"/>
      <c r="G1" s="778"/>
      <c r="H1" s="777"/>
      <c r="I1" s="777"/>
      <c r="J1" s="777"/>
      <c r="K1" s="777"/>
      <c r="L1" s="777"/>
      <c r="M1" s="777"/>
      <c r="N1" s="777"/>
      <c r="O1" s="777"/>
      <c r="P1" s="777"/>
      <c r="Q1" s="777"/>
      <c r="R1" s="778"/>
      <c r="S1" s="777"/>
      <c r="T1" s="777"/>
      <c r="U1" s="777"/>
      <c r="V1" s="777"/>
      <c r="W1" s="777"/>
      <c r="X1" s="777"/>
      <c r="Y1" s="777"/>
      <c r="Z1" s="777"/>
      <c r="AA1" s="777"/>
      <c r="AB1" s="1394"/>
    </row>
    <row r="2" spans="1:31" ht="25.2" x14ac:dyDescent="0.3">
      <c r="A2" s="717"/>
      <c r="B2" s="40" t="s">
        <v>1984</v>
      </c>
      <c r="C2" s="40"/>
      <c r="D2" s="40"/>
      <c r="E2" s="40"/>
      <c r="F2" s="40"/>
      <c r="G2" s="40"/>
      <c r="H2" s="40"/>
      <c r="I2" s="40"/>
      <c r="J2" s="40"/>
      <c r="K2" s="40"/>
      <c r="L2" s="40"/>
      <c r="M2" s="40"/>
      <c r="N2" s="40"/>
      <c r="O2" s="40"/>
      <c r="P2" s="40"/>
      <c r="Q2" s="40"/>
      <c r="R2" s="40"/>
      <c r="S2" s="40"/>
      <c r="T2" s="40"/>
      <c r="U2" s="40"/>
      <c r="V2" s="40"/>
      <c r="W2" s="40"/>
      <c r="X2" s="40"/>
      <c r="Y2" s="40"/>
      <c r="Z2" s="40"/>
      <c r="AA2" s="40"/>
      <c r="AB2" s="1394"/>
    </row>
    <row r="3" spans="1:31" x14ac:dyDescent="0.3">
      <c r="A3" s="717"/>
      <c r="B3" s="777"/>
      <c r="C3" s="777"/>
      <c r="D3" s="777"/>
      <c r="E3" s="777"/>
      <c r="F3" s="778"/>
      <c r="G3" s="778"/>
      <c r="H3" s="777"/>
      <c r="I3" s="777"/>
      <c r="J3" s="777"/>
      <c r="K3" s="777"/>
      <c r="L3" s="777"/>
      <c r="M3" s="777"/>
      <c r="N3" s="777"/>
      <c r="O3" s="777"/>
      <c r="P3" s="777"/>
      <c r="Q3" s="777"/>
      <c r="R3" s="778"/>
      <c r="S3" s="777"/>
      <c r="T3" s="777"/>
      <c r="U3" s="777"/>
      <c r="V3" s="777"/>
      <c r="W3" s="777"/>
      <c r="X3" s="777"/>
      <c r="Y3" s="777"/>
      <c r="Z3" s="777"/>
      <c r="AA3" s="777"/>
      <c r="AB3" s="1394"/>
    </row>
    <row r="5" spans="1:31" ht="36.75" customHeight="1" x14ac:dyDescent="0.3">
      <c r="B5" s="2110" t="str">
        <f>CONCATENATE("THIS CALCULATOR IS OPTIONAL FOR USE DETERMIING THE EQUIVALENT FULL LOAD HOUR INFORMATION FOR THE SCHEDULES TAB. THE CALCULATOR IS NOT REQUIRED TO BE COMPLETED OR SUBMITTED.
", IF(proj_RatingSystem="Homes","Default schedules required for LEED-Homes Midrise are shown below for reference. ",IF(ResDwellingUnitsExist="Yes","Default schedules for residential dwelling units are shown below for reference.","")), " Some of the sample schedules from the ASHRAE 90.1-2010 User's Manual are shown below for reference.")</f>
        <v>THIS CALCULATOR IS OPTIONAL FOR USE DETERMIING THE EQUIVALENT FULL LOAD HOUR INFORMATION FOR THE SCHEDULES TAB. THE CALCULATOR IS NOT REQUIRED TO BE COMPLETED OR SUBMITTED.
 Some of the sample schedules from the ASHRAE 90.1-2010 User's Manual are shown below for reference.</v>
      </c>
      <c r="C5" s="2111"/>
      <c r="D5" s="2111"/>
      <c r="E5" s="2111"/>
      <c r="F5" s="2111"/>
      <c r="G5" s="2111"/>
      <c r="H5" s="2111"/>
      <c r="I5" s="2111"/>
      <c r="J5" s="2111"/>
      <c r="K5" s="2111"/>
      <c r="L5" s="2111"/>
      <c r="M5" s="2111"/>
      <c r="N5" s="2111"/>
      <c r="O5" s="2111"/>
      <c r="P5" s="2111"/>
      <c r="Q5" s="2111"/>
      <c r="R5" s="2111"/>
      <c r="S5" s="2111"/>
      <c r="T5" s="2111"/>
      <c r="U5" s="2111"/>
      <c r="V5" s="2111"/>
      <c r="W5" s="2111"/>
      <c r="X5" s="2111"/>
      <c r="Y5" s="2111"/>
      <c r="Z5" s="2111"/>
      <c r="AA5" s="1395"/>
      <c r="AB5" s="1395"/>
      <c r="AE5" s="886" t="s">
        <v>2090</v>
      </c>
    </row>
    <row r="6" spans="1:31" x14ac:dyDescent="0.3">
      <c r="B6" s="2066"/>
      <c r="C6" s="2112"/>
      <c r="D6" s="2112"/>
      <c r="E6" s="2112"/>
      <c r="F6" s="2112"/>
      <c r="G6" s="2112"/>
      <c r="H6" s="2112"/>
      <c r="I6" s="2112"/>
      <c r="J6" s="2112"/>
      <c r="K6" s="2112"/>
      <c r="L6" s="2112"/>
      <c r="M6" s="2112"/>
      <c r="N6" s="2112"/>
      <c r="O6" s="2112"/>
      <c r="P6" s="2112"/>
      <c r="Q6" s="2112"/>
      <c r="R6" s="2112"/>
      <c r="S6" s="2112"/>
      <c r="T6" s="2112"/>
      <c r="U6" s="2112"/>
      <c r="V6" s="2112"/>
      <c r="W6" s="2112"/>
      <c r="X6" s="2112"/>
      <c r="Y6" s="2112"/>
      <c r="Z6" s="2112"/>
      <c r="AA6" s="2112"/>
      <c r="AB6" s="2112"/>
    </row>
    <row r="7" spans="1:31" ht="33" customHeight="1" x14ac:dyDescent="0.3">
      <c r="B7" s="805"/>
      <c r="C7" s="1396" t="s">
        <v>1425</v>
      </c>
      <c r="D7" s="1395"/>
      <c r="E7" s="1395"/>
      <c r="F7" s="1395"/>
      <c r="G7" s="1395"/>
      <c r="H7" s="1395"/>
      <c r="I7" s="1395"/>
      <c r="J7" s="1395"/>
      <c r="K7" s="1395"/>
      <c r="L7" s="1395"/>
      <c r="M7" s="1395"/>
      <c r="N7" s="1395"/>
      <c r="O7" s="1395"/>
      <c r="P7" s="1395"/>
      <c r="Q7" s="1395"/>
      <c r="R7" s="1395"/>
      <c r="S7" s="1395"/>
      <c r="T7" s="1395"/>
      <c r="U7" s="1395"/>
      <c r="V7" s="1395"/>
      <c r="W7" s="1395"/>
      <c r="X7" s="1395"/>
      <c r="Y7" s="1395"/>
      <c r="Z7" s="1395"/>
      <c r="AA7" s="1395"/>
      <c r="AB7" s="1395"/>
    </row>
    <row r="8" spans="1:31" ht="15" customHeight="1" x14ac:dyDescent="0.3">
      <c r="B8" s="1827" t="s">
        <v>2015</v>
      </c>
      <c r="C8" s="1397">
        <v>11</v>
      </c>
      <c r="D8" s="1398"/>
      <c r="E8" s="1398"/>
      <c r="F8" s="1398"/>
      <c r="G8" s="1398"/>
      <c r="H8" s="1398"/>
      <c r="I8" s="1398"/>
      <c r="J8" s="1398"/>
      <c r="K8" s="1398"/>
      <c r="L8" s="1398"/>
      <c r="M8" s="1398"/>
      <c r="N8" s="1398"/>
      <c r="O8" s="1398"/>
      <c r="P8" s="1398"/>
      <c r="Q8" s="1398"/>
      <c r="R8" s="1398"/>
      <c r="S8" s="1398"/>
      <c r="T8" s="1398"/>
      <c r="U8" s="1398"/>
      <c r="V8" s="1398"/>
      <c r="W8" s="1398"/>
      <c r="X8" s="1398"/>
      <c r="Y8" s="1398"/>
      <c r="Z8" s="1398"/>
      <c r="AA8" s="1399"/>
      <c r="AB8" s="1400"/>
    </row>
    <row r="9" spans="1:31" ht="15" customHeight="1" x14ac:dyDescent="0.3">
      <c r="B9" s="1827" t="s">
        <v>1426</v>
      </c>
      <c r="C9" s="1401">
        <v>50</v>
      </c>
      <c r="D9" s="1395"/>
      <c r="E9" s="1395"/>
      <c r="F9" s="1395"/>
      <c r="G9" s="1395"/>
      <c r="H9" s="1395"/>
      <c r="I9" s="1395"/>
      <c r="J9" s="1395"/>
      <c r="K9" s="1395"/>
      <c r="L9" s="1395"/>
      <c r="M9" s="1395"/>
      <c r="N9" s="1395"/>
      <c r="O9" s="1395"/>
      <c r="P9" s="1395"/>
      <c r="Q9" s="1395"/>
      <c r="R9" s="1395"/>
      <c r="S9" s="1395"/>
      <c r="T9" s="1395"/>
      <c r="U9" s="1395"/>
      <c r="V9" s="1395"/>
      <c r="W9" s="1395"/>
      <c r="X9" s="1395"/>
      <c r="Y9" s="1395"/>
      <c r="Z9" s="1395"/>
      <c r="AA9" s="1399"/>
      <c r="AB9" s="1400"/>
    </row>
    <row r="10" spans="1:31" ht="15" customHeight="1" x14ac:dyDescent="0.3">
      <c r="B10" s="1827" t="s">
        <v>1427</v>
      </c>
      <c r="C10" s="1401">
        <v>50</v>
      </c>
      <c r="D10" s="1395"/>
      <c r="E10" s="1395"/>
      <c r="F10" s="1395"/>
      <c r="G10" s="1395"/>
      <c r="H10" s="1395"/>
      <c r="I10" s="1395"/>
      <c r="J10" s="1395"/>
      <c r="K10" s="1395"/>
      <c r="L10" s="1395"/>
      <c r="M10" s="1395"/>
      <c r="N10" s="1395"/>
      <c r="O10" s="1395"/>
      <c r="P10" s="1395"/>
      <c r="Q10" s="1395"/>
      <c r="R10" s="1395"/>
      <c r="S10" s="1395"/>
      <c r="T10" s="1395"/>
      <c r="U10" s="1395"/>
      <c r="V10" s="1395"/>
      <c r="W10" s="1395"/>
      <c r="X10" s="1395"/>
      <c r="Y10" s="1395"/>
      <c r="Z10" s="1395"/>
      <c r="AA10" s="1399"/>
      <c r="AB10" s="1400"/>
    </row>
    <row r="11" spans="1:31" ht="15" customHeight="1" x14ac:dyDescent="0.3">
      <c r="B11" s="1827" t="s">
        <v>1428</v>
      </c>
      <c r="C11" s="1401">
        <v>50</v>
      </c>
      <c r="D11" s="1395"/>
      <c r="E11" s="1395"/>
      <c r="F11" s="1395"/>
      <c r="G11" s="1395"/>
      <c r="H11" s="1395"/>
      <c r="I11" s="1395"/>
      <c r="J11" s="1395"/>
      <c r="K11" s="1395"/>
      <c r="L11" s="1395"/>
      <c r="M11" s="1395"/>
      <c r="N11" s="1395"/>
      <c r="O11" s="1395"/>
      <c r="P11" s="1395"/>
      <c r="Q11" s="1395"/>
      <c r="R11" s="1395"/>
      <c r="S11" s="1395"/>
      <c r="T11" s="1395"/>
      <c r="U11" s="1395"/>
      <c r="V11" s="1395"/>
      <c r="W11" s="1395"/>
      <c r="X11" s="1395"/>
      <c r="Y11" s="1395"/>
      <c r="Z11" s="1395"/>
      <c r="AA11" s="1399"/>
      <c r="AB11" s="1400"/>
    </row>
    <row r="12" spans="1:31" ht="15" customHeight="1" x14ac:dyDescent="0.3">
      <c r="B12" s="1827" t="s">
        <v>1429</v>
      </c>
      <c r="C12" s="1401">
        <v>50</v>
      </c>
      <c r="D12" s="1395"/>
      <c r="E12" s="1395"/>
      <c r="F12" s="1395"/>
      <c r="G12" s="1395"/>
      <c r="H12" s="1395"/>
      <c r="I12" s="1395"/>
      <c r="J12" s="1395"/>
      <c r="K12" s="1395"/>
      <c r="L12" s="1395"/>
      <c r="M12" s="1395"/>
      <c r="N12" s="1395"/>
      <c r="O12" s="1395"/>
      <c r="P12" s="1395"/>
      <c r="Q12" s="1395"/>
      <c r="R12" s="1395"/>
      <c r="S12" s="1395"/>
      <c r="T12" s="1395"/>
      <c r="U12" s="1395"/>
      <c r="V12" s="1395"/>
      <c r="W12" s="1395"/>
      <c r="X12" s="1395"/>
      <c r="Y12" s="1395"/>
      <c r="Z12" s="1395"/>
      <c r="AA12" s="1399"/>
      <c r="AB12" s="1400"/>
    </row>
    <row r="13" spans="1:31" ht="15" customHeight="1" x14ac:dyDescent="0.3">
      <c r="B13" s="1827" t="s">
        <v>1430</v>
      </c>
      <c r="C13" s="1401">
        <v>50</v>
      </c>
      <c r="D13" s="1395"/>
      <c r="E13" s="1395"/>
      <c r="F13" s="1395"/>
      <c r="G13" s="1395"/>
      <c r="H13" s="1395"/>
      <c r="I13" s="1395"/>
      <c r="J13" s="1395"/>
      <c r="K13" s="1395"/>
      <c r="L13" s="1395"/>
      <c r="M13" s="1395"/>
      <c r="N13" s="1395"/>
      <c r="O13" s="1395"/>
      <c r="P13" s="1395"/>
      <c r="Q13" s="1395"/>
      <c r="R13" s="1395"/>
      <c r="S13" s="1395"/>
      <c r="T13" s="1395"/>
      <c r="U13" s="1395"/>
      <c r="V13" s="1395"/>
      <c r="W13" s="1395"/>
      <c r="X13" s="1395"/>
      <c r="Y13" s="1395"/>
      <c r="Z13" s="1395"/>
      <c r="AA13" s="1399"/>
      <c r="AB13" s="1400"/>
    </row>
    <row r="14" spans="1:31" ht="15" customHeight="1" x14ac:dyDescent="0.3">
      <c r="B14" s="1827" t="s">
        <v>1431</v>
      </c>
      <c r="C14" s="1401">
        <v>52</v>
      </c>
      <c r="D14" s="1395"/>
      <c r="E14" s="1395"/>
      <c r="F14" s="1395"/>
      <c r="G14" s="1395"/>
      <c r="H14" s="1395"/>
      <c r="I14" s="1395"/>
      <c r="J14" s="1395"/>
      <c r="K14" s="1395"/>
      <c r="L14" s="1395"/>
      <c r="M14" s="1395"/>
      <c r="N14" s="1395"/>
      <c r="O14" s="1395"/>
      <c r="P14" s="1395"/>
      <c r="Q14" s="1395"/>
      <c r="R14" s="1395"/>
      <c r="S14" s="1395"/>
      <c r="T14" s="1395"/>
      <c r="U14" s="1395"/>
      <c r="V14" s="1395"/>
      <c r="W14" s="1395"/>
      <c r="X14" s="1395"/>
      <c r="Y14" s="1395"/>
      <c r="Z14" s="1395"/>
      <c r="AA14" s="1399"/>
      <c r="AB14" s="1400"/>
    </row>
    <row r="15" spans="1:31" ht="15" customHeight="1" x14ac:dyDescent="0.3">
      <c r="B15" s="1828" t="s">
        <v>1432</v>
      </c>
      <c r="C15" s="1402">
        <v>52</v>
      </c>
      <c r="D15" s="1395"/>
      <c r="E15" s="1395"/>
      <c r="F15" s="1395"/>
      <c r="G15" s="1395"/>
      <c r="H15" s="1395"/>
      <c r="I15" s="1395"/>
      <c r="J15" s="1395"/>
      <c r="K15" s="1395"/>
      <c r="L15" s="1395"/>
      <c r="M15" s="1395"/>
      <c r="N15" s="1395"/>
      <c r="O15" s="1395"/>
      <c r="P15" s="1395"/>
      <c r="Q15" s="1395"/>
      <c r="R15" s="1395"/>
      <c r="S15" s="1395"/>
      <c r="T15" s="1395"/>
      <c r="U15" s="1395"/>
      <c r="V15" s="1395"/>
      <c r="W15" s="1395"/>
      <c r="X15" s="1395"/>
      <c r="Y15" s="1395"/>
      <c r="Z15" s="1395"/>
      <c r="AA15" s="1399"/>
      <c r="AB15" s="1400"/>
    </row>
    <row r="16" spans="1:31" ht="21" customHeight="1" x14ac:dyDescent="0.3">
      <c r="B16" s="1458" t="s">
        <v>2016</v>
      </c>
      <c r="C16" s="1403">
        <f>SUM(C8:C15)</f>
        <v>365</v>
      </c>
      <c r="D16" s="1395"/>
      <c r="E16" s="1395"/>
      <c r="F16" s="1395"/>
      <c r="G16" s="1395"/>
      <c r="H16" s="1395"/>
      <c r="I16" s="1395"/>
      <c r="J16" s="1395"/>
      <c r="K16" s="1395"/>
      <c r="L16" s="1395"/>
      <c r="M16" s="1395"/>
      <c r="N16" s="1395"/>
      <c r="O16" s="1395"/>
      <c r="P16" s="1395"/>
      <c r="Q16" s="1395"/>
      <c r="R16" s="1395"/>
      <c r="S16" s="1395"/>
      <c r="T16" s="1395"/>
      <c r="U16" s="1395"/>
      <c r="V16" s="1395"/>
      <c r="W16" s="1395"/>
      <c r="X16" s="1395"/>
      <c r="Y16" s="1395"/>
      <c r="Z16" s="1395"/>
      <c r="AA16" s="1399"/>
      <c r="AB16" s="1400"/>
    </row>
    <row r="17" spans="2:31" x14ac:dyDescent="0.3">
      <c r="B17" s="1395"/>
      <c r="C17" s="1404"/>
      <c r="D17" s="1395"/>
      <c r="E17" s="1395"/>
      <c r="F17" s="1395"/>
      <c r="G17" s="1395"/>
      <c r="H17" s="1395"/>
      <c r="I17" s="1395"/>
      <c r="J17" s="1395"/>
      <c r="K17" s="1395"/>
      <c r="L17" s="1395"/>
      <c r="M17" s="1395"/>
      <c r="N17" s="1395"/>
      <c r="O17" s="1395"/>
      <c r="P17" s="1395"/>
      <c r="Q17" s="1395"/>
      <c r="R17" s="1395"/>
      <c r="S17" s="1395"/>
      <c r="T17" s="1395"/>
      <c r="U17" s="1395"/>
      <c r="V17" s="1395"/>
      <c r="W17" s="1395"/>
      <c r="X17" s="1395"/>
      <c r="Y17" s="1395"/>
      <c r="Z17" s="1395"/>
      <c r="AA17" s="1399"/>
      <c r="AB17" s="1400"/>
    </row>
    <row r="18" spans="2:31" ht="15.6" x14ac:dyDescent="0.3">
      <c r="B18" s="1406" t="s">
        <v>2010</v>
      </c>
      <c r="C18" s="1404"/>
      <c r="D18" s="1395"/>
      <c r="E18" s="1395"/>
      <c r="F18" s="1395"/>
      <c r="G18" s="1395"/>
      <c r="H18" s="1395"/>
      <c r="I18" s="1395"/>
      <c r="J18" s="1395"/>
      <c r="K18" s="1395"/>
      <c r="L18" s="1395"/>
      <c r="M18" s="1395"/>
      <c r="N18" s="1395"/>
      <c r="O18" s="1395"/>
      <c r="P18" s="1395"/>
      <c r="Q18" s="1395"/>
      <c r="R18" s="1395"/>
      <c r="S18" s="1395"/>
      <c r="T18" s="1395"/>
      <c r="U18" s="1395"/>
      <c r="V18" s="1395"/>
      <c r="W18" s="1395"/>
      <c r="X18" s="1395"/>
      <c r="Y18" s="1395"/>
      <c r="Z18" s="1395"/>
      <c r="AA18" s="1399"/>
      <c r="AB18" s="1400"/>
    </row>
    <row r="19" spans="2:31" x14ac:dyDescent="0.3">
      <c r="B19" s="1395" t="s">
        <v>1433</v>
      </c>
      <c r="C19" s="1395"/>
      <c r="D19" s="1395"/>
      <c r="E19" s="1395"/>
      <c r="F19" s="1395"/>
      <c r="G19" s="1395"/>
      <c r="H19" s="1395"/>
      <c r="I19" s="1395"/>
      <c r="J19" s="1395"/>
      <c r="K19" s="1395"/>
      <c r="L19" s="1395"/>
      <c r="M19" s="1395"/>
      <c r="N19" s="1395"/>
      <c r="O19" s="1395"/>
      <c r="P19" s="1395"/>
      <c r="Q19" s="1395"/>
      <c r="R19" s="1395"/>
      <c r="S19" s="1395"/>
      <c r="T19" s="1395"/>
      <c r="U19" s="1395"/>
      <c r="V19" s="1395"/>
      <c r="W19" s="1395"/>
      <c r="X19" s="1395"/>
      <c r="Y19" s="1395"/>
      <c r="Z19" s="1395"/>
      <c r="AA19" s="1395"/>
      <c r="AB19" s="1395"/>
    </row>
    <row r="20" spans="2:31" x14ac:dyDescent="0.3">
      <c r="B20" s="1395"/>
      <c r="C20" s="1395"/>
      <c r="D20" s="1395"/>
      <c r="E20" s="1395"/>
      <c r="F20" s="1395"/>
      <c r="G20" s="1395"/>
      <c r="H20" s="1395"/>
      <c r="I20" s="1395"/>
      <c r="J20" s="1395"/>
      <c r="K20" s="1395"/>
      <c r="L20" s="1395"/>
      <c r="M20" s="1395"/>
      <c r="N20" s="1395"/>
      <c r="O20" s="1395"/>
      <c r="P20" s="1395"/>
      <c r="Q20" s="1395"/>
      <c r="R20" s="1395"/>
      <c r="S20" s="1395"/>
      <c r="T20" s="1395"/>
      <c r="U20" s="1395"/>
      <c r="V20" s="1395"/>
      <c r="W20" s="1395"/>
      <c r="X20" s="1395"/>
      <c r="Y20" s="1395"/>
      <c r="Z20" s="1395"/>
      <c r="AA20" s="1395"/>
      <c r="AB20" s="1395"/>
    </row>
    <row r="21" spans="2:31" ht="15" customHeight="1" x14ac:dyDescent="0.3">
      <c r="B21" s="1395" t="s">
        <v>1434</v>
      </c>
      <c r="C21" s="2022"/>
      <c r="D21" s="2107"/>
      <c r="E21" s="2107"/>
      <c r="F21" s="2107"/>
      <c r="G21" s="2107"/>
      <c r="H21" s="2107"/>
      <c r="I21" s="2107"/>
      <c r="J21" s="2107"/>
      <c r="K21" s="2107"/>
      <c r="L21" s="2107"/>
      <c r="M21" s="2107"/>
      <c r="N21" s="2107"/>
      <c r="O21" s="2023"/>
      <c r="P21" s="1407"/>
      <c r="Q21" s="1408"/>
      <c r="R21" s="1408"/>
      <c r="S21" s="1408"/>
      <c r="T21" s="1408"/>
      <c r="U21" s="1408"/>
      <c r="V21" s="1408"/>
      <c r="W21" s="1408"/>
      <c r="X21" s="1408"/>
      <c r="Y21" s="1408"/>
      <c r="Z21" s="1408"/>
      <c r="AA21" s="1408"/>
      <c r="AB21" s="1408"/>
    </row>
    <row r="22" spans="2:31" x14ac:dyDescent="0.3">
      <c r="B22" s="1395"/>
      <c r="C22" s="1395"/>
      <c r="D22" s="1395"/>
      <c r="E22" s="1395"/>
      <c r="F22" s="1395"/>
      <c r="G22" s="1395"/>
      <c r="H22" s="1395"/>
      <c r="I22" s="1395"/>
      <c r="J22" s="1395"/>
      <c r="K22" s="1395"/>
      <c r="L22" s="1395"/>
      <c r="M22" s="1395"/>
      <c r="N22" s="1395"/>
      <c r="O22" s="1395"/>
      <c r="P22" s="1395"/>
      <c r="Q22" s="1395"/>
      <c r="R22" s="1395"/>
      <c r="S22" s="1395"/>
      <c r="T22" s="1395"/>
      <c r="U22" s="1395"/>
      <c r="V22" s="1395"/>
      <c r="W22" s="1395"/>
      <c r="X22" s="1395"/>
      <c r="Y22" s="1395"/>
      <c r="Z22" s="1395"/>
      <c r="AA22" s="1395"/>
      <c r="AB22" s="1395"/>
    </row>
    <row r="23" spans="2:31" s="1420" customFormat="1" ht="21" customHeight="1" x14ac:dyDescent="0.3">
      <c r="B23" s="1419"/>
      <c r="C23" s="1418" t="s">
        <v>1435</v>
      </c>
      <c r="D23" s="1419" t="s">
        <v>1436</v>
      </c>
      <c r="E23" s="1419" t="s">
        <v>1437</v>
      </c>
      <c r="F23" s="1419" t="s">
        <v>1438</v>
      </c>
      <c r="G23" s="1419" t="s">
        <v>1439</v>
      </c>
      <c r="H23" s="1419" t="s">
        <v>1440</v>
      </c>
      <c r="I23" s="1419" t="s">
        <v>1441</v>
      </c>
      <c r="J23" s="1419" t="s">
        <v>1442</v>
      </c>
      <c r="K23" s="1419" t="s">
        <v>1443</v>
      </c>
      <c r="L23" s="1419" t="s">
        <v>1444</v>
      </c>
      <c r="M23" s="1419" t="s">
        <v>1445</v>
      </c>
      <c r="N23" s="1419" t="s">
        <v>1446</v>
      </c>
      <c r="O23" s="1419" t="s">
        <v>1447</v>
      </c>
      <c r="P23" s="1419" t="s">
        <v>1448</v>
      </c>
      <c r="Q23" s="1419" t="s">
        <v>1449</v>
      </c>
      <c r="R23" s="1419" t="s">
        <v>1450</v>
      </c>
      <c r="S23" s="1419" t="s">
        <v>1451</v>
      </c>
      <c r="T23" s="1419" t="s">
        <v>1452</v>
      </c>
      <c r="U23" s="1419" t="s">
        <v>1453</v>
      </c>
      <c r="V23" s="1419" t="s">
        <v>1454</v>
      </c>
      <c r="W23" s="1419" t="s">
        <v>1455</v>
      </c>
      <c r="X23" s="1419" t="s">
        <v>1456</v>
      </c>
      <c r="Y23" s="1419" t="s">
        <v>1457</v>
      </c>
      <c r="Z23" s="1419" t="s">
        <v>1458</v>
      </c>
      <c r="AA23" s="1419" t="s">
        <v>1459</v>
      </c>
      <c r="AB23" s="1419" t="s">
        <v>1460</v>
      </c>
    </row>
    <row r="24" spans="2:31" ht="15" customHeight="1" x14ac:dyDescent="0.3">
      <c r="B24" s="1459" t="s">
        <v>1461</v>
      </c>
      <c r="C24" s="1423"/>
      <c r="D24" s="1423"/>
      <c r="E24" s="1423"/>
      <c r="F24" s="1423"/>
      <c r="G24" s="1423"/>
      <c r="H24" s="1423"/>
      <c r="I24" s="1423"/>
      <c r="J24" s="1423"/>
      <c r="K24" s="1423"/>
      <c r="L24" s="1423"/>
      <c r="M24" s="1423"/>
      <c r="N24" s="1423"/>
      <c r="O24" s="1423"/>
      <c r="P24" s="1423"/>
      <c r="Q24" s="1423"/>
      <c r="R24" s="1423"/>
      <c r="S24" s="1423"/>
      <c r="T24" s="1423"/>
      <c r="U24" s="1423"/>
      <c r="V24" s="1423"/>
      <c r="W24" s="1423"/>
      <c r="X24" s="1423"/>
      <c r="Y24" s="1423"/>
      <c r="Z24" s="1423"/>
      <c r="AA24" s="1424">
        <f>SUM(C24:Z24)</f>
        <v>0</v>
      </c>
      <c r="AB24" s="1425">
        <f>AA24*SUM($C$9:$C$13)</f>
        <v>0</v>
      </c>
      <c r="AE24" s="1892"/>
    </row>
    <row r="25" spans="2:31" ht="15" customHeight="1" x14ac:dyDescent="0.3">
      <c r="B25" s="1460" t="s">
        <v>1462</v>
      </c>
      <c r="C25" s="1427"/>
      <c r="D25" s="1427"/>
      <c r="E25" s="1427"/>
      <c r="F25" s="1427"/>
      <c r="G25" s="1427"/>
      <c r="H25" s="1427"/>
      <c r="I25" s="1427"/>
      <c r="J25" s="1427"/>
      <c r="K25" s="1427"/>
      <c r="L25" s="1427"/>
      <c r="M25" s="1427"/>
      <c r="N25" s="1427"/>
      <c r="O25" s="1427"/>
      <c r="P25" s="1427"/>
      <c r="Q25" s="1427"/>
      <c r="R25" s="1427"/>
      <c r="S25" s="1427"/>
      <c r="T25" s="1427"/>
      <c r="U25" s="1427"/>
      <c r="V25" s="1427"/>
      <c r="W25" s="1427"/>
      <c r="X25" s="1427"/>
      <c r="Y25" s="1427"/>
      <c r="Z25" s="1427"/>
      <c r="AA25" s="1428">
        <f>SUM(C25:Z25)</f>
        <v>0</v>
      </c>
      <c r="AB25" s="1429">
        <f>AA25*SUM($C$14:$C$15)</f>
        <v>0</v>
      </c>
      <c r="AE25" s="1892"/>
    </row>
    <row r="26" spans="2:31" ht="15" customHeight="1" x14ac:dyDescent="0.3">
      <c r="B26" s="1461" t="s">
        <v>1463</v>
      </c>
      <c r="C26" s="1431"/>
      <c r="D26" s="1431"/>
      <c r="E26" s="1431"/>
      <c r="F26" s="1431"/>
      <c r="G26" s="1431"/>
      <c r="H26" s="1431"/>
      <c r="I26" s="1431"/>
      <c r="J26" s="1431"/>
      <c r="K26" s="1431"/>
      <c r="L26" s="1431"/>
      <c r="M26" s="1431"/>
      <c r="N26" s="1431"/>
      <c r="O26" s="1431"/>
      <c r="P26" s="1431"/>
      <c r="Q26" s="1431"/>
      <c r="R26" s="1431"/>
      <c r="S26" s="1431"/>
      <c r="T26" s="1431"/>
      <c r="U26" s="1431"/>
      <c r="V26" s="1431"/>
      <c r="W26" s="1431"/>
      <c r="X26" s="1431"/>
      <c r="Y26" s="1431"/>
      <c r="Z26" s="1431"/>
      <c r="AA26" s="1432">
        <f>SUM(C26:Z26)</f>
        <v>0</v>
      </c>
      <c r="AB26" s="1433">
        <f>AA26*$C$8</f>
        <v>0</v>
      </c>
      <c r="AE26" s="1892"/>
    </row>
    <row r="27" spans="2:31" ht="21" customHeight="1" x14ac:dyDescent="0.3">
      <c r="B27" s="2108" t="s">
        <v>1464</v>
      </c>
      <c r="C27" s="2109"/>
      <c r="D27" s="2109"/>
      <c r="E27" s="2109"/>
      <c r="F27" s="2109"/>
      <c r="G27" s="2109"/>
      <c r="H27" s="2109"/>
      <c r="I27" s="2109"/>
      <c r="J27" s="2109"/>
      <c r="K27" s="2109"/>
      <c r="L27" s="2109"/>
      <c r="M27" s="2109"/>
      <c r="N27" s="2109"/>
      <c r="O27" s="2109"/>
      <c r="P27" s="2109"/>
      <c r="Q27" s="2109"/>
      <c r="R27" s="2109"/>
      <c r="S27" s="2109"/>
      <c r="T27" s="2109"/>
      <c r="U27" s="2109"/>
      <c r="V27" s="2109"/>
      <c r="W27" s="2109"/>
      <c r="X27" s="2109"/>
      <c r="Y27" s="2109"/>
      <c r="Z27" s="2109"/>
      <c r="AA27" s="2109"/>
      <c r="AB27" s="1421">
        <f>SUM(AB24:AB26)</f>
        <v>0</v>
      </c>
      <c r="AE27" s="1892"/>
    </row>
    <row r="28" spans="2:31" x14ac:dyDescent="0.3">
      <c r="B28" s="1395"/>
      <c r="C28" s="1395"/>
      <c r="D28" s="1395"/>
      <c r="E28" s="1395"/>
      <c r="F28" s="1395"/>
      <c r="G28" s="1395"/>
      <c r="H28" s="1395"/>
      <c r="I28" s="1395"/>
      <c r="J28" s="1395"/>
      <c r="K28" s="1395"/>
      <c r="L28" s="1395"/>
      <c r="M28" s="1395"/>
      <c r="N28" s="1395"/>
      <c r="O28" s="1395"/>
      <c r="P28" s="1395"/>
      <c r="Q28" s="1395"/>
      <c r="R28" s="1395"/>
      <c r="S28" s="1395"/>
      <c r="T28" s="1395"/>
      <c r="U28" s="1395"/>
      <c r="V28" s="1395"/>
      <c r="W28" s="1395"/>
      <c r="X28" s="1395"/>
      <c r="Y28" s="1395"/>
      <c r="Z28" s="1395"/>
      <c r="AA28" s="1395"/>
      <c r="AB28" s="1395"/>
    </row>
    <row r="29" spans="2:31" ht="32.25" customHeight="1" x14ac:dyDescent="0.3">
      <c r="B29" s="1395"/>
      <c r="C29" s="1395"/>
      <c r="D29" s="1395"/>
      <c r="E29" s="1395"/>
      <c r="F29" s="1395"/>
      <c r="G29" s="1395"/>
      <c r="H29" s="1395"/>
      <c r="I29" s="1395"/>
      <c r="J29" s="1395"/>
      <c r="K29" s="1395"/>
      <c r="L29" s="1395"/>
      <c r="M29" s="1395"/>
      <c r="N29" s="1395"/>
      <c r="O29" s="1395"/>
      <c r="P29" s="1395"/>
      <c r="Q29" s="1395"/>
      <c r="R29" s="1395"/>
      <c r="S29" s="1395"/>
      <c r="T29" s="1395"/>
      <c r="U29" s="1395"/>
      <c r="V29" s="1395"/>
      <c r="W29" s="1395"/>
      <c r="X29" s="1395"/>
      <c r="Y29" s="1395"/>
      <c r="Z29" s="1395"/>
      <c r="AA29" s="1395"/>
      <c r="AB29" s="1395"/>
    </row>
    <row r="30" spans="2:31" x14ac:dyDescent="0.3">
      <c r="B30" s="1395"/>
      <c r="C30" s="1395"/>
      <c r="D30" s="1395"/>
      <c r="E30" s="1395"/>
      <c r="F30" s="1395"/>
      <c r="G30" s="1395"/>
      <c r="H30" s="1395"/>
      <c r="I30" s="1395"/>
      <c r="J30" s="1395"/>
      <c r="K30" s="1395"/>
      <c r="L30" s="1395"/>
      <c r="M30" s="1395"/>
      <c r="N30" s="1395"/>
      <c r="O30" s="1395"/>
      <c r="P30" s="1395"/>
      <c r="Q30" s="1395"/>
      <c r="R30" s="1395"/>
      <c r="S30" s="1395"/>
      <c r="T30" s="1395"/>
      <c r="U30" s="1395"/>
      <c r="V30" s="1395"/>
      <c r="W30" s="1395"/>
      <c r="X30" s="1395"/>
      <c r="Y30" s="1395"/>
      <c r="Z30" s="1395"/>
      <c r="AA30" s="1395"/>
      <c r="AB30" s="1395"/>
    </row>
    <row r="31" spans="2:31" x14ac:dyDescent="0.3">
      <c r="B31" s="1395"/>
      <c r="C31" s="1395"/>
      <c r="D31" s="1395"/>
      <c r="E31" s="1395"/>
      <c r="F31" s="1395"/>
      <c r="G31" s="1395"/>
      <c r="H31" s="1395"/>
      <c r="I31" s="1395"/>
      <c r="J31" s="1395"/>
      <c r="K31" s="1395"/>
      <c r="L31" s="1395"/>
      <c r="M31" s="1395"/>
      <c r="N31" s="1395"/>
      <c r="O31" s="1395"/>
      <c r="P31" s="1395"/>
      <c r="Q31" s="1395"/>
      <c r="R31" s="1395"/>
      <c r="S31" s="1395"/>
      <c r="T31" s="1395"/>
      <c r="U31" s="1395"/>
      <c r="V31" s="1395"/>
      <c r="W31" s="1395"/>
      <c r="X31" s="1395"/>
      <c r="Y31" s="1395"/>
      <c r="Z31" s="1395"/>
      <c r="AA31" s="1395"/>
      <c r="AB31" s="1395"/>
    </row>
    <row r="32" spans="2:31" ht="15" customHeight="1" x14ac:dyDescent="0.3">
      <c r="B32" s="1395" t="s">
        <v>1434</v>
      </c>
      <c r="C32" s="2022"/>
      <c r="D32" s="2107"/>
      <c r="E32" s="2107"/>
      <c r="F32" s="2107"/>
      <c r="G32" s="2107"/>
      <c r="H32" s="2107"/>
      <c r="I32" s="2107"/>
      <c r="J32" s="2107"/>
      <c r="K32" s="2107"/>
      <c r="L32" s="2107"/>
      <c r="M32" s="2107"/>
      <c r="N32" s="2107"/>
      <c r="O32" s="2023"/>
      <c r="P32" s="1407"/>
      <c r="Q32" s="1408"/>
      <c r="R32" s="1408"/>
      <c r="S32" s="1408"/>
      <c r="T32" s="1408"/>
      <c r="U32" s="1408"/>
      <c r="V32" s="1408"/>
      <c r="W32" s="1408"/>
      <c r="X32" s="1408"/>
      <c r="Y32" s="1408"/>
      <c r="Z32" s="1408"/>
      <c r="AA32" s="1408"/>
      <c r="AB32" s="1408"/>
    </row>
    <row r="33" spans="2:31" x14ac:dyDescent="0.3">
      <c r="B33" s="1395"/>
      <c r="C33" s="1395"/>
      <c r="D33" s="1395"/>
      <c r="E33" s="1395"/>
      <c r="F33" s="1395"/>
      <c r="G33" s="1395"/>
      <c r="H33" s="1395"/>
      <c r="I33" s="1395"/>
      <c r="J33" s="1395"/>
      <c r="K33" s="1395"/>
      <c r="L33" s="1395"/>
      <c r="M33" s="1395"/>
      <c r="N33" s="1395"/>
      <c r="O33" s="1395"/>
      <c r="P33" s="1395"/>
      <c r="Q33" s="1395"/>
      <c r="R33" s="1395"/>
      <c r="S33" s="1395"/>
      <c r="T33" s="1395"/>
      <c r="U33" s="1395"/>
      <c r="V33" s="1395"/>
      <c r="W33" s="1395"/>
      <c r="X33" s="1395"/>
      <c r="Y33" s="1395"/>
      <c r="Z33" s="1395"/>
      <c r="AA33" s="1395"/>
      <c r="AB33" s="1395"/>
    </row>
    <row r="34" spans="2:31" s="1420" customFormat="1" ht="21" customHeight="1" x14ac:dyDescent="0.3">
      <c r="B34" s="1419"/>
      <c r="C34" s="1418" t="s">
        <v>1435</v>
      </c>
      <c r="D34" s="1419" t="s">
        <v>1436</v>
      </c>
      <c r="E34" s="1419" t="s">
        <v>1437</v>
      </c>
      <c r="F34" s="1419" t="s">
        <v>1438</v>
      </c>
      <c r="G34" s="1419" t="s">
        <v>1439</v>
      </c>
      <c r="H34" s="1419" t="s">
        <v>1440</v>
      </c>
      <c r="I34" s="1419" t="s">
        <v>1441</v>
      </c>
      <c r="J34" s="1419" t="s">
        <v>1442</v>
      </c>
      <c r="K34" s="1419" t="s">
        <v>1443</v>
      </c>
      <c r="L34" s="1419" t="s">
        <v>1444</v>
      </c>
      <c r="M34" s="1419" t="s">
        <v>1445</v>
      </c>
      <c r="N34" s="1419" t="s">
        <v>1446</v>
      </c>
      <c r="O34" s="1419" t="s">
        <v>1447</v>
      </c>
      <c r="P34" s="1419" t="s">
        <v>1448</v>
      </c>
      <c r="Q34" s="1419" t="s">
        <v>1449</v>
      </c>
      <c r="R34" s="1419" t="s">
        <v>1450</v>
      </c>
      <c r="S34" s="1419" t="s">
        <v>1451</v>
      </c>
      <c r="T34" s="1419" t="s">
        <v>1452</v>
      </c>
      <c r="U34" s="1419" t="s">
        <v>1453</v>
      </c>
      <c r="V34" s="1419" t="s">
        <v>1454</v>
      </c>
      <c r="W34" s="1419" t="s">
        <v>1455</v>
      </c>
      <c r="X34" s="1419" t="s">
        <v>1456</v>
      </c>
      <c r="Y34" s="1419" t="s">
        <v>1457</v>
      </c>
      <c r="Z34" s="1419" t="s">
        <v>1458</v>
      </c>
      <c r="AA34" s="1419" t="s">
        <v>1459</v>
      </c>
      <c r="AB34" s="1419" t="s">
        <v>1460</v>
      </c>
    </row>
    <row r="35" spans="2:31" ht="15" customHeight="1" x14ac:dyDescent="0.3">
      <c r="B35" s="1459" t="s">
        <v>1463</v>
      </c>
      <c r="C35" s="1434">
        <v>0</v>
      </c>
      <c r="D35" s="1434">
        <v>0</v>
      </c>
      <c r="E35" s="1434">
        <v>0</v>
      </c>
      <c r="F35" s="1434">
        <v>0</v>
      </c>
      <c r="G35" s="1434">
        <v>0</v>
      </c>
      <c r="H35" s="1434">
        <v>0</v>
      </c>
      <c r="I35" s="1434">
        <v>0</v>
      </c>
      <c r="J35" s="1434">
        <v>0</v>
      </c>
      <c r="K35" s="1434">
        <v>0</v>
      </c>
      <c r="L35" s="1434">
        <v>0</v>
      </c>
      <c r="M35" s="1434">
        <v>0</v>
      </c>
      <c r="N35" s="1434">
        <v>0</v>
      </c>
      <c r="O35" s="1434">
        <v>0</v>
      </c>
      <c r="P35" s="1434">
        <v>0</v>
      </c>
      <c r="Q35" s="1434">
        <v>0</v>
      </c>
      <c r="R35" s="1434">
        <v>0</v>
      </c>
      <c r="S35" s="1434">
        <v>0</v>
      </c>
      <c r="T35" s="1434">
        <v>0</v>
      </c>
      <c r="U35" s="1434">
        <v>0</v>
      </c>
      <c r="V35" s="1434">
        <v>0</v>
      </c>
      <c r="W35" s="1434">
        <v>0</v>
      </c>
      <c r="X35" s="1434">
        <v>0</v>
      </c>
      <c r="Y35" s="1434">
        <v>0</v>
      </c>
      <c r="Z35" s="1434">
        <v>0</v>
      </c>
      <c r="AA35" s="1424">
        <f t="shared" ref="AA35:AA42" si="0">SUM(C35:Z35)</f>
        <v>0</v>
      </c>
      <c r="AB35" s="1425">
        <f>AA35*$C$8</f>
        <v>0</v>
      </c>
      <c r="AE35" s="1892"/>
    </row>
    <row r="36" spans="2:31" ht="15" customHeight="1" x14ac:dyDescent="0.3">
      <c r="B36" s="1460" t="s">
        <v>1426</v>
      </c>
      <c r="C36" s="1435">
        <v>0</v>
      </c>
      <c r="D36" s="1435">
        <v>0</v>
      </c>
      <c r="E36" s="1435">
        <v>0</v>
      </c>
      <c r="F36" s="1435">
        <v>0</v>
      </c>
      <c r="G36" s="1435">
        <v>0</v>
      </c>
      <c r="H36" s="1435">
        <v>0</v>
      </c>
      <c r="I36" s="1435">
        <v>1</v>
      </c>
      <c r="J36" s="1435">
        <v>1</v>
      </c>
      <c r="K36" s="1435">
        <v>1</v>
      </c>
      <c r="L36" s="1435">
        <v>1</v>
      </c>
      <c r="M36" s="1435">
        <v>1</v>
      </c>
      <c r="N36" s="1435">
        <v>1</v>
      </c>
      <c r="O36" s="1435">
        <v>1</v>
      </c>
      <c r="P36" s="1435">
        <v>1</v>
      </c>
      <c r="Q36" s="1435">
        <v>1</v>
      </c>
      <c r="R36" s="1435">
        <v>1</v>
      </c>
      <c r="S36" s="1435">
        <v>1</v>
      </c>
      <c r="T36" s="1435">
        <v>0</v>
      </c>
      <c r="U36" s="1435">
        <v>0</v>
      </c>
      <c r="V36" s="1435">
        <v>0</v>
      </c>
      <c r="W36" s="1435">
        <v>0</v>
      </c>
      <c r="X36" s="1435">
        <v>0</v>
      </c>
      <c r="Y36" s="1435">
        <v>0</v>
      </c>
      <c r="Z36" s="1435">
        <v>0</v>
      </c>
      <c r="AA36" s="1428">
        <f t="shared" si="0"/>
        <v>11</v>
      </c>
      <c r="AB36" s="1429">
        <f>AA36*$C$9</f>
        <v>550</v>
      </c>
      <c r="AE36" s="1892"/>
    </row>
    <row r="37" spans="2:31" ht="15" customHeight="1" x14ac:dyDescent="0.3">
      <c r="B37" s="1460" t="s">
        <v>1427</v>
      </c>
      <c r="C37" s="1435">
        <v>0</v>
      </c>
      <c r="D37" s="1435">
        <v>0</v>
      </c>
      <c r="E37" s="1435">
        <v>0</v>
      </c>
      <c r="F37" s="1435">
        <v>0</v>
      </c>
      <c r="G37" s="1435">
        <v>0</v>
      </c>
      <c r="H37" s="1435">
        <v>0</v>
      </c>
      <c r="I37" s="1435">
        <v>1</v>
      </c>
      <c r="J37" s="1435">
        <v>1</v>
      </c>
      <c r="K37" s="1435">
        <v>1</v>
      </c>
      <c r="L37" s="1435">
        <v>1</v>
      </c>
      <c r="M37" s="1435">
        <v>1</v>
      </c>
      <c r="N37" s="1435">
        <v>1</v>
      </c>
      <c r="O37" s="1435">
        <v>1</v>
      </c>
      <c r="P37" s="1435">
        <v>1</v>
      </c>
      <c r="Q37" s="1435">
        <v>1</v>
      </c>
      <c r="R37" s="1435">
        <v>1</v>
      </c>
      <c r="S37" s="1435">
        <v>1</v>
      </c>
      <c r="T37" s="1435">
        <v>0</v>
      </c>
      <c r="U37" s="1435">
        <v>0</v>
      </c>
      <c r="V37" s="1435">
        <v>0</v>
      </c>
      <c r="W37" s="1435">
        <v>0</v>
      </c>
      <c r="X37" s="1435">
        <v>0</v>
      </c>
      <c r="Y37" s="1435">
        <v>0</v>
      </c>
      <c r="Z37" s="1435">
        <v>0</v>
      </c>
      <c r="AA37" s="1428">
        <f t="shared" si="0"/>
        <v>11</v>
      </c>
      <c r="AB37" s="1429">
        <f>AA37*$C$10</f>
        <v>550</v>
      </c>
      <c r="AE37" s="1892"/>
    </row>
    <row r="38" spans="2:31" ht="15" customHeight="1" x14ac:dyDescent="0.3">
      <c r="B38" s="1460" t="s">
        <v>1428</v>
      </c>
      <c r="C38" s="1435">
        <v>0</v>
      </c>
      <c r="D38" s="1435">
        <v>0</v>
      </c>
      <c r="E38" s="1435">
        <v>0</v>
      </c>
      <c r="F38" s="1435">
        <v>0</v>
      </c>
      <c r="G38" s="1435">
        <v>0</v>
      </c>
      <c r="H38" s="1435">
        <v>0</v>
      </c>
      <c r="I38" s="1435">
        <v>1</v>
      </c>
      <c r="J38" s="1435">
        <v>1</v>
      </c>
      <c r="K38" s="1435">
        <v>1</v>
      </c>
      <c r="L38" s="1435">
        <v>1</v>
      </c>
      <c r="M38" s="1435">
        <v>1</v>
      </c>
      <c r="N38" s="1435">
        <v>1</v>
      </c>
      <c r="O38" s="1435">
        <v>1</v>
      </c>
      <c r="P38" s="1435">
        <v>1</v>
      </c>
      <c r="Q38" s="1435">
        <v>1</v>
      </c>
      <c r="R38" s="1435">
        <v>1</v>
      </c>
      <c r="S38" s="1435">
        <v>1</v>
      </c>
      <c r="T38" s="1435">
        <v>0</v>
      </c>
      <c r="U38" s="1435">
        <v>0</v>
      </c>
      <c r="V38" s="1435">
        <v>0</v>
      </c>
      <c r="W38" s="1435">
        <v>0</v>
      </c>
      <c r="X38" s="1435">
        <v>0</v>
      </c>
      <c r="Y38" s="1435">
        <v>0</v>
      </c>
      <c r="Z38" s="1435">
        <v>0</v>
      </c>
      <c r="AA38" s="1428">
        <f t="shared" si="0"/>
        <v>11</v>
      </c>
      <c r="AB38" s="1429">
        <f>AA38*$C$11</f>
        <v>550</v>
      </c>
      <c r="AE38" s="1892"/>
    </row>
    <row r="39" spans="2:31" ht="15" customHeight="1" x14ac:dyDescent="0.3">
      <c r="B39" s="1460" t="s">
        <v>1429</v>
      </c>
      <c r="C39" s="1435">
        <v>0</v>
      </c>
      <c r="D39" s="1435">
        <v>0</v>
      </c>
      <c r="E39" s="1435">
        <v>0</v>
      </c>
      <c r="F39" s="1435">
        <v>0</v>
      </c>
      <c r="G39" s="1435">
        <v>0</v>
      </c>
      <c r="H39" s="1435">
        <v>0</v>
      </c>
      <c r="I39" s="1435">
        <v>1</v>
      </c>
      <c r="J39" s="1435">
        <v>1</v>
      </c>
      <c r="K39" s="1435">
        <v>1</v>
      </c>
      <c r="L39" s="1435">
        <v>1</v>
      </c>
      <c r="M39" s="1435">
        <v>1</v>
      </c>
      <c r="N39" s="1435">
        <v>1</v>
      </c>
      <c r="O39" s="1435">
        <v>1</v>
      </c>
      <c r="P39" s="1435">
        <v>1</v>
      </c>
      <c r="Q39" s="1435">
        <v>1</v>
      </c>
      <c r="R39" s="1435">
        <v>1</v>
      </c>
      <c r="S39" s="1435">
        <v>1</v>
      </c>
      <c r="T39" s="1435">
        <v>0</v>
      </c>
      <c r="U39" s="1435">
        <v>0</v>
      </c>
      <c r="V39" s="1435">
        <v>0</v>
      </c>
      <c r="W39" s="1435">
        <v>0</v>
      </c>
      <c r="X39" s="1435">
        <v>0</v>
      </c>
      <c r="Y39" s="1435">
        <v>0</v>
      </c>
      <c r="Z39" s="1435">
        <v>0</v>
      </c>
      <c r="AA39" s="1428">
        <f t="shared" si="0"/>
        <v>11</v>
      </c>
      <c r="AB39" s="1429">
        <f>AA39*$C$12</f>
        <v>550</v>
      </c>
      <c r="AE39" s="1892"/>
    </row>
    <row r="40" spans="2:31" ht="15" customHeight="1" x14ac:dyDescent="0.3">
      <c r="B40" s="1460" t="s">
        <v>1430</v>
      </c>
      <c r="C40" s="1435">
        <v>0</v>
      </c>
      <c r="D40" s="1435">
        <v>0</v>
      </c>
      <c r="E40" s="1435">
        <v>0</v>
      </c>
      <c r="F40" s="1435">
        <v>0</v>
      </c>
      <c r="G40" s="1435">
        <v>0</v>
      </c>
      <c r="H40" s="1435">
        <v>0</v>
      </c>
      <c r="I40" s="1435">
        <v>0</v>
      </c>
      <c r="J40" s="1435">
        <v>0</v>
      </c>
      <c r="K40" s="1435">
        <v>0</v>
      </c>
      <c r="L40" s="1435">
        <v>0</v>
      </c>
      <c r="M40" s="1435">
        <v>0</v>
      </c>
      <c r="N40" s="1435">
        <v>0</v>
      </c>
      <c r="O40" s="1435">
        <v>0</v>
      </c>
      <c r="P40" s="1435">
        <v>0</v>
      </c>
      <c r="Q40" s="1435">
        <v>0</v>
      </c>
      <c r="R40" s="1435">
        <v>0</v>
      </c>
      <c r="S40" s="1435">
        <v>0</v>
      </c>
      <c r="T40" s="1435">
        <v>0</v>
      </c>
      <c r="U40" s="1435">
        <v>0</v>
      </c>
      <c r="V40" s="1435">
        <v>0</v>
      </c>
      <c r="W40" s="1435">
        <v>0</v>
      </c>
      <c r="X40" s="1435">
        <v>0</v>
      </c>
      <c r="Y40" s="1435">
        <v>0</v>
      </c>
      <c r="Z40" s="1435">
        <v>0</v>
      </c>
      <c r="AA40" s="1428">
        <f t="shared" si="0"/>
        <v>0</v>
      </c>
      <c r="AB40" s="1429">
        <f>AA40*$C$13</f>
        <v>0</v>
      </c>
      <c r="AE40" s="1892"/>
    </row>
    <row r="41" spans="2:31" ht="15" customHeight="1" x14ac:dyDescent="0.3">
      <c r="B41" s="1460" t="s">
        <v>1431</v>
      </c>
      <c r="C41" s="1435">
        <v>0</v>
      </c>
      <c r="D41" s="1435">
        <v>0</v>
      </c>
      <c r="E41" s="1435">
        <v>0</v>
      </c>
      <c r="F41" s="1435">
        <v>0</v>
      </c>
      <c r="G41" s="1435">
        <v>0</v>
      </c>
      <c r="H41" s="1435">
        <v>0</v>
      </c>
      <c r="I41" s="1435">
        <v>0</v>
      </c>
      <c r="J41" s="1435">
        <v>0</v>
      </c>
      <c r="K41" s="1435">
        <v>0</v>
      </c>
      <c r="L41" s="1435">
        <v>0</v>
      </c>
      <c r="M41" s="1435">
        <v>0</v>
      </c>
      <c r="N41" s="1435">
        <v>0</v>
      </c>
      <c r="O41" s="1435">
        <v>0</v>
      </c>
      <c r="P41" s="1435">
        <v>0</v>
      </c>
      <c r="Q41" s="1435">
        <v>0</v>
      </c>
      <c r="R41" s="1435">
        <v>0</v>
      </c>
      <c r="S41" s="1435">
        <v>0</v>
      </c>
      <c r="T41" s="1435">
        <v>0</v>
      </c>
      <c r="U41" s="1435">
        <v>0</v>
      </c>
      <c r="V41" s="1435">
        <v>0</v>
      </c>
      <c r="W41" s="1435">
        <v>0</v>
      </c>
      <c r="X41" s="1435">
        <v>0</v>
      </c>
      <c r="Y41" s="1435">
        <v>0</v>
      </c>
      <c r="Z41" s="1435">
        <v>0</v>
      </c>
      <c r="AA41" s="1428">
        <f t="shared" si="0"/>
        <v>0</v>
      </c>
      <c r="AB41" s="1429">
        <f>AA41*$C$14</f>
        <v>0</v>
      </c>
      <c r="AE41" s="1892"/>
    </row>
    <row r="42" spans="2:31" ht="15" customHeight="1" x14ac:dyDescent="0.3">
      <c r="B42" s="1461" t="s">
        <v>1432</v>
      </c>
      <c r="C42" s="1436">
        <v>0</v>
      </c>
      <c r="D42" s="1436">
        <v>0</v>
      </c>
      <c r="E42" s="1436">
        <v>0</v>
      </c>
      <c r="F42" s="1436">
        <v>0</v>
      </c>
      <c r="G42" s="1436">
        <v>0</v>
      </c>
      <c r="H42" s="1436">
        <v>0</v>
      </c>
      <c r="I42" s="1436">
        <v>1</v>
      </c>
      <c r="J42" s="1436">
        <v>1</v>
      </c>
      <c r="K42" s="1436">
        <v>1</v>
      </c>
      <c r="L42" s="1436">
        <v>1</v>
      </c>
      <c r="M42" s="1436">
        <v>1</v>
      </c>
      <c r="N42" s="1436">
        <v>1</v>
      </c>
      <c r="O42" s="1436">
        <v>1</v>
      </c>
      <c r="P42" s="1436">
        <v>1</v>
      </c>
      <c r="Q42" s="1436">
        <v>1</v>
      </c>
      <c r="R42" s="1436">
        <v>1</v>
      </c>
      <c r="S42" s="1436">
        <v>1</v>
      </c>
      <c r="T42" s="1436">
        <v>0</v>
      </c>
      <c r="U42" s="1436">
        <v>0</v>
      </c>
      <c r="V42" s="1436">
        <v>0</v>
      </c>
      <c r="W42" s="1436">
        <v>0</v>
      </c>
      <c r="X42" s="1436">
        <v>0</v>
      </c>
      <c r="Y42" s="1436">
        <v>0</v>
      </c>
      <c r="Z42" s="1436">
        <v>0</v>
      </c>
      <c r="AA42" s="1432">
        <f t="shared" si="0"/>
        <v>11</v>
      </c>
      <c r="AB42" s="1433">
        <f>AA42*$C$15</f>
        <v>572</v>
      </c>
      <c r="AE42" s="1892"/>
    </row>
    <row r="43" spans="2:31" ht="21" customHeight="1" x14ac:dyDescent="0.3">
      <c r="B43" s="2108" t="s">
        <v>1464</v>
      </c>
      <c r="C43" s="2109"/>
      <c r="D43" s="2109"/>
      <c r="E43" s="2109"/>
      <c r="F43" s="2109"/>
      <c r="G43" s="2109"/>
      <c r="H43" s="2109"/>
      <c r="I43" s="2109"/>
      <c r="J43" s="2109"/>
      <c r="K43" s="2109"/>
      <c r="L43" s="2109"/>
      <c r="M43" s="2109"/>
      <c r="N43" s="2109"/>
      <c r="O43" s="2109"/>
      <c r="P43" s="2109"/>
      <c r="Q43" s="2109"/>
      <c r="R43" s="2109"/>
      <c r="S43" s="2109"/>
      <c r="T43" s="2109"/>
      <c r="U43" s="2109"/>
      <c r="V43" s="2109"/>
      <c r="W43" s="2109"/>
      <c r="X43" s="2109"/>
      <c r="Y43" s="2109"/>
      <c r="Z43" s="2109"/>
      <c r="AA43" s="2109"/>
      <c r="AB43" s="1421">
        <f>SUM(AB35:AB42)</f>
        <v>2772</v>
      </c>
      <c r="AE43" s="1892"/>
    </row>
    <row r="44" spans="2:31" x14ac:dyDescent="0.3">
      <c r="B44" s="1395"/>
      <c r="C44" s="1395"/>
      <c r="D44" s="1395"/>
      <c r="E44" s="1395"/>
      <c r="F44" s="1395"/>
      <c r="G44" s="1395"/>
      <c r="H44" s="1395"/>
      <c r="I44" s="1395"/>
      <c r="J44" s="1395"/>
      <c r="K44" s="1395"/>
      <c r="L44" s="1395"/>
      <c r="M44" s="1395"/>
      <c r="N44" s="1395"/>
      <c r="O44" s="1395"/>
      <c r="P44" s="1395"/>
      <c r="Q44" s="1395"/>
      <c r="R44" s="1395"/>
      <c r="S44" s="1395"/>
      <c r="T44" s="1395"/>
      <c r="U44" s="1395"/>
      <c r="V44" s="1395"/>
      <c r="W44" s="1395"/>
      <c r="X44" s="1395"/>
      <c r="Y44" s="1395"/>
      <c r="Z44" s="1395"/>
      <c r="AA44" s="1395"/>
      <c r="AB44" s="1395"/>
    </row>
    <row r="45" spans="2:31" ht="29.25" customHeight="1" x14ac:dyDescent="0.3">
      <c r="B45" s="1395"/>
      <c r="C45" s="1395"/>
      <c r="D45" s="1395"/>
      <c r="E45" s="1395"/>
      <c r="F45" s="1395"/>
      <c r="G45" s="1395"/>
      <c r="H45" s="1395"/>
      <c r="I45" s="1395"/>
      <c r="J45" s="1395"/>
      <c r="K45" s="1395"/>
      <c r="L45" s="1395"/>
      <c r="M45" s="1395"/>
      <c r="N45" s="1395"/>
      <c r="O45" s="1395"/>
      <c r="P45" s="1395"/>
      <c r="Q45" s="1395"/>
      <c r="R45" s="1395"/>
      <c r="S45" s="1395"/>
      <c r="T45" s="1395"/>
      <c r="U45" s="1395"/>
      <c r="V45" s="1395"/>
      <c r="W45" s="1395"/>
      <c r="X45" s="1395"/>
      <c r="Y45" s="1395"/>
      <c r="Z45" s="1395"/>
      <c r="AA45" s="1395"/>
      <c r="AB45" s="1395"/>
    </row>
    <row r="46" spans="2:31" x14ac:dyDescent="0.3">
      <c r="B46" s="1395"/>
      <c r="C46" s="1395"/>
      <c r="D46" s="1395"/>
      <c r="E46" s="1395"/>
      <c r="F46" s="1395"/>
      <c r="G46" s="1395"/>
      <c r="H46" s="1395"/>
      <c r="I46" s="1395"/>
      <c r="J46" s="1395"/>
      <c r="K46" s="1395"/>
      <c r="L46" s="1395"/>
      <c r="M46" s="1395"/>
      <c r="N46" s="1395"/>
      <c r="O46" s="1395"/>
      <c r="P46" s="1395"/>
      <c r="Q46" s="1395"/>
      <c r="R46" s="1395"/>
      <c r="S46" s="1395"/>
      <c r="T46" s="1395"/>
      <c r="U46" s="1395"/>
      <c r="V46" s="1395"/>
      <c r="W46" s="1395"/>
      <c r="X46" s="1395"/>
      <c r="Y46" s="1395"/>
      <c r="Z46" s="1395"/>
      <c r="AA46" s="1395"/>
      <c r="AB46" s="1395"/>
    </row>
    <row r="47" spans="2:31" x14ac:dyDescent="0.3">
      <c r="B47" s="1395"/>
      <c r="C47" s="1395"/>
      <c r="D47" s="1395"/>
      <c r="E47" s="1395"/>
      <c r="F47" s="1395"/>
      <c r="G47" s="1395"/>
      <c r="H47" s="1395"/>
      <c r="I47" s="1395"/>
      <c r="J47" s="1395"/>
      <c r="K47" s="1395"/>
      <c r="L47" s="1395"/>
      <c r="M47" s="1395"/>
      <c r="N47" s="1395"/>
      <c r="O47" s="1395"/>
      <c r="P47" s="1395"/>
      <c r="Q47" s="1395"/>
      <c r="R47" s="1395"/>
      <c r="S47" s="1395"/>
      <c r="T47" s="1395"/>
      <c r="U47" s="1395"/>
      <c r="V47" s="1395"/>
      <c r="W47" s="1395"/>
      <c r="X47" s="1395"/>
      <c r="Y47" s="1395"/>
      <c r="Z47" s="1395"/>
      <c r="AA47" s="1395"/>
      <c r="AB47" s="1395"/>
    </row>
    <row r="48" spans="2:31" ht="15.6" x14ac:dyDescent="0.3">
      <c r="B48" s="1406" t="s">
        <v>2013</v>
      </c>
      <c r="C48" s="1404"/>
      <c r="D48" s="1395"/>
      <c r="E48" s="1395"/>
      <c r="F48" s="1395"/>
      <c r="G48" s="1395"/>
      <c r="H48" s="1395"/>
      <c r="I48" s="1395"/>
      <c r="J48" s="1395"/>
      <c r="K48" s="1395"/>
      <c r="L48" s="1395"/>
      <c r="M48" s="1395"/>
      <c r="N48" s="1395"/>
      <c r="O48" s="1395"/>
      <c r="P48" s="1395"/>
      <c r="Q48" s="1395"/>
      <c r="R48" s="1395"/>
      <c r="S48" s="1395"/>
      <c r="T48" s="1395"/>
      <c r="U48" s="1395"/>
      <c r="V48" s="1395"/>
      <c r="W48" s="1395"/>
      <c r="X48" s="1395"/>
      <c r="Y48" s="1395"/>
      <c r="Z48" s="1395"/>
      <c r="AA48" s="1399"/>
      <c r="AB48" s="1400"/>
    </row>
    <row r="49" spans="2:31" x14ac:dyDescent="0.3">
      <c r="B49" s="1395" t="s">
        <v>1465</v>
      </c>
      <c r="C49" s="1395"/>
      <c r="D49" s="1395"/>
      <c r="E49" s="1395"/>
      <c r="F49" s="1395"/>
      <c r="G49" s="1395"/>
      <c r="H49" s="1395"/>
      <c r="I49" s="1395"/>
      <c r="J49" s="1395"/>
      <c r="K49" s="1395"/>
      <c r="L49" s="1395"/>
      <c r="M49" s="1395"/>
      <c r="N49" s="1395"/>
      <c r="O49" s="1395"/>
      <c r="P49" s="1395"/>
      <c r="Q49" s="1395"/>
      <c r="R49" s="1395"/>
      <c r="S49" s="1395"/>
      <c r="T49" s="1395"/>
      <c r="U49" s="1395"/>
      <c r="V49" s="1395"/>
      <c r="W49" s="1395"/>
      <c r="X49" s="1395"/>
      <c r="Y49" s="1395"/>
      <c r="Z49" s="1395"/>
      <c r="AA49" s="1395"/>
      <c r="AB49" s="1395"/>
    </row>
    <row r="50" spans="2:31" x14ac:dyDescent="0.3">
      <c r="B50" s="1395"/>
      <c r="C50" s="1395"/>
      <c r="D50" s="1395"/>
      <c r="E50" s="1395"/>
      <c r="F50" s="1395"/>
      <c r="G50" s="1395"/>
      <c r="H50" s="1395"/>
      <c r="I50" s="1395"/>
      <c r="J50" s="1395"/>
      <c r="K50" s="1395"/>
      <c r="L50" s="1395"/>
      <c r="M50" s="1395"/>
      <c r="N50" s="1395"/>
      <c r="O50" s="1395"/>
      <c r="P50" s="1395"/>
      <c r="Q50" s="1395"/>
      <c r="R50" s="1395"/>
      <c r="S50" s="1395"/>
      <c r="T50" s="1395"/>
      <c r="U50" s="1395"/>
      <c r="V50" s="1395"/>
      <c r="W50" s="1395"/>
      <c r="X50" s="1395"/>
      <c r="Y50" s="1395"/>
      <c r="Z50" s="1395"/>
      <c r="AA50" s="1395"/>
      <c r="AB50" s="1395"/>
    </row>
    <row r="51" spans="2:31" ht="15" customHeight="1" x14ac:dyDescent="0.3">
      <c r="B51" s="1395" t="s">
        <v>1434</v>
      </c>
      <c r="C51" s="2022"/>
      <c r="D51" s="2107"/>
      <c r="E51" s="2107"/>
      <c r="F51" s="2107"/>
      <c r="G51" s="2107"/>
      <c r="H51" s="2107"/>
      <c r="I51" s="2107"/>
      <c r="J51" s="2107"/>
      <c r="K51" s="2107"/>
      <c r="L51" s="2107"/>
      <c r="M51" s="2107"/>
      <c r="N51" s="2107"/>
      <c r="O51" s="2023"/>
      <c r="P51" s="1407"/>
      <c r="Q51" s="1408"/>
      <c r="R51" s="1408"/>
      <c r="S51" s="1408"/>
      <c r="T51" s="1408"/>
      <c r="U51" s="1408"/>
      <c r="V51" s="1408"/>
      <c r="W51" s="1408"/>
      <c r="X51" s="1408"/>
      <c r="Y51" s="1408"/>
      <c r="Z51" s="1408"/>
      <c r="AA51" s="1408"/>
      <c r="AB51" s="1408"/>
    </row>
    <row r="52" spans="2:31" x14ac:dyDescent="0.3">
      <c r="B52" s="1395"/>
      <c r="C52" s="1395"/>
      <c r="D52" s="1395"/>
      <c r="E52" s="1395"/>
      <c r="F52" s="1395"/>
      <c r="G52" s="1395"/>
      <c r="H52" s="1395"/>
      <c r="I52" s="1395"/>
      <c r="J52" s="1395"/>
      <c r="K52" s="1395"/>
      <c r="L52" s="1395"/>
      <c r="M52" s="1395"/>
      <c r="N52" s="1395"/>
      <c r="O52" s="1395"/>
      <c r="P52" s="1395"/>
      <c r="Q52" s="1395"/>
      <c r="R52" s="1395"/>
      <c r="S52" s="1395"/>
      <c r="T52" s="1395"/>
      <c r="U52" s="1395"/>
      <c r="V52" s="1395"/>
      <c r="W52" s="1395"/>
      <c r="X52" s="1395"/>
      <c r="Y52" s="1395"/>
      <c r="Z52" s="1395"/>
      <c r="AA52" s="1395"/>
      <c r="AB52" s="1395"/>
    </row>
    <row r="53" spans="2:31" s="1420" customFormat="1" ht="21" customHeight="1" x14ac:dyDescent="0.3">
      <c r="B53" s="1419"/>
      <c r="C53" s="1418" t="s">
        <v>1435</v>
      </c>
      <c r="D53" s="1419" t="s">
        <v>1436</v>
      </c>
      <c r="E53" s="1419" t="s">
        <v>1437</v>
      </c>
      <c r="F53" s="1419" t="s">
        <v>1438</v>
      </c>
      <c r="G53" s="1419" t="s">
        <v>1439</v>
      </c>
      <c r="H53" s="1419" t="s">
        <v>1440</v>
      </c>
      <c r="I53" s="1419" t="s">
        <v>1441</v>
      </c>
      <c r="J53" s="1419" t="s">
        <v>1442</v>
      </c>
      <c r="K53" s="1419" t="s">
        <v>1443</v>
      </c>
      <c r="L53" s="1419" t="s">
        <v>1444</v>
      </c>
      <c r="M53" s="1419" t="s">
        <v>1445</v>
      </c>
      <c r="N53" s="1419" t="s">
        <v>1446</v>
      </c>
      <c r="O53" s="1419" t="s">
        <v>1447</v>
      </c>
      <c r="P53" s="1419" t="s">
        <v>1448</v>
      </c>
      <c r="Q53" s="1419" t="s">
        <v>1449</v>
      </c>
      <c r="R53" s="1419" t="s">
        <v>1450</v>
      </c>
      <c r="S53" s="1419" t="s">
        <v>1451</v>
      </c>
      <c r="T53" s="1419" t="s">
        <v>1452</v>
      </c>
      <c r="U53" s="1419" t="s">
        <v>1453</v>
      </c>
      <c r="V53" s="1419" t="s">
        <v>1454</v>
      </c>
      <c r="W53" s="1419" t="s">
        <v>1455</v>
      </c>
      <c r="X53" s="1419" t="s">
        <v>1456</v>
      </c>
      <c r="Y53" s="1419" t="s">
        <v>1457</v>
      </c>
      <c r="Z53" s="1419" t="s">
        <v>1458</v>
      </c>
      <c r="AA53" s="1419" t="s">
        <v>1466</v>
      </c>
      <c r="AB53" s="1419" t="s">
        <v>1467</v>
      </c>
    </row>
    <row r="54" spans="2:31" x14ac:dyDescent="0.3">
      <c r="B54" s="1422" t="s">
        <v>1461</v>
      </c>
      <c r="C54" s="1438"/>
      <c r="D54" s="1438"/>
      <c r="E54" s="1438"/>
      <c r="F54" s="1438"/>
      <c r="G54" s="1438"/>
      <c r="H54" s="1438"/>
      <c r="I54" s="1438"/>
      <c r="J54" s="1438"/>
      <c r="K54" s="1438"/>
      <c r="L54" s="1438"/>
      <c r="M54" s="1438"/>
      <c r="N54" s="1438"/>
      <c r="O54" s="1438"/>
      <c r="P54" s="1438"/>
      <c r="Q54" s="1438"/>
      <c r="R54" s="1438"/>
      <c r="S54" s="1438"/>
      <c r="T54" s="1438"/>
      <c r="U54" s="1438"/>
      <c r="V54" s="1438"/>
      <c r="W54" s="1438"/>
      <c r="X54" s="1438"/>
      <c r="Y54" s="1438"/>
      <c r="Z54" s="1438"/>
      <c r="AA54" s="1424">
        <f>SUM(C54:Z54)</f>
        <v>0</v>
      </c>
      <c r="AB54" s="1425">
        <f>AA54*SUM($C$9:$C$13)</f>
        <v>0</v>
      </c>
      <c r="AE54" s="1892"/>
    </row>
    <row r="55" spans="2:31" x14ac:dyDescent="0.3">
      <c r="B55" s="1426" t="s">
        <v>1462</v>
      </c>
      <c r="C55" s="1440"/>
      <c r="D55" s="1440"/>
      <c r="E55" s="1440"/>
      <c r="F55" s="1440"/>
      <c r="G55" s="1440"/>
      <c r="H55" s="1440"/>
      <c r="I55" s="1440"/>
      <c r="J55" s="1440"/>
      <c r="K55" s="1440"/>
      <c r="L55" s="1440"/>
      <c r="M55" s="1440"/>
      <c r="N55" s="1440"/>
      <c r="O55" s="1440"/>
      <c r="P55" s="1440"/>
      <c r="Q55" s="1440"/>
      <c r="R55" s="1440"/>
      <c r="S55" s="1440"/>
      <c r="T55" s="1440"/>
      <c r="U55" s="1440"/>
      <c r="V55" s="1440"/>
      <c r="W55" s="1440"/>
      <c r="X55" s="1440"/>
      <c r="Y55" s="1440"/>
      <c r="Z55" s="1440"/>
      <c r="AA55" s="1428">
        <f>SUM(C55:Z55)</f>
        <v>0</v>
      </c>
      <c r="AB55" s="1429">
        <f>AA55*SUM($C$14:$C$15)</f>
        <v>0</v>
      </c>
      <c r="AE55" s="1892"/>
    </row>
    <row r="56" spans="2:31" x14ac:dyDescent="0.3">
      <c r="B56" s="1430" t="s">
        <v>1463</v>
      </c>
      <c r="C56" s="1442"/>
      <c r="D56" s="1442"/>
      <c r="E56" s="1442"/>
      <c r="F56" s="1442"/>
      <c r="G56" s="1442"/>
      <c r="H56" s="1442"/>
      <c r="I56" s="1442"/>
      <c r="J56" s="1442"/>
      <c r="K56" s="1442"/>
      <c r="L56" s="1442"/>
      <c r="M56" s="1442"/>
      <c r="N56" s="1442"/>
      <c r="O56" s="1442"/>
      <c r="P56" s="1442"/>
      <c r="Q56" s="1442"/>
      <c r="R56" s="1442"/>
      <c r="S56" s="1442"/>
      <c r="T56" s="1442"/>
      <c r="U56" s="1442"/>
      <c r="V56" s="1442"/>
      <c r="W56" s="1442"/>
      <c r="X56" s="1442"/>
      <c r="Y56" s="1442"/>
      <c r="Z56" s="1442"/>
      <c r="AA56" s="1432">
        <f>SUM(C56:Z56)</f>
        <v>0</v>
      </c>
      <c r="AB56" s="1433">
        <f>AA56*$C$8</f>
        <v>0</v>
      </c>
      <c r="AE56" s="1892"/>
    </row>
    <row r="57" spans="2:31" x14ac:dyDescent="0.3">
      <c r="B57" s="2102" t="s">
        <v>1468</v>
      </c>
      <c r="C57" s="2103"/>
      <c r="D57" s="2103"/>
      <c r="E57" s="2103"/>
      <c r="F57" s="2103"/>
      <c r="G57" s="2103"/>
      <c r="H57" s="2103"/>
      <c r="I57" s="2103"/>
      <c r="J57" s="2103"/>
      <c r="K57" s="2103"/>
      <c r="L57" s="2103"/>
      <c r="M57" s="2103"/>
      <c r="N57" s="2103"/>
      <c r="O57" s="2103"/>
      <c r="P57" s="2103"/>
      <c r="Q57" s="2103"/>
      <c r="R57" s="2103"/>
      <c r="S57" s="2103"/>
      <c r="T57" s="2103"/>
      <c r="U57" s="2103"/>
      <c r="V57" s="2103"/>
      <c r="W57" s="2103"/>
      <c r="X57" s="2103"/>
      <c r="Y57" s="2103"/>
      <c r="Z57" s="2103"/>
      <c r="AA57" s="2103"/>
      <c r="AB57" s="1421">
        <f>SUM(AB54:AB56)</f>
        <v>0</v>
      </c>
      <c r="AE57" s="1892"/>
    </row>
    <row r="58" spans="2:31" x14ac:dyDescent="0.3">
      <c r="B58" s="1395"/>
      <c r="C58" s="1395"/>
      <c r="D58" s="1395"/>
      <c r="E58" s="1395"/>
      <c r="F58" s="1395"/>
      <c r="G58" s="1395"/>
      <c r="H58" s="1395"/>
      <c r="I58" s="1395"/>
      <c r="J58" s="1395"/>
      <c r="K58" s="1395"/>
      <c r="L58" s="1395"/>
      <c r="M58" s="1395"/>
      <c r="N58" s="1395"/>
      <c r="O58" s="1395"/>
      <c r="P58" s="1395"/>
      <c r="Q58" s="1395"/>
      <c r="R58" s="1395"/>
      <c r="S58" s="1395"/>
      <c r="T58" s="1395"/>
      <c r="U58" s="1395"/>
      <c r="V58" s="1395"/>
      <c r="W58" s="1395"/>
      <c r="X58" s="1395"/>
      <c r="Y58" s="1395"/>
      <c r="Z58" s="1395"/>
      <c r="AA58" s="1395"/>
      <c r="AB58" s="1395"/>
    </row>
    <row r="59" spans="2:31" ht="27" customHeight="1" x14ac:dyDescent="0.3">
      <c r="B59" s="1395"/>
      <c r="C59" s="1395"/>
      <c r="D59" s="1395"/>
      <c r="E59" s="1395"/>
      <c r="F59" s="1395"/>
      <c r="G59" s="1395"/>
      <c r="H59" s="1395"/>
      <c r="I59" s="1395"/>
      <c r="J59" s="1395"/>
      <c r="K59" s="1395"/>
      <c r="L59" s="1395"/>
      <c r="M59" s="1395"/>
      <c r="N59" s="1395"/>
      <c r="O59" s="1395"/>
      <c r="P59" s="1395"/>
      <c r="Q59" s="1395"/>
      <c r="R59" s="1395"/>
      <c r="S59" s="1395"/>
      <c r="T59" s="1395"/>
      <c r="U59" s="1395"/>
      <c r="V59" s="1395"/>
      <c r="W59" s="1395"/>
      <c r="X59" s="1395"/>
      <c r="Y59" s="1395"/>
      <c r="Z59" s="1395"/>
      <c r="AA59" s="1395"/>
      <c r="AB59" s="1395"/>
    </row>
    <row r="60" spans="2:31" x14ac:dyDescent="0.3">
      <c r="B60" s="1395"/>
      <c r="C60" s="1395"/>
      <c r="D60" s="1395"/>
      <c r="E60" s="1395"/>
      <c r="F60" s="1395"/>
      <c r="G60" s="1395"/>
      <c r="H60" s="1395"/>
      <c r="I60" s="1395"/>
      <c r="J60" s="1395"/>
      <c r="K60" s="1395"/>
      <c r="L60" s="1395"/>
      <c r="M60" s="1395"/>
      <c r="N60" s="1395"/>
      <c r="O60" s="1395"/>
      <c r="P60" s="1395"/>
      <c r="Q60" s="1395"/>
      <c r="R60" s="1395"/>
      <c r="S60" s="1395"/>
      <c r="T60" s="1395"/>
      <c r="U60" s="1395"/>
      <c r="V60" s="1395"/>
      <c r="W60" s="1395"/>
      <c r="X60" s="1395"/>
      <c r="Y60" s="1395"/>
      <c r="Z60" s="1395"/>
      <c r="AA60" s="1395"/>
      <c r="AB60" s="1395"/>
    </row>
    <row r="61" spans="2:31" x14ac:dyDescent="0.3">
      <c r="B61" s="1395"/>
      <c r="C61" s="1395"/>
      <c r="D61" s="1395"/>
      <c r="E61" s="1395"/>
      <c r="F61" s="1395"/>
      <c r="G61" s="1395"/>
      <c r="H61" s="1395"/>
      <c r="I61" s="1395"/>
      <c r="J61" s="1395"/>
      <c r="K61" s="1395"/>
      <c r="L61" s="1395"/>
      <c r="M61" s="1395"/>
      <c r="N61" s="1395"/>
      <c r="O61" s="1395"/>
      <c r="P61" s="1395"/>
      <c r="Q61" s="1395"/>
      <c r="R61" s="1395"/>
      <c r="S61" s="1395"/>
      <c r="T61" s="1395"/>
      <c r="U61" s="1395"/>
      <c r="V61" s="1395"/>
      <c r="W61" s="1395"/>
      <c r="X61" s="1395"/>
      <c r="Y61" s="1395"/>
      <c r="Z61" s="1395"/>
      <c r="AA61" s="1395"/>
      <c r="AB61" s="1395"/>
    </row>
    <row r="62" spans="2:31" ht="15" customHeight="1" x14ac:dyDescent="0.3">
      <c r="B62" s="1395" t="s">
        <v>1434</v>
      </c>
      <c r="C62" s="2022" t="s">
        <v>2318</v>
      </c>
      <c r="D62" s="2107"/>
      <c r="E62" s="2107"/>
      <c r="F62" s="2107"/>
      <c r="G62" s="2107"/>
      <c r="H62" s="2107"/>
      <c r="I62" s="2107"/>
      <c r="J62" s="2107"/>
      <c r="K62" s="2107"/>
      <c r="L62" s="2107"/>
      <c r="M62" s="2107"/>
      <c r="N62" s="2107"/>
      <c r="O62" s="2023"/>
      <c r="P62" s="1407"/>
      <c r="Q62" s="1408"/>
      <c r="R62" s="1408"/>
      <c r="S62" s="1408"/>
      <c r="T62" s="1408"/>
      <c r="U62" s="1408"/>
      <c r="V62" s="1408"/>
      <c r="W62" s="1408"/>
      <c r="X62" s="1408"/>
      <c r="Y62" s="1408"/>
      <c r="Z62" s="1408"/>
      <c r="AA62" s="1408"/>
      <c r="AB62" s="1408"/>
    </row>
    <row r="63" spans="2:31" x14ac:dyDescent="0.3">
      <c r="B63" s="1395"/>
      <c r="C63" s="1395"/>
      <c r="D63" s="1395"/>
      <c r="E63" s="1395"/>
      <c r="F63" s="1395"/>
      <c r="G63" s="1395"/>
      <c r="H63" s="1395"/>
      <c r="I63" s="1395"/>
      <c r="J63" s="1395"/>
      <c r="K63" s="1395"/>
      <c r="L63" s="1395"/>
      <c r="M63" s="1395"/>
      <c r="N63" s="1395"/>
      <c r="O63" s="1395"/>
      <c r="P63" s="1395"/>
      <c r="Q63" s="1395"/>
      <c r="R63" s="1395"/>
      <c r="S63" s="1395"/>
      <c r="T63" s="1395"/>
      <c r="U63" s="1395"/>
      <c r="V63" s="1395"/>
      <c r="W63" s="1395"/>
      <c r="X63" s="1395"/>
      <c r="Y63" s="1395"/>
      <c r="Z63" s="1395"/>
      <c r="AA63" s="1395"/>
      <c r="AB63" s="1395"/>
    </row>
    <row r="64" spans="2:31" s="1420" customFormat="1" ht="21" customHeight="1" x14ac:dyDescent="0.3">
      <c r="B64" s="1419"/>
      <c r="C64" s="1418" t="s">
        <v>1435</v>
      </c>
      <c r="D64" s="1419" t="s">
        <v>1436</v>
      </c>
      <c r="E64" s="1419" t="s">
        <v>1437</v>
      </c>
      <c r="F64" s="1419" t="s">
        <v>1438</v>
      </c>
      <c r="G64" s="1419" t="s">
        <v>1439</v>
      </c>
      <c r="H64" s="1419" t="s">
        <v>1440</v>
      </c>
      <c r="I64" s="1419" t="s">
        <v>1441</v>
      </c>
      <c r="J64" s="1419" t="s">
        <v>1442</v>
      </c>
      <c r="K64" s="1419" t="s">
        <v>1443</v>
      </c>
      <c r="L64" s="1419" t="s">
        <v>1444</v>
      </c>
      <c r="M64" s="1419" t="s">
        <v>1445</v>
      </c>
      <c r="N64" s="1419" t="s">
        <v>1446</v>
      </c>
      <c r="O64" s="1419" t="s">
        <v>1447</v>
      </c>
      <c r="P64" s="1419" t="s">
        <v>1448</v>
      </c>
      <c r="Q64" s="1419" t="s">
        <v>1449</v>
      </c>
      <c r="R64" s="1419" t="s">
        <v>1450</v>
      </c>
      <c r="S64" s="1419" t="s">
        <v>1451</v>
      </c>
      <c r="T64" s="1419" t="s">
        <v>1452</v>
      </c>
      <c r="U64" s="1419" t="s">
        <v>1453</v>
      </c>
      <c r="V64" s="1419" t="s">
        <v>1454</v>
      </c>
      <c r="W64" s="1419" t="s">
        <v>1455</v>
      </c>
      <c r="X64" s="1419" t="s">
        <v>1456</v>
      </c>
      <c r="Y64" s="1419" t="s">
        <v>1457</v>
      </c>
      <c r="Z64" s="1419" t="s">
        <v>1458</v>
      </c>
      <c r="AA64" s="1419" t="s">
        <v>1466</v>
      </c>
      <c r="AB64" s="1419" t="s">
        <v>1466</v>
      </c>
    </row>
    <row r="65" spans="2:31" x14ac:dyDescent="0.3">
      <c r="B65" s="1422" t="s">
        <v>1463</v>
      </c>
      <c r="C65" s="1438">
        <v>0</v>
      </c>
      <c r="D65" s="1438">
        <v>0</v>
      </c>
      <c r="E65" s="1438">
        <v>0</v>
      </c>
      <c r="F65" s="1438">
        <v>0</v>
      </c>
      <c r="G65" s="1438">
        <v>0</v>
      </c>
      <c r="H65" s="1438">
        <v>0</v>
      </c>
      <c r="I65" s="1438">
        <v>0</v>
      </c>
      <c r="J65" s="1438">
        <v>0</v>
      </c>
      <c r="K65" s="1438">
        <v>0</v>
      </c>
      <c r="L65" s="1438">
        <v>0</v>
      </c>
      <c r="M65" s="1438">
        <v>0</v>
      </c>
      <c r="N65" s="1438">
        <v>0</v>
      </c>
      <c r="O65" s="1438">
        <v>0</v>
      </c>
      <c r="P65" s="1438">
        <v>0</v>
      </c>
      <c r="Q65" s="1438">
        <v>0</v>
      </c>
      <c r="R65" s="1438">
        <v>0</v>
      </c>
      <c r="S65" s="1438">
        <v>0</v>
      </c>
      <c r="T65" s="1438">
        <v>0</v>
      </c>
      <c r="U65" s="1438">
        <v>0</v>
      </c>
      <c r="V65" s="1438">
        <v>0</v>
      </c>
      <c r="W65" s="1438">
        <v>0</v>
      </c>
      <c r="X65" s="1438">
        <v>0</v>
      </c>
      <c r="Y65" s="1438">
        <v>0</v>
      </c>
      <c r="Z65" s="1438">
        <v>0</v>
      </c>
      <c r="AA65" s="1424">
        <f t="shared" ref="AA65:AA72" si="1">SUM(C65:Z65)</f>
        <v>0</v>
      </c>
      <c r="AB65" s="1425">
        <f>AA65*$C$8</f>
        <v>0</v>
      </c>
      <c r="AE65" s="1892"/>
    </row>
    <row r="66" spans="2:31" x14ac:dyDescent="0.3">
      <c r="B66" s="1426" t="s">
        <v>1426</v>
      </c>
      <c r="C66" s="1440">
        <v>0</v>
      </c>
      <c r="D66" s="1440">
        <v>0</v>
      </c>
      <c r="E66" s="1440">
        <v>0</v>
      </c>
      <c r="F66" s="1440">
        <v>0</v>
      </c>
      <c r="G66" s="1440">
        <v>0</v>
      </c>
      <c r="H66" s="1440">
        <v>0</v>
      </c>
      <c r="I66" s="1440">
        <v>0.45</v>
      </c>
      <c r="J66" s="1440">
        <v>0.4</v>
      </c>
      <c r="K66" s="1440">
        <v>0.45</v>
      </c>
      <c r="L66" s="1440">
        <v>0.4</v>
      </c>
      <c r="M66" s="1440">
        <v>0.35</v>
      </c>
      <c r="N66" s="1440">
        <v>0.3</v>
      </c>
      <c r="O66" s="1440">
        <v>0.3</v>
      </c>
      <c r="P66" s="1440">
        <v>0.3</v>
      </c>
      <c r="Q66" s="1440">
        <v>0.4</v>
      </c>
      <c r="R66" s="1440">
        <v>0.55000000000000004</v>
      </c>
      <c r="S66" s="1440">
        <v>0.6</v>
      </c>
      <c r="T66" s="1440">
        <v>0.5</v>
      </c>
      <c r="U66" s="1440">
        <v>0.45</v>
      </c>
      <c r="V66" s="1440">
        <v>0.2</v>
      </c>
      <c r="W66" s="1440">
        <v>0.1</v>
      </c>
      <c r="X66" s="1440">
        <v>0.1</v>
      </c>
      <c r="Y66" s="1440">
        <v>0</v>
      </c>
      <c r="Z66" s="1440">
        <v>0</v>
      </c>
      <c r="AA66" s="1428">
        <f t="shared" si="1"/>
        <v>5.8499999999999988</v>
      </c>
      <c r="AB66" s="1429">
        <f>AA66*$C$9</f>
        <v>292.49999999999994</v>
      </c>
      <c r="AE66" s="1892"/>
    </row>
    <row r="67" spans="2:31" x14ac:dyDescent="0.3">
      <c r="B67" s="1426" t="s">
        <v>1427</v>
      </c>
      <c r="C67" s="1440">
        <v>0</v>
      </c>
      <c r="D67" s="1440">
        <v>0</v>
      </c>
      <c r="E67" s="1440">
        <v>0</v>
      </c>
      <c r="F67" s="1440">
        <v>0</v>
      </c>
      <c r="G67" s="1440">
        <v>0</v>
      </c>
      <c r="H67" s="1440">
        <v>0</v>
      </c>
      <c r="I67" s="1440">
        <v>0.45</v>
      </c>
      <c r="J67" s="1440">
        <v>0.4</v>
      </c>
      <c r="K67" s="1440">
        <v>0.45</v>
      </c>
      <c r="L67" s="1440">
        <v>0.4</v>
      </c>
      <c r="M67" s="1440">
        <v>0.35</v>
      </c>
      <c r="N67" s="1440">
        <v>0.3</v>
      </c>
      <c r="O67" s="1440">
        <v>0.3</v>
      </c>
      <c r="P67" s="1440">
        <v>0.3</v>
      </c>
      <c r="Q67" s="1440">
        <v>0.4</v>
      </c>
      <c r="R67" s="1440">
        <v>0.55000000000000004</v>
      </c>
      <c r="S67" s="1440">
        <v>0.6</v>
      </c>
      <c r="T67" s="1440">
        <v>0.5</v>
      </c>
      <c r="U67" s="1440">
        <v>0.45</v>
      </c>
      <c r="V67" s="1440">
        <v>0.2</v>
      </c>
      <c r="W67" s="1440">
        <v>0.1</v>
      </c>
      <c r="X67" s="1440">
        <v>0.1</v>
      </c>
      <c r="Y67" s="1440">
        <v>0</v>
      </c>
      <c r="Z67" s="1440">
        <v>0</v>
      </c>
      <c r="AA67" s="1428">
        <f t="shared" si="1"/>
        <v>5.8499999999999988</v>
      </c>
      <c r="AB67" s="1429">
        <f>AA67*$C$10</f>
        <v>292.49999999999994</v>
      </c>
      <c r="AE67" s="1892"/>
    </row>
    <row r="68" spans="2:31" x14ac:dyDescent="0.3">
      <c r="B68" s="1426" t="s">
        <v>1428</v>
      </c>
      <c r="C68" s="1440">
        <v>0</v>
      </c>
      <c r="D68" s="1440">
        <v>0</v>
      </c>
      <c r="E68" s="1440">
        <v>0</v>
      </c>
      <c r="F68" s="1440">
        <v>0</v>
      </c>
      <c r="G68" s="1440">
        <v>0</v>
      </c>
      <c r="H68" s="1440">
        <v>0</v>
      </c>
      <c r="I68" s="1440">
        <v>0.45</v>
      </c>
      <c r="J68" s="1440">
        <v>0.4</v>
      </c>
      <c r="K68" s="1440">
        <v>0.45</v>
      </c>
      <c r="L68" s="1440">
        <v>0.4</v>
      </c>
      <c r="M68" s="1440">
        <v>0.35</v>
      </c>
      <c r="N68" s="1440">
        <v>0.3</v>
      </c>
      <c r="O68" s="1440">
        <v>0.3</v>
      </c>
      <c r="P68" s="1440">
        <v>0.3</v>
      </c>
      <c r="Q68" s="1440">
        <v>0.4</v>
      </c>
      <c r="R68" s="1440">
        <v>0.55000000000000004</v>
      </c>
      <c r="S68" s="1440">
        <v>0.6</v>
      </c>
      <c r="T68" s="1440">
        <v>0.5</v>
      </c>
      <c r="U68" s="1440">
        <v>0.45</v>
      </c>
      <c r="V68" s="1440">
        <v>0.2</v>
      </c>
      <c r="W68" s="1440">
        <v>0.1</v>
      </c>
      <c r="X68" s="1440">
        <v>0.1</v>
      </c>
      <c r="Y68" s="1440">
        <v>0</v>
      </c>
      <c r="Z68" s="1440">
        <v>0</v>
      </c>
      <c r="AA68" s="1428">
        <f t="shared" si="1"/>
        <v>5.8499999999999988</v>
      </c>
      <c r="AB68" s="1429">
        <f>AA68*$C$11</f>
        <v>292.49999999999994</v>
      </c>
      <c r="AE68" s="1892"/>
    </row>
    <row r="69" spans="2:31" x14ac:dyDescent="0.3">
      <c r="B69" s="1426" t="s">
        <v>1429</v>
      </c>
      <c r="C69" s="1440">
        <v>0</v>
      </c>
      <c r="D69" s="1440">
        <v>0</v>
      </c>
      <c r="E69" s="1440">
        <v>0</v>
      </c>
      <c r="F69" s="1440">
        <v>0</v>
      </c>
      <c r="G69" s="1440">
        <v>0</v>
      </c>
      <c r="H69" s="1440">
        <v>0</v>
      </c>
      <c r="I69" s="1440">
        <v>0.45</v>
      </c>
      <c r="J69" s="1440">
        <v>0.4</v>
      </c>
      <c r="K69" s="1440">
        <v>0.45</v>
      </c>
      <c r="L69" s="1440">
        <v>0.4</v>
      </c>
      <c r="M69" s="1440">
        <v>0.35</v>
      </c>
      <c r="N69" s="1440">
        <v>0.3</v>
      </c>
      <c r="O69" s="1440">
        <v>0.3</v>
      </c>
      <c r="P69" s="1440">
        <v>0.3</v>
      </c>
      <c r="Q69" s="1440">
        <v>0.4</v>
      </c>
      <c r="R69" s="1440">
        <v>0.55000000000000004</v>
      </c>
      <c r="S69" s="1440">
        <v>0.6</v>
      </c>
      <c r="T69" s="1440">
        <v>0.5</v>
      </c>
      <c r="U69" s="1440">
        <v>0.45</v>
      </c>
      <c r="V69" s="1440">
        <v>0.2</v>
      </c>
      <c r="W69" s="1440">
        <v>0.1</v>
      </c>
      <c r="X69" s="1440">
        <v>0.1</v>
      </c>
      <c r="Y69" s="1440">
        <v>0</v>
      </c>
      <c r="Z69" s="1440">
        <v>0</v>
      </c>
      <c r="AA69" s="1428">
        <f t="shared" si="1"/>
        <v>5.8499999999999988</v>
      </c>
      <c r="AB69" s="1429">
        <f>AA69*$C$12</f>
        <v>292.49999999999994</v>
      </c>
      <c r="AE69" s="1892"/>
    </row>
    <row r="70" spans="2:31" x14ac:dyDescent="0.3">
      <c r="B70" s="1426" t="s">
        <v>1430</v>
      </c>
      <c r="C70" s="1440">
        <v>0</v>
      </c>
      <c r="D70" s="1440">
        <v>0</v>
      </c>
      <c r="E70" s="1440">
        <v>0</v>
      </c>
      <c r="F70" s="1440">
        <v>0</v>
      </c>
      <c r="G70" s="1440">
        <v>0</v>
      </c>
      <c r="H70" s="1440">
        <v>0</v>
      </c>
      <c r="I70" s="1440">
        <v>0</v>
      </c>
      <c r="J70" s="1440">
        <v>0</v>
      </c>
      <c r="K70" s="1440">
        <v>0</v>
      </c>
      <c r="L70" s="1440">
        <v>0</v>
      </c>
      <c r="M70" s="1440">
        <v>0</v>
      </c>
      <c r="N70" s="1440">
        <v>0</v>
      </c>
      <c r="O70" s="1440">
        <v>0</v>
      </c>
      <c r="P70" s="1440">
        <v>0</v>
      </c>
      <c r="Q70" s="1440">
        <v>0</v>
      </c>
      <c r="R70" s="1440">
        <v>0</v>
      </c>
      <c r="S70" s="1440">
        <v>0</v>
      </c>
      <c r="T70" s="1440">
        <v>0</v>
      </c>
      <c r="U70" s="1440">
        <v>0</v>
      </c>
      <c r="V70" s="1440">
        <v>0</v>
      </c>
      <c r="W70" s="1440">
        <v>0</v>
      </c>
      <c r="X70" s="1440">
        <v>0</v>
      </c>
      <c r="Y70" s="1440">
        <v>0</v>
      </c>
      <c r="Z70" s="1440">
        <v>0</v>
      </c>
      <c r="AA70" s="1428">
        <f t="shared" si="1"/>
        <v>0</v>
      </c>
      <c r="AB70" s="1429">
        <f>AA70*$C$13</f>
        <v>0</v>
      </c>
      <c r="AE70" s="1892"/>
    </row>
    <row r="71" spans="2:31" x14ac:dyDescent="0.3">
      <c r="B71" s="1426" t="s">
        <v>1431</v>
      </c>
      <c r="C71" s="1440">
        <v>0</v>
      </c>
      <c r="D71" s="1440">
        <v>0</v>
      </c>
      <c r="E71" s="1440">
        <v>0</v>
      </c>
      <c r="F71" s="1440">
        <v>0</v>
      </c>
      <c r="G71" s="1440">
        <v>0</v>
      </c>
      <c r="H71" s="1440">
        <v>0</v>
      </c>
      <c r="I71" s="1440">
        <v>0</v>
      </c>
      <c r="J71" s="1440">
        <v>0</v>
      </c>
      <c r="K71" s="1440">
        <v>0</v>
      </c>
      <c r="L71" s="1440">
        <v>0</v>
      </c>
      <c r="M71" s="1440">
        <v>0</v>
      </c>
      <c r="N71" s="1440">
        <v>0</v>
      </c>
      <c r="O71" s="1440">
        <v>0</v>
      </c>
      <c r="P71" s="1440">
        <v>0</v>
      </c>
      <c r="Q71" s="1440">
        <v>0</v>
      </c>
      <c r="R71" s="1440">
        <v>0</v>
      </c>
      <c r="S71" s="1440">
        <v>0</v>
      </c>
      <c r="T71" s="1440">
        <v>0</v>
      </c>
      <c r="U71" s="1440">
        <v>0</v>
      </c>
      <c r="V71" s="1440">
        <v>0</v>
      </c>
      <c r="W71" s="1440">
        <v>0</v>
      </c>
      <c r="X71" s="1440">
        <v>0</v>
      </c>
      <c r="Y71" s="1440">
        <v>0</v>
      </c>
      <c r="Z71" s="1440">
        <v>0</v>
      </c>
      <c r="AA71" s="1428">
        <f t="shared" si="1"/>
        <v>0</v>
      </c>
      <c r="AB71" s="1429">
        <f>AA71*$C$14</f>
        <v>0</v>
      </c>
      <c r="AE71" s="1892"/>
    </row>
    <row r="72" spans="2:31" x14ac:dyDescent="0.3">
      <c r="B72" s="1430" t="s">
        <v>1432</v>
      </c>
      <c r="C72" s="1442">
        <v>0</v>
      </c>
      <c r="D72" s="1442">
        <v>0</v>
      </c>
      <c r="E72" s="1442">
        <v>0</v>
      </c>
      <c r="F72" s="1442">
        <v>0</v>
      </c>
      <c r="G72" s="1442">
        <v>0</v>
      </c>
      <c r="H72" s="1442">
        <v>0</v>
      </c>
      <c r="I72" s="1442">
        <v>0.45</v>
      </c>
      <c r="J72" s="1442">
        <v>0.4</v>
      </c>
      <c r="K72" s="1442">
        <v>0.45</v>
      </c>
      <c r="L72" s="1442">
        <v>0.4</v>
      </c>
      <c r="M72" s="1442">
        <v>0.35</v>
      </c>
      <c r="N72" s="1442">
        <v>0.3</v>
      </c>
      <c r="O72" s="1442">
        <v>0.3</v>
      </c>
      <c r="P72" s="1442">
        <v>0.3</v>
      </c>
      <c r="Q72" s="1442">
        <v>0.4</v>
      </c>
      <c r="R72" s="1442">
        <v>0.55000000000000004</v>
      </c>
      <c r="S72" s="1442">
        <v>0.6</v>
      </c>
      <c r="T72" s="1442">
        <v>0.5</v>
      </c>
      <c r="U72" s="1442">
        <v>0.45</v>
      </c>
      <c r="V72" s="1442">
        <v>0.2</v>
      </c>
      <c r="W72" s="1442">
        <v>0.1</v>
      </c>
      <c r="X72" s="1442">
        <v>0.1</v>
      </c>
      <c r="Y72" s="1442">
        <v>0</v>
      </c>
      <c r="Z72" s="1442">
        <v>0</v>
      </c>
      <c r="AA72" s="1432">
        <f t="shared" si="1"/>
        <v>5.8499999999999988</v>
      </c>
      <c r="AB72" s="1433">
        <f>AA72*$C$15</f>
        <v>304.19999999999993</v>
      </c>
      <c r="AE72" s="1892"/>
    </row>
    <row r="73" spans="2:31" x14ac:dyDescent="0.3">
      <c r="B73" s="2102" t="s">
        <v>1468</v>
      </c>
      <c r="C73" s="2103"/>
      <c r="D73" s="2103"/>
      <c r="E73" s="2103"/>
      <c r="F73" s="2103"/>
      <c r="G73" s="2103"/>
      <c r="H73" s="2103"/>
      <c r="I73" s="2103"/>
      <c r="J73" s="2103"/>
      <c r="K73" s="2103"/>
      <c r="L73" s="2103"/>
      <c r="M73" s="2103"/>
      <c r="N73" s="2103"/>
      <c r="O73" s="2103"/>
      <c r="P73" s="2103"/>
      <c r="Q73" s="2103"/>
      <c r="R73" s="2103"/>
      <c r="S73" s="2103"/>
      <c r="T73" s="2103"/>
      <c r="U73" s="2103"/>
      <c r="V73" s="2103"/>
      <c r="W73" s="2103"/>
      <c r="X73" s="2103"/>
      <c r="Y73" s="2103"/>
      <c r="Z73" s="2103"/>
      <c r="AA73" s="2103"/>
      <c r="AB73" s="1421">
        <f>SUM(AB65:AB72)</f>
        <v>1474.1999999999998</v>
      </c>
      <c r="AE73" s="1892"/>
    </row>
    <row r="74" spans="2:31" x14ac:dyDescent="0.3">
      <c r="B74" s="1395"/>
      <c r="C74" s="1395"/>
      <c r="D74" s="1395"/>
      <c r="E74" s="1395"/>
      <c r="F74" s="1395"/>
      <c r="G74" s="1395"/>
      <c r="H74" s="1395"/>
      <c r="I74" s="1395"/>
      <c r="J74" s="1395"/>
      <c r="K74" s="1395"/>
      <c r="L74" s="1395"/>
      <c r="M74" s="1395"/>
      <c r="N74" s="1395"/>
      <c r="O74" s="1395"/>
      <c r="P74" s="1395"/>
      <c r="Q74" s="1395"/>
      <c r="R74" s="1395"/>
      <c r="S74" s="1395"/>
      <c r="T74" s="1395"/>
      <c r="U74" s="1395"/>
      <c r="V74" s="1395"/>
      <c r="W74" s="1395"/>
      <c r="X74" s="1395"/>
      <c r="Y74" s="1395"/>
      <c r="Z74" s="1395"/>
      <c r="AA74" s="1395"/>
      <c r="AB74" s="1395"/>
    </row>
    <row r="75" spans="2:31" ht="27" customHeight="1" x14ac:dyDescent="0.3">
      <c r="B75" s="1395"/>
      <c r="C75" s="1395"/>
      <c r="D75" s="1395"/>
      <c r="E75" s="1395"/>
      <c r="F75" s="1395"/>
      <c r="G75" s="1395"/>
      <c r="H75" s="1395"/>
      <c r="I75" s="1395"/>
      <c r="J75" s="1395"/>
      <c r="K75" s="1395"/>
      <c r="L75" s="1395"/>
      <c r="M75" s="1395"/>
      <c r="N75" s="1395"/>
      <c r="O75" s="1395"/>
      <c r="P75" s="1395"/>
      <c r="Q75" s="1395"/>
      <c r="R75" s="1395"/>
      <c r="S75" s="1395"/>
      <c r="T75" s="1395"/>
      <c r="U75" s="1395"/>
      <c r="V75" s="1395"/>
      <c r="W75" s="1395"/>
      <c r="X75" s="1395"/>
      <c r="Y75" s="1395"/>
      <c r="Z75" s="1395"/>
      <c r="AA75" s="1395"/>
      <c r="AB75" s="1395"/>
    </row>
    <row r="76" spans="2:31" x14ac:dyDescent="0.3">
      <c r="B76" s="1395"/>
      <c r="C76" s="1395"/>
      <c r="D76" s="1395"/>
      <c r="E76" s="1395"/>
      <c r="F76" s="1395"/>
      <c r="G76" s="1395"/>
      <c r="H76" s="1395"/>
      <c r="I76" s="1395"/>
      <c r="J76" s="1395"/>
      <c r="K76" s="1395"/>
      <c r="L76" s="1395"/>
      <c r="M76" s="1395"/>
      <c r="N76" s="1395"/>
      <c r="O76" s="1395"/>
      <c r="P76" s="1395"/>
      <c r="Q76" s="1395"/>
      <c r="R76" s="1395"/>
      <c r="S76" s="1395"/>
      <c r="T76" s="1395"/>
      <c r="U76" s="1395"/>
      <c r="V76" s="1395"/>
      <c r="W76" s="1395"/>
      <c r="X76" s="1395"/>
      <c r="Y76" s="1395"/>
      <c r="Z76" s="1395"/>
      <c r="AA76" s="1395"/>
      <c r="AB76" s="1395"/>
    </row>
    <row r="77" spans="2:31" x14ac:dyDescent="0.3">
      <c r="B77" s="1395"/>
      <c r="C77" s="1395"/>
      <c r="D77" s="1395"/>
      <c r="E77" s="1395"/>
      <c r="F77" s="1395"/>
      <c r="G77" s="1395"/>
      <c r="H77" s="1395"/>
      <c r="I77" s="1395"/>
      <c r="J77" s="1395"/>
      <c r="K77" s="1395"/>
      <c r="L77" s="1395"/>
      <c r="M77" s="1395"/>
      <c r="N77" s="1395"/>
      <c r="O77" s="1395"/>
      <c r="P77" s="1395"/>
      <c r="Q77" s="1395"/>
      <c r="R77" s="1395"/>
      <c r="S77" s="1395"/>
      <c r="T77" s="1395"/>
      <c r="U77" s="1395"/>
      <c r="V77" s="1395"/>
      <c r="W77" s="1395"/>
      <c r="X77" s="1395"/>
      <c r="Y77" s="1395"/>
      <c r="Z77" s="1395"/>
      <c r="AA77" s="1395"/>
      <c r="AB77" s="1395"/>
    </row>
    <row r="78" spans="2:31" ht="15.6" x14ac:dyDescent="0.3">
      <c r="B78" s="1406" t="s">
        <v>2011</v>
      </c>
      <c r="C78" s="1404"/>
      <c r="D78" s="1395"/>
      <c r="E78" s="1395"/>
      <c r="F78" s="1395"/>
      <c r="G78" s="1395"/>
      <c r="H78" s="1395"/>
      <c r="I78" s="1395"/>
      <c r="J78" s="1395"/>
      <c r="K78" s="1395"/>
      <c r="L78" s="1395"/>
      <c r="M78" s="1395"/>
      <c r="N78" s="1395"/>
      <c r="O78" s="1395"/>
      <c r="P78" s="1395"/>
      <c r="Q78" s="1395"/>
      <c r="R78" s="1395"/>
      <c r="S78" s="1395"/>
      <c r="T78" s="1395"/>
      <c r="U78" s="1395"/>
      <c r="V78" s="1395"/>
      <c r="W78" s="1395"/>
      <c r="X78" s="1395"/>
      <c r="Y78" s="1395"/>
      <c r="Z78" s="1395"/>
      <c r="AA78" s="1399"/>
      <c r="AB78" s="1400"/>
    </row>
    <row r="79" spans="2:31" x14ac:dyDescent="0.3">
      <c r="B79" s="1405"/>
      <c r="C79" s="1404"/>
      <c r="D79" s="1395"/>
      <c r="E79" s="1395"/>
      <c r="F79" s="1395"/>
      <c r="G79" s="1395"/>
      <c r="H79" s="1395"/>
      <c r="I79" s="1395"/>
      <c r="J79" s="1395"/>
      <c r="K79" s="1395"/>
      <c r="L79" s="1395"/>
      <c r="M79" s="1395"/>
      <c r="N79" s="1395"/>
      <c r="O79" s="1395"/>
      <c r="P79" s="1395"/>
      <c r="Q79" s="1395"/>
      <c r="R79" s="1395"/>
      <c r="S79" s="1395"/>
      <c r="T79" s="1395"/>
      <c r="U79" s="1395"/>
      <c r="V79" s="1395"/>
      <c r="W79" s="1395"/>
      <c r="X79" s="1395"/>
      <c r="Y79" s="1395"/>
      <c r="Z79" s="1395"/>
      <c r="AA79" s="1399"/>
      <c r="AB79" s="1400"/>
    </row>
    <row r="80" spans="2:31" x14ac:dyDescent="0.3">
      <c r="B80" s="1405" t="s">
        <v>2014</v>
      </c>
      <c r="C80" s="1404"/>
      <c r="D80" s="1395"/>
      <c r="E80" s="1395"/>
      <c r="F80" s="1395"/>
      <c r="G80" s="1395"/>
      <c r="H80" s="1395"/>
      <c r="I80" s="1395"/>
      <c r="J80" s="1395"/>
      <c r="K80" s="1395"/>
      <c r="L80" s="1395"/>
      <c r="M80" s="1395"/>
      <c r="N80" s="1395"/>
      <c r="O80" s="1395"/>
      <c r="P80" s="1395"/>
      <c r="Q80" s="1395"/>
      <c r="R80" s="1395"/>
      <c r="S80" s="1395"/>
      <c r="T80" s="1395"/>
      <c r="U80" s="1395"/>
      <c r="V80" s="1395"/>
      <c r="W80" s="1395"/>
      <c r="X80" s="1395"/>
      <c r="Y80" s="1395"/>
      <c r="Z80" s="1395"/>
      <c r="AA80" s="1399"/>
      <c r="AB80" s="1400"/>
    </row>
    <row r="81" spans="2:28" x14ac:dyDescent="0.3">
      <c r="B81" s="1395"/>
      <c r="C81" s="1395"/>
      <c r="D81" s="1395"/>
      <c r="E81" s="1395"/>
      <c r="F81" s="1395"/>
      <c r="G81" s="1395"/>
      <c r="H81" s="1395"/>
      <c r="I81" s="1395"/>
      <c r="J81" s="1395"/>
      <c r="K81" s="1395"/>
      <c r="L81" s="1395"/>
      <c r="M81" s="1395"/>
      <c r="N81" s="1395"/>
      <c r="O81" s="1395"/>
      <c r="P81" s="1395"/>
      <c r="Q81" s="1395"/>
      <c r="R81" s="1395"/>
      <c r="S81" s="1395"/>
      <c r="T81" s="1395"/>
      <c r="U81" s="1395"/>
      <c r="V81" s="1395"/>
      <c r="W81" s="1395"/>
      <c r="X81" s="1395"/>
      <c r="Y81" s="1395"/>
      <c r="Z81" s="1395"/>
      <c r="AA81" s="1395"/>
      <c r="AB81" s="1395"/>
    </row>
    <row r="82" spans="2:28" ht="15" customHeight="1" x14ac:dyDescent="0.3">
      <c r="B82" s="1395" t="s">
        <v>1434</v>
      </c>
      <c r="C82" s="2099" t="s">
        <v>1611</v>
      </c>
      <c r="D82" s="2105"/>
      <c r="E82" s="2105"/>
      <c r="F82" s="2105"/>
      <c r="G82" s="2105"/>
      <c r="H82" s="2105"/>
      <c r="I82" s="2105"/>
      <c r="J82" s="2105"/>
      <c r="K82" s="2105"/>
      <c r="L82" s="2105"/>
      <c r="M82" s="2105"/>
      <c r="N82" s="2105"/>
      <c r="O82" s="2105"/>
      <c r="P82" s="2105"/>
      <c r="Q82" s="2105"/>
      <c r="R82" s="2105"/>
      <c r="S82" s="2105"/>
      <c r="T82" s="2105"/>
      <c r="U82" s="2105"/>
      <c r="V82" s="2105"/>
      <c r="W82" s="2105"/>
      <c r="X82" s="2105"/>
      <c r="Y82" s="2105"/>
      <c r="Z82" s="2105"/>
      <c r="AA82" s="2105"/>
      <c r="AB82" s="2106"/>
    </row>
    <row r="83" spans="2:28" x14ac:dyDescent="0.3">
      <c r="B83" s="1395"/>
      <c r="C83" s="1395"/>
      <c r="D83" s="1395"/>
      <c r="E83" s="1395"/>
      <c r="F83" s="1395"/>
      <c r="G83" s="1395"/>
      <c r="H83" s="1395"/>
      <c r="I83" s="1395"/>
      <c r="J83" s="1395"/>
      <c r="K83" s="1395"/>
      <c r="L83" s="1395"/>
      <c r="M83" s="1395"/>
      <c r="N83" s="1395"/>
      <c r="O83" s="1395"/>
      <c r="P83" s="1395"/>
      <c r="Q83" s="1395"/>
      <c r="R83" s="1395"/>
      <c r="S83" s="1395"/>
      <c r="T83" s="1395"/>
      <c r="U83" s="1395"/>
      <c r="V83" s="1395"/>
      <c r="W83" s="1395"/>
      <c r="X83" s="1395"/>
      <c r="Y83" s="1395"/>
      <c r="Z83" s="1395"/>
      <c r="AA83" s="1395"/>
      <c r="AB83" s="1395"/>
    </row>
    <row r="84" spans="2:28" s="1420" customFormat="1" ht="21" customHeight="1" x14ac:dyDescent="0.3">
      <c r="B84" s="1419"/>
      <c r="C84" s="1418" t="s">
        <v>1435</v>
      </c>
      <c r="D84" s="1419" t="s">
        <v>1436</v>
      </c>
      <c r="E84" s="1419" t="s">
        <v>1437</v>
      </c>
      <c r="F84" s="1419" t="s">
        <v>1438</v>
      </c>
      <c r="G84" s="1419" t="s">
        <v>1439</v>
      </c>
      <c r="H84" s="1419" t="s">
        <v>1440</v>
      </c>
      <c r="I84" s="1419" t="s">
        <v>1441</v>
      </c>
      <c r="J84" s="1419" t="s">
        <v>1442</v>
      </c>
      <c r="K84" s="1419" t="s">
        <v>1443</v>
      </c>
      <c r="L84" s="1419" t="s">
        <v>1444</v>
      </c>
      <c r="M84" s="1419" t="s">
        <v>1445</v>
      </c>
      <c r="N84" s="1419" t="s">
        <v>1446</v>
      </c>
      <c r="O84" s="1419" t="s">
        <v>1447</v>
      </c>
      <c r="P84" s="1419" t="s">
        <v>1448</v>
      </c>
      <c r="Q84" s="1419" t="s">
        <v>1449</v>
      </c>
      <c r="R84" s="1419" t="s">
        <v>1450</v>
      </c>
      <c r="S84" s="1419" t="s">
        <v>1451</v>
      </c>
      <c r="T84" s="1419" t="s">
        <v>1452</v>
      </c>
      <c r="U84" s="1419" t="s">
        <v>1453</v>
      </c>
      <c r="V84" s="1419" t="s">
        <v>1454</v>
      </c>
      <c r="W84" s="1419" t="s">
        <v>1455</v>
      </c>
      <c r="X84" s="1419" t="s">
        <v>1456</v>
      </c>
      <c r="Y84" s="1419" t="s">
        <v>1457</v>
      </c>
      <c r="Z84" s="1419" t="s">
        <v>1458</v>
      </c>
      <c r="AA84" s="1419" t="s">
        <v>1459</v>
      </c>
      <c r="AB84" s="1419" t="s">
        <v>1460</v>
      </c>
    </row>
    <row r="85" spans="2:28" x14ac:dyDescent="0.3">
      <c r="B85" s="1437" t="s">
        <v>1469</v>
      </c>
      <c r="C85" s="1443">
        <f t="shared" ref="C85:H85" si="2">IF(SI_IP_Units="IP",70,CONVERT(70,"F","C"))</f>
        <v>21.111111111111111</v>
      </c>
      <c r="D85" s="1443">
        <f t="shared" si="2"/>
        <v>21.111111111111111</v>
      </c>
      <c r="E85" s="1443">
        <f t="shared" si="2"/>
        <v>21.111111111111111</v>
      </c>
      <c r="F85" s="1443">
        <f t="shared" si="2"/>
        <v>21.111111111111111</v>
      </c>
      <c r="G85" s="1443">
        <f t="shared" si="2"/>
        <v>21.111111111111111</v>
      </c>
      <c r="H85" s="1443">
        <f t="shared" si="2"/>
        <v>21.111111111111111</v>
      </c>
      <c r="I85" s="1443">
        <f t="shared" ref="I85:Y85" si="3">IF(SI_IP_Units="IP",72,CONVERT(72,"F","C"))</f>
        <v>22.222222222222221</v>
      </c>
      <c r="J85" s="1443">
        <f t="shared" si="3"/>
        <v>22.222222222222221</v>
      </c>
      <c r="K85" s="1443">
        <f t="shared" si="3"/>
        <v>22.222222222222221</v>
      </c>
      <c r="L85" s="1443">
        <f t="shared" si="3"/>
        <v>22.222222222222221</v>
      </c>
      <c r="M85" s="1443">
        <f t="shared" si="3"/>
        <v>22.222222222222221</v>
      </c>
      <c r="N85" s="1443">
        <f t="shared" si="3"/>
        <v>22.222222222222221</v>
      </c>
      <c r="O85" s="1443">
        <f t="shared" si="3"/>
        <v>22.222222222222221</v>
      </c>
      <c r="P85" s="1443">
        <f t="shared" si="3"/>
        <v>22.222222222222221</v>
      </c>
      <c r="Q85" s="1443">
        <f t="shared" si="3"/>
        <v>22.222222222222221</v>
      </c>
      <c r="R85" s="1443">
        <f t="shared" si="3"/>
        <v>22.222222222222221</v>
      </c>
      <c r="S85" s="1443">
        <f t="shared" si="3"/>
        <v>22.222222222222221</v>
      </c>
      <c r="T85" s="1443">
        <f t="shared" si="3"/>
        <v>22.222222222222221</v>
      </c>
      <c r="U85" s="1443">
        <f t="shared" si="3"/>
        <v>22.222222222222221</v>
      </c>
      <c r="V85" s="1443">
        <f t="shared" si="3"/>
        <v>22.222222222222221</v>
      </c>
      <c r="W85" s="1443">
        <f t="shared" si="3"/>
        <v>22.222222222222221</v>
      </c>
      <c r="X85" s="1443">
        <f t="shared" si="3"/>
        <v>22.222222222222221</v>
      </c>
      <c r="Y85" s="1443">
        <f t="shared" si="3"/>
        <v>22.222222222222221</v>
      </c>
      <c r="Z85" s="1443">
        <f>IF(SI_IP_Units="IP",70,CONVERT(70,"F","C"))</f>
        <v>21.111111111111111</v>
      </c>
      <c r="AA85" s="1424">
        <v>24</v>
      </c>
      <c r="AB85" s="1425">
        <v>8760</v>
      </c>
    </row>
    <row r="86" spans="2:28" x14ac:dyDescent="0.3">
      <c r="B86" s="1441" t="s">
        <v>1470</v>
      </c>
      <c r="C86" s="1444">
        <f t="shared" ref="C86:K86" si="4">IF(SI_IP_Units="IP",78,CONVERT(78,"F","C"))</f>
        <v>25.555555555555554</v>
      </c>
      <c r="D86" s="1444">
        <f t="shared" si="4"/>
        <v>25.555555555555554</v>
      </c>
      <c r="E86" s="1444">
        <f t="shared" si="4"/>
        <v>25.555555555555554</v>
      </c>
      <c r="F86" s="1444">
        <f t="shared" si="4"/>
        <v>25.555555555555554</v>
      </c>
      <c r="G86" s="1444">
        <f t="shared" si="4"/>
        <v>25.555555555555554</v>
      </c>
      <c r="H86" s="1444">
        <f t="shared" si="4"/>
        <v>25.555555555555554</v>
      </c>
      <c r="I86" s="1444">
        <f t="shared" si="4"/>
        <v>25.555555555555554</v>
      </c>
      <c r="J86" s="1444">
        <f t="shared" si="4"/>
        <v>25.555555555555554</v>
      </c>
      <c r="K86" s="1444">
        <f t="shared" si="4"/>
        <v>25.555555555555554</v>
      </c>
      <c r="L86" s="1444">
        <f t="shared" ref="L86:Q86" si="5">IF(SI_IP_Units="IP",80,CONVERT(80,"F","C"))</f>
        <v>26.666666666666664</v>
      </c>
      <c r="M86" s="1444">
        <f t="shared" si="5"/>
        <v>26.666666666666664</v>
      </c>
      <c r="N86" s="1444">
        <f t="shared" si="5"/>
        <v>26.666666666666664</v>
      </c>
      <c r="O86" s="1444">
        <f t="shared" si="5"/>
        <v>26.666666666666664</v>
      </c>
      <c r="P86" s="1444">
        <f t="shared" si="5"/>
        <v>26.666666666666664</v>
      </c>
      <c r="Q86" s="1444">
        <f t="shared" si="5"/>
        <v>26.666666666666664</v>
      </c>
      <c r="R86" s="1444">
        <f t="shared" ref="R86:Z86" si="6">IF(SI_IP_Units="IP",78,CONVERT(78,"F","C"))</f>
        <v>25.555555555555554</v>
      </c>
      <c r="S86" s="1444">
        <f t="shared" si="6"/>
        <v>25.555555555555554</v>
      </c>
      <c r="T86" s="1444">
        <f t="shared" si="6"/>
        <v>25.555555555555554</v>
      </c>
      <c r="U86" s="1444">
        <f t="shared" si="6"/>
        <v>25.555555555555554</v>
      </c>
      <c r="V86" s="1444">
        <f t="shared" si="6"/>
        <v>25.555555555555554</v>
      </c>
      <c r="W86" s="1444">
        <f t="shared" si="6"/>
        <v>25.555555555555554</v>
      </c>
      <c r="X86" s="1444">
        <f t="shared" si="6"/>
        <v>25.555555555555554</v>
      </c>
      <c r="Y86" s="1444">
        <f t="shared" si="6"/>
        <v>25.555555555555554</v>
      </c>
      <c r="Z86" s="1444">
        <f t="shared" si="6"/>
        <v>25.555555555555554</v>
      </c>
      <c r="AA86" s="1432">
        <v>24</v>
      </c>
      <c r="AB86" s="1433">
        <v>8760</v>
      </c>
    </row>
    <row r="87" spans="2:28" x14ac:dyDescent="0.3">
      <c r="B87" s="1395"/>
      <c r="C87" s="1395"/>
      <c r="D87" s="1395"/>
      <c r="E87" s="1395"/>
      <c r="F87" s="1395"/>
      <c r="G87" s="1395"/>
      <c r="H87" s="1395"/>
      <c r="I87" s="1395"/>
      <c r="J87" s="1395"/>
      <c r="K87" s="1395"/>
      <c r="L87" s="1395"/>
      <c r="M87" s="1395"/>
      <c r="N87" s="1395"/>
      <c r="O87" s="1395"/>
      <c r="P87" s="1395"/>
      <c r="Q87" s="1395"/>
      <c r="R87" s="1395"/>
      <c r="S87" s="1395"/>
      <c r="T87" s="1395"/>
      <c r="U87" s="1395"/>
      <c r="V87" s="1395"/>
      <c r="W87" s="1395"/>
      <c r="X87" s="1395"/>
      <c r="Y87" s="1395"/>
      <c r="Z87" s="1395"/>
      <c r="AA87" s="1395"/>
      <c r="AB87" s="1395"/>
    </row>
    <row r="88" spans="2:28" ht="15" customHeight="1" x14ac:dyDescent="0.3">
      <c r="B88" s="1395" t="s">
        <v>1434</v>
      </c>
      <c r="C88" s="2099" t="s">
        <v>1612</v>
      </c>
      <c r="D88" s="2100"/>
      <c r="E88" s="2100"/>
      <c r="F88" s="2100"/>
      <c r="G88" s="2100"/>
      <c r="H88" s="2100"/>
      <c r="I88" s="2100"/>
      <c r="J88" s="2100"/>
      <c r="K88" s="2100"/>
      <c r="L88" s="2100"/>
      <c r="M88" s="2100"/>
      <c r="N88" s="2100"/>
      <c r="O88" s="2100"/>
      <c r="P88" s="2100"/>
      <c r="Q88" s="2100"/>
      <c r="R88" s="2100"/>
      <c r="S88" s="2100"/>
      <c r="T88" s="2100"/>
      <c r="U88" s="2100"/>
      <c r="V88" s="2100"/>
      <c r="W88" s="2100"/>
      <c r="X88" s="2100"/>
      <c r="Y88" s="2100"/>
      <c r="Z88" s="2100"/>
      <c r="AA88" s="2100"/>
      <c r="AB88" s="2101"/>
    </row>
    <row r="89" spans="2:28" x14ac:dyDescent="0.3">
      <c r="B89" s="1395"/>
      <c r="C89" s="1395"/>
      <c r="D89" s="1395"/>
      <c r="E89" s="1395"/>
      <c r="F89" s="1395"/>
      <c r="G89" s="1395"/>
      <c r="H89" s="1395"/>
      <c r="I89" s="1395"/>
      <c r="J89" s="1395"/>
      <c r="K89" s="1395"/>
      <c r="L89" s="1395"/>
      <c r="M89" s="1395"/>
      <c r="N89" s="1395"/>
      <c r="O89" s="1395"/>
      <c r="P89" s="1395"/>
      <c r="Q89" s="1395"/>
      <c r="R89" s="1395"/>
      <c r="S89" s="1395"/>
      <c r="T89" s="1395"/>
      <c r="U89" s="1395"/>
      <c r="V89" s="1395"/>
      <c r="W89" s="1395"/>
      <c r="X89" s="1395"/>
      <c r="Y89" s="1395"/>
      <c r="Z89" s="1395"/>
      <c r="AA89" s="1395"/>
      <c r="AB89" s="1395"/>
    </row>
    <row r="90" spans="2:28" s="1420" customFormat="1" ht="21" customHeight="1" x14ac:dyDescent="0.3">
      <c r="B90" s="1419"/>
      <c r="C90" s="1418" t="s">
        <v>1435</v>
      </c>
      <c r="D90" s="1419" t="s">
        <v>1436</v>
      </c>
      <c r="E90" s="1419" t="s">
        <v>1437</v>
      </c>
      <c r="F90" s="1419" t="s">
        <v>1438</v>
      </c>
      <c r="G90" s="1419" t="s">
        <v>1439</v>
      </c>
      <c r="H90" s="1419" t="s">
        <v>1440</v>
      </c>
      <c r="I90" s="1419" t="s">
        <v>1441</v>
      </c>
      <c r="J90" s="1419" t="s">
        <v>1442</v>
      </c>
      <c r="K90" s="1419" t="s">
        <v>1443</v>
      </c>
      <c r="L90" s="1419" t="s">
        <v>1444</v>
      </c>
      <c r="M90" s="1419" t="s">
        <v>1445</v>
      </c>
      <c r="N90" s="1419" t="s">
        <v>1446</v>
      </c>
      <c r="O90" s="1419" t="s">
        <v>1447</v>
      </c>
      <c r="P90" s="1419" t="s">
        <v>1448</v>
      </c>
      <c r="Q90" s="1419" t="s">
        <v>1449</v>
      </c>
      <c r="R90" s="1419" t="s">
        <v>1450</v>
      </c>
      <c r="S90" s="1419" t="s">
        <v>1451</v>
      </c>
      <c r="T90" s="1419" t="s">
        <v>1452</v>
      </c>
      <c r="U90" s="1419" t="s">
        <v>1453</v>
      </c>
      <c r="V90" s="1419" t="s">
        <v>1454</v>
      </c>
      <c r="W90" s="1419" t="s">
        <v>1455</v>
      </c>
      <c r="X90" s="1419" t="s">
        <v>1456</v>
      </c>
      <c r="Y90" s="1419" t="s">
        <v>1457</v>
      </c>
      <c r="Z90" s="1419" t="s">
        <v>1458</v>
      </c>
      <c r="AA90" s="1419" t="s">
        <v>1466</v>
      </c>
      <c r="AB90" s="1419" t="s">
        <v>1467</v>
      </c>
    </row>
    <row r="91" spans="2:28" x14ac:dyDescent="0.3">
      <c r="B91" s="1437" t="s">
        <v>1461</v>
      </c>
      <c r="C91" s="1445">
        <v>1.6E-2</v>
      </c>
      <c r="D91" s="1445">
        <v>1.6E-2</v>
      </c>
      <c r="E91" s="1445">
        <v>1.6E-2</v>
      </c>
      <c r="F91" s="1445">
        <v>1.6E-2</v>
      </c>
      <c r="G91" s="1445">
        <v>1.6E-2</v>
      </c>
      <c r="H91" s="1445">
        <v>1.6E-2</v>
      </c>
      <c r="I91" s="1445">
        <v>7.6999999999999999E-2</v>
      </c>
      <c r="J91" s="1445">
        <v>0.14000000000000001</v>
      </c>
      <c r="K91" s="1445">
        <v>0.14000000000000001</v>
      </c>
      <c r="L91" s="1445">
        <v>0.108</v>
      </c>
      <c r="M91" s="1445">
        <v>0.108</v>
      </c>
      <c r="N91" s="1445">
        <v>0.108</v>
      </c>
      <c r="O91" s="1445">
        <v>7.6999999999999999E-2</v>
      </c>
      <c r="P91" s="1445">
        <v>7.6999999999999999E-2</v>
      </c>
      <c r="Q91" s="1445">
        <v>7.6999999999999999E-2</v>
      </c>
      <c r="R91" s="1445">
        <v>7.6999999999999999E-2</v>
      </c>
      <c r="S91" s="1445">
        <v>7.6999999999999999E-2</v>
      </c>
      <c r="T91" s="1445">
        <v>0.108</v>
      </c>
      <c r="U91" s="1445">
        <v>0.217</v>
      </c>
      <c r="V91" s="1445">
        <v>0.217</v>
      </c>
      <c r="W91" s="1445">
        <v>0.217</v>
      </c>
      <c r="X91" s="1445">
        <v>0.217</v>
      </c>
      <c r="Y91" s="1445">
        <v>0.186</v>
      </c>
      <c r="Z91" s="1445">
        <v>1.6E-2</v>
      </c>
      <c r="AA91" s="1424">
        <f>SUM(C91:Z91)</f>
        <v>2.3400000000000003</v>
      </c>
      <c r="AB91" s="1425">
        <f>AA91*SUM($C$9:$C$13)</f>
        <v>585.00000000000011</v>
      </c>
    </row>
    <row r="92" spans="2:28" x14ac:dyDescent="0.3">
      <c r="B92" s="1439" t="s">
        <v>1462</v>
      </c>
      <c r="C92" s="1446">
        <v>1.6E-2</v>
      </c>
      <c r="D92" s="1446">
        <v>1.6E-2</v>
      </c>
      <c r="E92" s="1446">
        <v>1.6E-2</v>
      </c>
      <c r="F92" s="1446">
        <v>1.6E-2</v>
      </c>
      <c r="G92" s="1446">
        <v>1.6E-2</v>
      </c>
      <c r="H92" s="1446">
        <v>1.6E-2</v>
      </c>
      <c r="I92" s="1446">
        <v>7.6999999999999999E-2</v>
      </c>
      <c r="J92" s="1446">
        <v>0.14000000000000001</v>
      </c>
      <c r="K92" s="1446">
        <v>0.14000000000000001</v>
      </c>
      <c r="L92" s="1446">
        <v>0.108</v>
      </c>
      <c r="M92" s="1446">
        <v>0.108</v>
      </c>
      <c r="N92" s="1446">
        <v>0.108</v>
      </c>
      <c r="O92" s="1446">
        <v>7.6999999999999999E-2</v>
      </c>
      <c r="P92" s="1446">
        <v>7.6999999999999999E-2</v>
      </c>
      <c r="Q92" s="1446">
        <v>7.6999999999999999E-2</v>
      </c>
      <c r="R92" s="1446">
        <v>7.6999999999999999E-2</v>
      </c>
      <c r="S92" s="1446">
        <v>7.6999999999999999E-2</v>
      </c>
      <c r="T92" s="1446">
        <v>0.108</v>
      </c>
      <c r="U92" s="1446">
        <v>0.217</v>
      </c>
      <c r="V92" s="1446">
        <v>0.217</v>
      </c>
      <c r="W92" s="1446">
        <v>0.217</v>
      </c>
      <c r="X92" s="1446">
        <v>0.217</v>
      </c>
      <c r="Y92" s="1446">
        <v>0.186</v>
      </c>
      <c r="Z92" s="1446">
        <v>1.6E-2</v>
      </c>
      <c r="AA92" s="1428">
        <f>SUM(C92:Z92)</f>
        <v>2.3400000000000003</v>
      </c>
      <c r="AB92" s="1429">
        <f>AA92*SUM($C$14:$C$15)</f>
        <v>243.36000000000004</v>
      </c>
    </row>
    <row r="93" spans="2:28" x14ac:dyDescent="0.3">
      <c r="B93" s="1441" t="s">
        <v>1463</v>
      </c>
      <c r="C93" s="1447">
        <v>1.6E-2</v>
      </c>
      <c r="D93" s="1447">
        <v>1.6E-2</v>
      </c>
      <c r="E93" s="1447">
        <v>1.6E-2</v>
      </c>
      <c r="F93" s="1447">
        <v>1.6E-2</v>
      </c>
      <c r="G93" s="1447">
        <v>1.6E-2</v>
      </c>
      <c r="H93" s="1447">
        <v>1.6E-2</v>
      </c>
      <c r="I93" s="1447">
        <v>7.6999999999999999E-2</v>
      </c>
      <c r="J93" s="1447">
        <v>0.14000000000000001</v>
      </c>
      <c r="K93" s="1447">
        <v>0.14000000000000001</v>
      </c>
      <c r="L93" s="1447">
        <v>0.108</v>
      </c>
      <c r="M93" s="1447">
        <v>0.108</v>
      </c>
      <c r="N93" s="1447">
        <v>0.108</v>
      </c>
      <c r="O93" s="1447">
        <v>7.6999999999999999E-2</v>
      </c>
      <c r="P93" s="1447">
        <v>7.6999999999999999E-2</v>
      </c>
      <c r="Q93" s="1447">
        <v>7.6999999999999999E-2</v>
      </c>
      <c r="R93" s="1447">
        <v>7.6999999999999999E-2</v>
      </c>
      <c r="S93" s="1447">
        <v>7.6999999999999999E-2</v>
      </c>
      <c r="T93" s="1447">
        <v>0.108</v>
      </c>
      <c r="U93" s="1447">
        <v>0.217</v>
      </c>
      <c r="V93" s="1447">
        <v>0.217</v>
      </c>
      <c r="W93" s="1447">
        <v>0.217</v>
      </c>
      <c r="X93" s="1447">
        <v>0.217</v>
      </c>
      <c r="Y93" s="1447">
        <v>0.186</v>
      </c>
      <c r="Z93" s="1447">
        <v>1.6E-2</v>
      </c>
      <c r="AA93" s="1432">
        <f>SUM(C93:Z93)</f>
        <v>2.3400000000000003</v>
      </c>
      <c r="AB93" s="1433">
        <f>AA93*$C$8</f>
        <v>25.740000000000002</v>
      </c>
    </row>
    <row r="94" spans="2:28" x14ac:dyDescent="0.3">
      <c r="B94" s="2102" t="s">
        <v>1468</v>
      </c>
      <c r="C94" s="2103"/>
      <c r="D94" s="2103"/>
      <c r="E94" s="2103"/>
      <c r="F94" s="2103"/>
      <c r="G94" s="2103"/>
      <c r="H94" s="2103"/>
      <c r="I94" s="2103"/>
      <c r="J94" s="2103"/>
      <c r="K94" s="2103"/>
      <c r="L94" s="2103"/>
      <c r="M94" s="2103"/>
      <c r="N94" s="2103"/>
      <c r="O94" s="2103"/>
      <c r="P94" s="2103"/>
      <c r="Q94" s="2103"/>
      <c r="R94" s="2103"/>
      <c r="S94" s="2103"/>
      <c r="T94" s="2103"/>
      <c r="U94" s="2103"/>
      <c r="V94" s="2103"/>
      <c r="W94" s="2103"/>
      <c r="X94" s="2103"/>
      <c r="Y94" s="2103"/>
      <c r="Z94" s="2103"/>
      <c r="AA94" s="2103"/>
      <c r="AB94" s="1421">
        <f>SUM(AB91:AB93)</f>
        <v>854.10000000000014</v>
      </c>
    </row>
    <row r="95" spans="2:28" x14ac:dyDescent="0.3">
      <c r="B95" s="1395"/>
      <c r="C95" s="1395"/>
      <c r="D95" s="1395"/>
      <c r="E95" s="1395"/>
      <c r="F95" s="1395"/>
      <c r="G95" s="1395"/>
      <c r="H95" s="1395"/>
      <c r="I95" s="1395"/>
      <c r="J95" s="1395"/>
      <c r="K95" s="1395"/>
      <c r="L95" s="1395"/>
      <c r="M95" s="1395"/>
      <c r="N95" s="1395"/>
      <c r="O95" s="1395"/>
      <c r="P95" s="1395"/>
      <c r="Q95" s="1395"/>
      <c r="R95" s="1395"/>
      <c r="S95" s="1395"/>
      <c r="T95" s="1395"/>
      <c r="U95" s="1395"/>
      <c r="V95" s="1395"/>
      <c r="W95" s="1395"/>
      <c r="X95" s="1395"/>
      <c r="Y95" s="1395"/>
      <c r="Z95" s="1395"/>
      <c r="AA95" s="1395"/>
      <c r="AB95" s="1395"/>
    </row>
    <row r="96" spans="2:28" ht="15" customHeight="1" x14ac:dyDescent="0.3">
      <c r="B96" s="1395" t="s">
        <v>1434</v>
      </c>
      <c r="C96" s="2099" t="s">
        <v>1613</v>
      </c>
      <c r="D96" s="2100"/>
      <c r="E96" s="2100"/>
      <c r="F96" s="2100"/>
      <c r="G96" s="2100"/>
      <c r="H96" s="2100"/>
      <c r="I96" s="2100"/>
      <c r="J96" s="2100"/>
      <c r="K96" s="2100"/>
      <c r="L96" s="2100"/>
      <c r="M96" s="2100"/>
      <c r="N96" s="2100"/>
      <c r="O96" s="2100"/>
      <c r="P96" s="2100"/>
      <c r="Q96" s="2100"/>
      <c r="R96" s="2100"/>
      <c r="S96" s="2100"/>
      <c r="T96" s="2100"/>
      <c r="U96" s="2100"/>
      <c r="V96" s="2100"/>
      <c r="W96" s="2100"/>
      <c r="X96" s="2100"/>
      <c r="Y96" s="2100"/>
      <c r="Z96" s="2100"/>
      <c r="AA96" s="2100"/>
      <c r="AB96" s="2101"/>
    </row>
    <row r="97" spans="2:28" x14ac:dyDescent="0.3">
      <c r="B97" s="1395"/>
      <c r="C97" s="1395"/>
      <c r="D97" s="1395"/>
      <c r="E97" s="1395"/>
      <c r="F97" s="1395"/>
      <c r="G97" s="1395"/>
      <c r="H97" s="1395"/>
      <c r="I97" s="1395"/>
      <c r="J97" s="1395"/>
      <c r="K97" s="1395"/>
      <c r="L97" s="1395"/>
      <c r="M97" s="1395"/>
      <c r="N97" s="1395"/>
      <c r="O97" s="1395"/>
      <c r="P97" s="1395"/>
      <c r="Q97" s="1395"/>
      <c r="R97" s="1395"/>
      <c r="S97" s="1395"/>
      <c r="T97" s="1395"/>
      <c r="U97" s="1395"/>
      <c r="V97" s="1395"/>
      <c r="W97" s="1395"/>
      <c r="X97" s="1395"/>
      <c r="Y97" s="1395"/>
      <c r="Z97" s="1395"/>
      <c r="AA97" s="1395"/>
      <c r="AB97" s="1395"/>
    </row>
    <row r="98" spans="2:28" s="1420" customFormat="1" ht="21" customHeight="1" x14ac:dyDescent="0.3">
      <c r="B98" s="1419"/>
      <c r="C98" s="1418" t="s">
        <v>1435</v>
      </c>
      <c r="D98" s="1419" t="s">
        <v>1436</v>
      </c>
      <c r="E98" s="1419" t="s">
        <v>1437</v>
      </c>
      <c r="F98" s="1419" t="s">
        <v>1438</v>
      </c>
      <c r="G98" s="1419" t="s">
        <v>1439</v>
      </c>
      <c r="H98" s="1419" t="s">
        <v>1440</v>
      </c>
      <c r="I98" s="1419" t="s">
        <v>1441</v>
      </c>
      <c r="J98" s="1419" t="s">
        <v>1442</v>
      </c>
      <c r="K98" s="1419" t="s">
        <v>1443</v>
      </c>
      <c r="L98" s="1419" t="s">
        <v>1444</v>
      </c>
      <c r="M98" s="1419" t="s">
        <v>1445</v>
      </c>
      <c r="N98" s="1419" t="s">
        <v>1446</v>
      </c>
      <c r="O98" s="1419" t="s">
        <v>1447</v>
      </c>
      <c r="P98" s="1419" t="s">
        <v>1448</v>
      </c>
      <c r="Q98" s="1419" t="s">
        <v>1449</v>
      </c>
      <c r="R98" s="1419" t="s">
        <v>1450</v>
      </c>
      <c r="S98" s="1419" t="s">
        <v>1451</v>
      </c>
      <c r="T98" s="1419" t="s">
        <v>1452</v>
      </c>
      <c r="U98" s="1419" t="s">
        <v>1453</v>
      </c>
      <c r="V98" s="1419" t="s">
        <v>1454</v>
      </c>
      <c r="W98" s="1419" t="s">
        <v>1455</v>
      </c>
      <c r="X98" s="1419" t="s">
        <v>1456</v>
      </c>
      <c r="Y98" s="1419" t="s">
        <v>1457</v>
      </c>
      <c r="Z98" s="1419" t="s">
        <v>1458</v>
      </c>
      <c r="AA98" s="1419" t="s">
        <v>1466</v>
      </c>
      <c r="AB98" s="1419" t="s">
        <v>1467</v>
      </c>
    </row>
    <row r="99" spans="2:28" x14ac:dyDescent="0.3">
      <c r="B99" s="1437" t="s">
        <v>1461</v>
      </c>
      <c r="C99" s="1448">
        <v>0.05</v>
      </c>
      <c r="D99" s="1448">
        <v>0.05</v>
      </c>
      <c r="E99" s="1448">
        <v>0.05</v>
      </c>
      <c r="F99" s="1448">
        <v>0.05</v>
      </c>
      <c r="G99" s="1448">
        <v>0.05</v>
      </c>
      <c r="H99" s="1448">
        <v>0.05</v>
      </c>
      <c r="I99" s="1448">
        <v>0.05</v>
      </c>
      <c r="J99" s="1448">
        <v>0.05</v>
      </c>
      <c r="K99" s="1448">
        <v>0.5</v>
      </c>
      <c r="L99" s="1448">
        <v>0.5</v>
      </c>
      <c r="M99" s="1448">
        <v>0.5</v>
      </c>
      <c r="N99" s="1448">
        <v>0.5</v>
      </c>
      <c r="O99" s="1448">
        <v>0.3</v>
      </c>
      <c r="P99" s="1448">
        <v>0.5</v>
      </c>
      <c r="Q99" s="1448">
        <v>0.5</v>
      </c>
      <c r="R99" s="1448">
        <v>0.5</v>
      </c>
      <c r="S99" s="1448">
        <v>0.5</v>
      </c>
      <c r="T99" s="1448">
        <v>0.5</v>
      </c>
      <c r="U99" s="1448">
        <v>0.35</v>
      </c>
      <c r="V99" s="1448">
        <v>0.05</v>
      </c>
      <c r="W99" s="1448">
        <v>0.05</v>
      </c>
      <c r="X99" s="1448">
        <v>0.05</v>
      </c>
      <c r="Y99" s="1448">
        <v>0.05</v>
      </c>
      <c r="Z99" s="1448">
        <v>0.05</v>
      </c>
      <c r="AA99" s="1424">
        <f>SUM(C99:Z99)</f>
        <v>5.799999999999998</v>
      </c>
      <c r="AB99" s="1425">
        <f>AA99*SUM($C$9:$C$13)</f>
        <v>1449.9999999999995</v>
      </c>
    </row>
    <row r="100" spans="2:28" x14ac:dyDescent="0.3">
      <c r="B100" s="1439" t="s">
        <v>1462</v>
      </c>
      <c r="C100" s="1449">
        <v>0.05</v>
      </c>
      <c r="D100" s="1449">
        <v>0.05</v>
      </c>
      <c r="E100" s="1449">
        <v>0.05</v>
      </c>
      <c r="F100" s="1449">
        <v>0.05</v>
      </c>
      <c r="G100" s="1449">
        <v>0.05</v>
      </c>
      <c r="H100" s="1449">
        <v>0.05</v>
      </c>
      <c r="I100" s="1449">
        <v>0.05</v>
      </c>
      <c r="J100" s="1449">
        <v>0.05</v>
      </c>
      <c r="K100" s="1449">
        <v>0.5</v>
      </c>
      <c r="L100" s="1449">
        <v>0.5</v>
      </c>
      <c r="M100" s="1449">
        <v>0.5</v>
      </c>
      <c r="N100" s="1449">
        <v>0.5</v>
      </c>
      <c r="O100" s="1449">
        <v>0.3</v>
      </c>
      <c r="P100" s="1449">
        <v>0.5</v>
      </c>
      <c r="Q100" s="1449">
        <v>0.5</v>
      </c>
      <c r="R100" s="1449">
        <v>0.5</v>
      </c>
      <c r="S100" s="1449">
        <v>0.5</v>
      </c>
      <c r="T100" s="1449">
        <v>0.5</v>
      </c>
      <c r="U100" s="1449">
        <v>0.35</v>
      </c>
      <c r="V100" s="1449">
        <v>0.05</v>
      </c>
      <c r="W100" s="1449">
        <v>0.05</v>
      </c>
      <c r="X100" s="1449">
        <v>0.05</v>
      </c>
      <c r="Y100" s="1449">
        <v>0.05</v>
      </c>
      <c r="Z100" s="1449">
        <v>0.05</v>
      </c>
      <c r="AA100" s="1428">
        <f>SUM(C100:Z100)</f>
        <v>5.799999999999998</v>
      </c>
      <c r="AB100" s="1429">
        <f>AA100*SUM($C$14:$C$15)</f>
        <v>603.19999999999982</v>
      </c>
    </row>
    <row r="101" spans="2:28" x14ac:dyDescent="0.3">
      <c r="B101" s="1441" t="s">
        <v>1463</v>
      </c>
      <c r="C101" s="1450">
        <v>0.05</v>
      </c>
      <c r="D101" s="1450">
        <v>0.05</v>
      </c>
      <c r="E101" s="1450">
        <v>0.05</v>
      </c>
      <c r="F101" s="1450">
        <v>0.05</v>
      </c>
      <c r="G101" s="1450">
        <v>0.05</v>
      </c>
      <c r="H101" s="1450">
        <v>0.05</v>
      </c>
      <c r="I101" s="1450">
        <v>0.05</v>
      </c>
      <c r="J101" s="1450">
        <v>0.05</v>
      </c>
      <c r="K101" s="1450">
        <v>0.5</v>
      </c>
      <c r="L101" s="1450">
        <v>0.5</v>
      </c>
      <c r="M101" s="1450">
        <v>0.5</v>
      </c>
      <c r="N101" s="1450">
        <v>0.5</v>
      </c>
      <c r="O101" s="1450">
        <v>0.3</v>
      </c>
      <c r="P101" s="1450">
        <v>0.5</v>
      </c>
      <c r="Q101" s="1450">
        <v>0.5</v>
      </c>
      <c r="R101" s="1450">
        <v>0.5</v>
      </c>
      <c r="S101" s="1450">
        <v>0.5</v>
      </c>
      <c r="T101" s="1450">
        <v>0.5</v>
      </c>
      <c r="U101" s="1450">
        <v>0.35</v>
      </c>
      <c r="V101" s="1450">
        <v>0.05</v>
      </c>
      <c r="W101" s="1450">
        <v>0.05</v>
      </c>
      <c r="X101" s="1450">
        <v>0.05</v>
      </c>
      <c r="Y101" s="1450">
        <v>0.05</v>
      </c>
      <c r="Z101" s="1450">
        <v>0.05</v>
      </c>
      <c r="AA101" s="1432">
        <f>SUM(C101:Z101)</f>
        <v>5.799999999999998</v>
      </c>
      <c r="AB101" s="1433">
        <f>AA101*$C$8</f>
        <v>63.799999999999976</v>
      </c>
    </row>
    <row r="102" spans="2:28" x14ac:dyDescent="0.3">
      <c r="B102" s="2102" t="s">
        <v>1468</v>
      </c>
      <c r="C102" s="2103"/>
      <c r="D102" s="2103"/>
      <c r="E102" s="2103"/>
      <c r="F102" s="2103"/>
      <c r="G102" s="2103"/>
      <c r="H102" s="2103"/>
      <c r="I102" s="2103"/>
      <c r="J102" s="2103"/>
      <c r="K102" s="2103"/>
      <c r="L102" s="2103"/>
      <c r="M102" s="2103"/>
      <c r="N102" s="2103"/>
      <c r="O102" s="2103"/>
      <c r="P102" s="2103"/>
      <c r="Q102" s="2103"/>
      <c r="R102" s="2103"/>
      <c r="S102" s="2103"/>
      <c r="T102" s="2103"/>
      <c r="U102" s="2103"/>
      <c r="V102" s="2103"/>
      <c r="W102" s="2103"/>
      <c r="X102" s="2103"/>
      <c r="Y102" s="2103"/>
      <c r="Z102" s="2103"/>
      <c r="AA102" s="2103"/>
      <c r="AB102" s="1421">
        <f>SUM(AB99:AB101)</f>
        <v>2116.9999999999995</v>
      </c>
    </row>
    <row r="103" spans="2:28" x14ac:dyDescent="0.3">
      <c r="B103" s="1395"/>
      <c r="C103" s="1395"/>
      <c r="D103" s="1395"/>
      <c r="E103" s="1395"/>
      <c r="F103" s="1395"/>
      <c r="G103" s="1395"/>
      <c r="H103" s="1395"/>
      <c r="I103" s="1395"/>
      <c r="J103" s="1395"/>
      <c r="K103" s="1395"/>
      <c r="L103" s="1395"/>
      <c r="M103" s="1395"/>
      <c r="N103" s="1395"/>
      <c r="O103" s="1395"/>
      <c r="P103" s="1395"/>
      <c r="Q103" s="1395"/>
      <c r="R103" s="1395"/>
      <c r="S103" s="1395"/>
      <c r="T103" s="1395"/>
      <c r="U103" s="1395"/>
      <c r="V103" s="1395"/>
      <c r="W103" s="1395"/>
      <c r="X103" s="1395"/>
      <c r="Y103" s="1395"/>
      <c r="Z103" s="1395"/>
      <c r="AA103" s="1395"/>
      <c r="AB103" s="1395"/>
    </row>
    <row r="104" spans="2:28" ht="15" customHeight="1" x14ac:dyDescent="0.3">
      <c r="B104" s="1395" t="s">
        <v>1434</v>
      </c>
      <c r="C104" s="2099" t="s">
        <v>1614</v>
      </c>
      <c r="D104" s="2100"/>
      <c r="E104" s="2100"/>
      <c r="F104" s="2100"/>
      <c r="G104" s="2100"/>
      <c r="H104" s="2100"/>
      <c r="I104" s="2100"/>
      <c r="J104" s="2100"/>
      <c r="K104" s="2100"/>
      <c r="L104" s="2100"/>
      <c r="M104" s="2100"/>
      <c r="N104" s="2100"/>
      <c r="O104" s="2100"/>
      <c r="P104" s="2100"/>
      <c r="Q104" s="2100"/>
      <c r="R104" s="2100"/>
      <c r="S104" s="2100"/>
      <c r="T104" s="2100"/>
      <c r="U104" s="2100"/>
      <c r="V104" s="2100"/>
      <c r="W104" s="2100"/>
      <c r="X104" s="2100"/>
      <c r="Y104" s="2100"/>
      <c r="Z104" s="2100"/>
      <c r="AA104" s="2100"/>
      <c r="AB104" s="2101"/>
    </row>
    <row r="105" spans="2:28" x14ac:dyDescent="0.3">
      <c r="B105" s="1395"/>
      <c r="C105" s="1395"/>
      <c r="D105" s="1395"/>
      <c r="E105" s="1395"/>
      <c r="F105" s="1395"/>
      <c r="G105" s="1395"/>
      <c r="H105" s="1395"/>
      <c r="I105" s="1395"/>
      <c r="J105" s="1395"/>
      <c r="K105" s="1395"/>
      <c r="L105" s="1395"/>
      <c r="M105" s="1395"/>
      <c r="N105" s="1395"/>
      <c r="O105" s="1395"/>
      <c r="P105" s="1395"/>
      <c r="Q105" s="1395"/>
      <c r="R105" s="1395"/>
      <c r="S105" s="1395"/>
      <c r="T105" s="1395"/>
      <c r="U105" s="1395"/>
      <c r="V105" s="1395"/>
      <c r="W105" s="1395"/>
      <c r="X105" s="1395"/>
      <c r="Y105" s="1395"/>
      <c r="Z105" s="1395"/>
      <c r="AA105" s="1395"/>
      <c r="AB105" s="1395"/>
    </row>
    <row r="106" spans="2:28" s="1420" customFormat="1" ht="21" customHeight="1" x14ac:dyDescent="0.3">
      <c r="B106" s="1419"/>
      <c r="C106" s="1418" t="s">
        <v>1435</v>
      </c>
      <c r="D106" s="1419" t="s">
        <v>1436</v>
      </c>
      <c r="E106" s="1419" t="s">
        <v>1437</v>
      </c>
      <c r="F106" s="1419" t="s">
        <v>1438</v>
      </c>
      <c r="G106" s="1419" t="s">
        <v>1439</v>
      </c>
      <c r="H106" s="1419" t="s">
        <v>1440</v>
      </c>
      <c r="I106" s="1419" t="s">
        <v>1441</v>
      </c>
      <c r="J106" s="1419" t="s">
        <v>1442</v>
      </c>
      <c r="K106" s="1419" t="s">
        <v>1443</v>
      </c>
      <c r="L106" s="1419" t="s">
        <v>1444</v>
      </c>
      <c r="M106" s="1419" t="s">
        <v>1445</v>
      </c>
      <c r="N106" s="1419" t="s">
        <v>1446</v>
      </c>
      <c r="O106" s="1419" t="s">
        <v>1447</v>
      </c>
      <c r="P106" s="1419" t="s">
        <v>1448</v>
      </c>
      <c r="Q106" s="1419" t="s">
        <v>1449</v>
      </c>
      <c r="R106" s="1419" t="s">
        <v>1450</v>
      </c>
      <c r="S106" s="1419" t="s">
        <v>1451</v>
      </c>
      <c r="T106" s="1419" t="s">
        <v>1452</v>
      </c>
      <c r="U106" s="1419" t="s">
        <v>1453</v>
      </c>
      <c r="V106" s="1419" t="s">
        <v>1454</v>
      </c>
      <c r="W106" s="1419" t="s">
        <v>1455</v>
      </c>
      <c r="X106" s="1419" t="s">
        <v>1456</v>
      </c>
      <c r="Y106" s="1419" t="s">
        <v>1457</v>
      </c>
      <c r="Z106" s="1419" t="s">
        <v>1458</v>
      </c>
      <c r="AA106" s="1419" t="s">
        <v>1466</v>
      </c>
      <c r="AB106" s="1419" t="s">
        <v>1467</v>
      </c>
    </row>
    <row r="107" spans="2:28" x14ac:dyDescent="0.3">
      <c r="B107" s="1437" t="s">
        <v>1461</v>
      </c>
      <c r="C107" s="1448">
        <v>0.1</v>
      </c>
      <c r="D107" s="1448">
        <v>0.1</v>
      </c>
      <c r="E107" s="1448">
        <v>0.1</v>
      </c>
      <c r="F107" s="1448">
        <v>0.1</v>
      </c>
      <c r="G107" s="1448">
        <v>0.1</v>
      </c>
      <c r="H107" s="1448">
        <v>0.3</v>
      </c>
      <c r="I107" s="1448">
        <v>0.45</v>
      </c>
      <c r="J107" s="1448">
        <v>0.45</v>
      </c>
      <c r="K107" s="1448">
        <v>0.45</v>
      </c>
      <c r="L107" s="1448">
        <v>0.45</v>
      </c>
      <c r="M107" s="1448">
        <v>0.3</v>
      </c>
      <c r="N107" s="1448">
        <v>0.3</v>
      </c>
      <c r="O107" s="1448">
        <v>0.3</v>
      </c>
      <c r="P107" s="1448">
        <v>0.3</v>
      </c>
      <c r="Q107" s="1448">
        <v>0.3</v>
      </c>
      <c r="R107" s="1448">
        <v>0.3</v>
      </c>
      <c r="S107" s="1448">
        <v>0.3</v>
      </c>
      <c r="T107" s="1448">
        <v>0.3</v>
      </c>
      <c r="U107" s="1448">
        <v>0.6</v>
      </c>
      <c r="V107" s="1448">
        <v>0.8</v>
      </c>
      <c r="W107" s="1448">
        <v>0.9</v>
      </c>
      <c r="X107" s="1448">
        <v>0.8</v>
      </c>
      <c r="Y107" s="1448">
        <v>0.6</v>
      </c>
      <c r="Z107" s="1448">
        <v>0.3</v>
      </c>
      <c r="AA107" s="1424">
        <f>SUM(C107:Z107)</f>
        <v>9</v>
      </c>
      <c r="AB107" s="1425">
        <f>AA107*SUM($C$9:$C$13)</f>
        <v>2250</v>
      </c>
    </row>
    <row r="108" spans="2:28" x14ac:dyDescent="0.3">
      <c r="B108" s="1439" t="s">
        <v>1462</v>
      </c>
      <c r="C108" s="1449">
        <v>0.1</v>
      </c>
      <c r="D108" s="1449">
        <v>0.1</v>
      </c>
      <c r="E108" s="1449">
        <v>0.1</v>
      </c>
      <c r="F108" s="1449">
        <v>0.1</v>
      </c>
      <c r="G108" s="1449">
        <v>0.1</v>
      </c>
      <c r="H108" s="1449">
        <v>0.3</v>
      </c>
      <c r="I108" s="1449">
        <v>0.45</v>
      </c>
      <c r="J108" s="1449">
        <v>0.45</v>
      </c>
      <c r="K108" s="1449">
        <v>0.45</v>
      </c>
      <c r="L108" s="1449">
        <v>0.45</v>
      </c>
      <c r="M108" s="1449">
        <v>0.3</v>
      </c>
      <c r="N108" s="1449">
        <v>0.3</v>
      </c>
      <c r="O108" s="1449">
        <v>0.3</v>
      </c>
      <c r="P108" s="1449">
        <v>0.3</v>
      </c>
      <c r="Q108" s="1449">
        <v>0.3</v>
      </c>
      <c r="R108" s="1449">
        <v>0.3</v>
      </c>
      <c r="S108" s="1449">
        <v>0.3</v>
      </c>
      <c r="T108" s="1449">
        <v>0.3</v>
      </c>
      <c r="U108" s="1449">
        <v>0.6</v>
      </c>
      <c r="V108" s="1449">
        <v>0.8</v>
      </c>
      <c r="W108" s="1449">
        <v>0.9</v>
      </c>
      <c r="X108" s="1449">
        <v>0.8</v>
      </c>
      <c r="Y108" s="1449">
        <v>0.6</v>
      </c>
      <c r="Z108" s="1449">
        <v>0.3</v>
      </c>
      <c r="AA108" s="1428">
        <f>SUM(C108:Z108)</f>
        <v>9</v>
      </c>
      <c r="AB108" s="1429">
        <f>AA108*SUM($C$14:$C$15)</f>
        <v>936</v>
      </c>
    </row>
    <row r="109" spans="2:28" x14ac:dyDescent="0.3">
      <c r="B109" s="1441" t="s">
        <v>1463</v>
      </c>
      <c r="C109" s="1450">
        <v>0.1</v>
      </c>
      <c r="D109" s="1450">
        <v>0.1</v>
      </c>
      <c r="E109" s="1450">
        <v>0.1</v>
      </c>
      <c r="F109" s="1450">
        <v>0.1</v>
      </c>
      <c r="G109" s="1450">
        <v>0.1</v>
      </c>
      <c r="H109" s="1450">
        <v>0.3</v>
      </c>
      <c r="I109" s="1450">
        <v>0.45</v>
      </c>
      <c r="J109" s="1450">
        <v>0.45</v>
      </c>
      <c r="K109" s="1450">
        <v>0.45</v>
      </c>
      <c r="L109" s="1450">
        <v>0.45</v>
      </c>
      <c r="M109" s="1450">
        <v>0.3</v>
      </c>
      <c r="N109" s="1450">
        <v>0.3</v>
      </c>
      <c r="O109" s="1450">
        <v>0.3</v>
      </c>
      <c r="P109" s="1450">
        <v>0.3</v>
      </c>
      <c r="Q109" s="1450">
        <v>0.3</v>
      </c>
      <c r="R109" s="1450">
        <v>0.3</v>
      </c>
      <c r="S109" s="1450">
        <v>0.3</v>
      </c>
      <c r="T109" s="1450">
        <v>0.3</v>
      </c>
      <c r="U109" s="1450">
        <v>0.6</v>
      </c>
      <c r="V109" s="1450">
        <v>0.8</v>
      </c>
      <c r="W109" s="1450">
        <v>0.9</v>
      </c>
      <c r="X109" s="1450">
        <v>0.8</v>
      </c>
      <c r="Y109" s="1450">
        <v>0.6</v>
      </c>
      <c r="Z109" s="1450">
        <v>0.3</v>
      </c>
      <c r="AA109" s="1432">
        <f>SUM(C109:Z109)</f>
        <v>9</v>
      </c>
      <c r="AB109" s="1433">
        <f>AA109*$C$8</f>
        <v>99</v>
      </c>
    </row>
    <row r="110" spans="2:28" x14ac:dyDescent="0.3">
      <c r="B110" s="2102" t="s">
        <v>1468</v>
      </c>
      <c r="C110" s="2103"/>
      <c r="D110" s="2103"/>
      <c r="E110" s="2103"/>
      <c r="F110" s="2103"/>
      <c r="G110" s="2103"/>
      <c r="H110" s="2103"/>
      <c r="I110" s="2103"/>
      <c r="J110" s="2103"/>
      <c r="K110" s="2103"/>
      <c r="L110" s="2103"/>
      <c r="M110" s="2103"/>
      <c r="N110" s="2103"/>
      <c r="O110" s="2103"/>
      <c r="P110" s="2103"/>
      <c r="Q110" s="2103"/>
      <c r="R110" s="2103"/>
      <c r="S110" s="2103"/>
      <c r="T110" s="2103"/>
      <c r="U110" s="2103"/>
      <c r="V110" s="2103"/>
      <c r="W110" s="2103"/>
      <c r="X110" s="2103"/>
      <c r="Y110" s="2103"/>
      <c r="Z110" s="2103"/>
      <c r="AA110" s="2103"/>
      <c r="AB110" s="1421">
        <f>SUM(AB107:AB109)</f>
        <v>3285</v>
      </c>
    </row>
    <row r="111" spans="2:28" x14ac:dyDescent="0.3">
      <c r="B111" s="1395"/>
      <c r="C111" s="1395"/>
      <c r="D111" s="1395"/>
      <c r="E111" s="1395"/>
      <c r="F111" s="1395"/>
      <c r="G111" s="1395"/>
      <c r="H111" s="1395"/>
      <c r="I111" s="1395"/>
      <c r="J111" s="1395"/>
      <c r="K111" s="1395"/>
      <c r="L111" s="1395"/>
      <c r="M111" s="1395"/>
      <c r="N111" s="1395"/>
      <c r="O111" s="1395"/>
      <c r="P111" s="1395"/>
      <c r="Q111" s="1395"/>
      <c r="R111" s="1395"/>
      <c r="S111" s="1395"/>
      <c r="T111" s="1395"/>
      <c r="U111" s="1395"/>
      <c r="V111" s="1395"/>
      <c r="W111" s="1395"/>
      <c r="X111" s="1395"/>
      <c r="Y111" s="1395"/>
      <c r="Z111" s="1395"/>
      <c r="AA111" s="1395"/>
      <c r="AB111" s="1395"/>
    </row>
    <row r="112" spans="2:28" ht="15" customHeight="1" x14ac:dyDescent="0.3">
      <c r="B112" s="1395" t="s">
        <v>1434</v>
      </c>
      <c r="C112" s="2099" t="s">
        <v>1615</v>
      </c>
      <c r="D112" s="2100"/>
      <c r="E112" s="2100"/>
      <c r="F112" s="2100"/>
      <c r="G112" s="2100"/>
      <c r="H112" s="2100"/>
      <c r="I112" s="2100"/>
      <c r="J112" s="2100"/>
      <c r="K112" s="2100"/>
      <c r="L112" s="2100"/>
      <c r="M112" s="2100"/>
      <c r="N112" s="2100"/>
      <c r="O112" s="2100"/>
      <c r="P112" s="2100"/>
      <c r="Q112" s="2100"/>
      <c r="R112" s="2100"/>
      <c r="S112" s="2100"/>
      <c r="T112" s="2100"/>
      <c r="U112" s="2100"/>
      <c r="V112" s="2100"/>
      <c r="W112" s="2100"/>
      <c r="X112" s="2100"/>
      <c r="Y112" s="2100"/>
      <c r="Z112" s="2100"/>
      <c r="AA112" s="2100"/>
      <c r="AB112" s="2101"/>
    </row>
    <row r="113" spans="2:28" x14ac:dyDescent="0.3">
      <c r="B113" s="1395"/>
      <c r="C113" s="1395"/>
      <c r="D113" s="1395"/>
      <c r="E113" s="1395"/>
      <c r="F113" s="1395"/>
      <c r="G113" s="1395"/>
      <c r="H113" s="1395"/>
      <c r="I113" s="1395"/>
      <c r="J113" s="1395"/>
      <c r="K113" s="1395"/>
      <c r="L113" s="1395"/>
      <c r="M113" s="1395"/>
      <c r="N113" s="1395"/>
      <c r="O113" s="1395"/>
      <c r="P113" s="1395"/>
      <c r="Q113" s="1395"/>
      <c r="R113" s="1395"/>
      <c r="S113" s="1395"/>
      <c r="T113" s="1395"/>
      <c r="U113" s="1395"/>
      <c r="V113" s="1395"/>
      <c r="W113" s="1395"/>
      <c r="X113" s="1395"/>
      <c r="Y113" s="1395"/>
      <c r="Z113" s="1395"/>
      <c r="AA113" s="1395"/>
      <c r="AB113" s="1395"/>
    </row>
    <row r="114" spans="2:28" s="1420" customFormat="1" ht="21" customHeight="1" x14ac:dyDescent="0.3">
      <c r="B114" s="1419"/>
      <c r="C114" s="1418" t="s">
        <v>1435</v>
      </c>
      <c r="D114" s="1419" t="s">
        <v>1436</v>
      </c>
      <c r="E114" s="1419" t="s">
        <v>1437</v>
      </c>
      <c r="F114" s="1419" t="s">
        <v>1438</v>
      </c>
      <c r="G114" s="1419" t="s">
        <v>1439</v>
      </c>
      <c r="H114" s="1419" t="s">
        <v>1440</v>
      </c>
      <c r="I114" s="1419" t="s">
        <v>1441</v>
      </c>
      <c r="J114" s="1419" t="s">
        <v>1442</v>
      </c>
      <c r="K114" s="1419" t="s">
        <v>1443</v>
      </c>
      <c r="L114" s="1419" t="s">
        <v>1444</v>
      </c>
      <c r="M114" s="1419" t="s">
        <v>1445</v>
      </c>
      <c r="N114" s="1419" t="s">
        <v>1446</v>
      </c>
      <c r="O114" s="1419" t="s">
        <v>1447</v>
      </c>
      <c r="P114" s="1419" t="s">
        <v>1448</v>
      </c>
      <c r="Q114" s="1419" t="s">
        <v>1449</v>
      </c>
      <c r="R114" s="1419" t="s">
        <v>1450</v>
      </c>
      <c r="S114" s="1419" t="s">
        <v>1451</v>
      </c>
      <c r="T114" s="1419" t="s">
        <v>1452</v>
      </c>
      <c r="U114" s="1419" t="s">
        <v>1453</v>
      </c>
      <c r="V114" s="1419" t="s">
        <v>1454</v>
      </c>
      <c r="W114" s="1419" t="s">
        <v>1455</v>
      </c>
      <c r="X114" s="1419" t="s">
        <v>1456</v>
      </c>
      <c r="Y114" s="1419" t="s">
        <v>1457</v>
      </c>
      <c r="Z114" s="1419" t="s">
        <v>1458</v>
      </c>
      <c r="AA114" s="1419" t="s">
        <v>1466</v>
      </c>
      <c r="AB114" s="1419" t="s">
        <v>1467</v>
      </c>
    </row>
    <row r="115" spans="2:28" x14ac:dyDescent="0.3">
      <c r="B115" s="1437" t="s">
        <v>1461</v>
      </c>
      <c r="C115" s="1448">
        <v>0.05</v>
      </c>
      <c r="D115" s="1448">
        <v>0.05</v>
      </c>
      <c r="E115" s="1448">
        <v>0.05</v>
      </c>
      <c r="F115" s="1448">
        <v>0.05</v>
      </c>
      <c r="G115" s="1448">
        <v>0.05</v>
      </c>
      <c r="H115" s="1448">
        <v>0.05</v>
      </c>
      <c r="I115" s="1448">
        <v>0.3</v>
      </c>
      <c r="J115" s="1448">
        <v>0.5</v>
      </c>
      <c r="K115" s="1448">
        <v>0.4</v>
      </c>
      <c r="L115" s="1448">
        <v>0.3</v>
      </c>
      <c r="M115" s="1448">
        <v>0.3</v>
      </c>
      <c r="N115" s="1448">
        <v>0.35</v>
      </c>
      <c r="O115" s="1448">
        <v>0.4</v>
      </c>
      <c r="P115" s="1448">
        <v>0.35</v>
      </c>
      <c r="Q115" s="1448">
        <v>0.35</v>
      </c>
      <c r="R115" s="1448">
        <v>0.3</v>
      </c>
      <c r="S115" s="1448">
        <v>0.3</v>
      </c>
      <c r="T115" s="1448">
        <v>0.5</v>
      </c>
      <c r="U115" s="1448">
        <v>0.5</v>
      </c>
      <c r="V115" s="1448">
        <v>0.4</v>
      </c>
      <c r="W115" s="1448">
        <v>0.35</v>
      </c>
      <c r="X115" s="1448">
        <v>0.45</v>
      </c>
      <c r="Y115" s="1448">
        <v>0.3</v>
      </c>
      <c r="Z115" s="1448">
        <v>0.05</v>
      </c>
      <c r="AA115" s="1424">
        <f>SUM(C115:Z115)</f>
        <v>6.7</v>
      </c>
      <c r="AB115" s="1425">
        <f>AA115*SUM($C$9:$C$13)</f>
        <v>1675</v>
      </c>
    </row>
    <row r="116" spans="2:28" x14ac:dyDescent="0.3">
      <c r="B116" s="1439" t="s">
        <v>1462</v>
      </c>
      <c r="C116" s="1449">
        <v>0.05</v>
      </c>
      <c r="D116" s="1449">
        <v>0.05</v>
      </c>
      <c r="E116" s="1449">
        <v>0.05</v>
      </c>
      <c r="F116" s="1449">
        <v>0.05</v>
      </c>
      <c r="G116" s="1449">
        <v>0.05</v>
      </c>
      <c r="H116" s="1449">
        <v>0.05</v>
      </c>
      <c r="I116" s="1449">
        <v>0.3</v>
      </c>
      <c r="J116" s="1449">
        <v>0.5</v>
      </c>
      <c r="K116" s="1449">
        <v>0.4</v>
      </c>
      <c r="L116" s="1449">
        <v>0.3</v>
      </c>
      <c r="M116" s="1449">
        <v>0.3</v>
      </c>
      <c r="N116" s="1449">
        <v>0.35</v>
      </c>
      <c r="O116" s="1449">
        <v>0.4</v>
      </c>
      <c r="P116" s="1449">
        <v>0.35</v>
      </c>
      <c r="Q116" s="1449">
        <v>0.35</v>
      </c>
      <c r="R116" s="1449">
        <v>0.3</v>
      </c>
      <c r="S116" s="1449">
        <v>0.3</v>
      </c>
      <c r="T116" s="1449">
        <v>0.5</v>
      </c>
      <c r="U116" s="1449">
        <v>0.5</v>
      </c>
      <c r="V116" s="1449">
        <v>0.4</v>
      </c>
      <c r="W116" s="1449">
        <v>0.35</v>
      </c>
      <c r="X116" s="1449">
        <v>0.45</v>
      </c>
      <c r="Y116" s="1449">
        <v>0.3</v>
      </c>
      <c r="Z116" s="1449">
        <v>0.05</v>
      </c>
      <c r="AA116" s="1428">
        <f>SUM(C116:Z116)</f>
        <v>6.7</v>
      </c>
      <c r="AB116" s="1429">
        <f>AA116*SUM($C$14:$C$15)</f>
        <v>696.80000000000007</v>
      </c>
    </row>
    <row r="117" spans="2:28" x14ac:dyDescent="0.3">
      <c r="B117" s="1441" t="s">
        <v>1463</v>
      </c>
      <c r="C117" s="1450">
        <v>0.05</v>
      </c>
      <c r="D117" s="1450">
        <v>0.05</v>
      </c>
      <c r="E117" s="1450">
        <v>0.05</v>
      </c>
      <c r="F117" s="1450">
        <v>0.05</v>
      </c>
      <c r="G117" s="1450">
        <v>0.05</v>
      </c>
      <c r="H117" s="1450">
        <v>0.05</v>
      </c>
      <c r="I117" s="1450">
        <v>0.3</v>
      </c>
      <c r="J117" s="1450">
        <v>0.5</v>
      </c>
      <c r="K117" s="1450">
        <v>0.4</v>
      </c>
      <c r="L117" s="1450">
        <v>0.3</v>
      </c>
      <c r="M117" s="1450">
        <v>0.3</v>
      </c>
      <c r="N117" s="1450">
        <v>0.35</v>
      </c>
      <c r="O117" s="1450">
        <v>0.4</v>
      </c>
      <c r="P117" s="1450">
        <v>0.35</v>
      </c>
      <c r="Q117" s="1450">
        <v>0.35</v>
      </c>
      <c r="R117" s="1450">
        <v>0.3</v>
      </c>
      <c r="S117" s="1450">
        <v>0.3</v>
      </c>
      <c r="T117" s="1450">
        <v>0.5</v>
      </c>
      <c r="U117" s="1450">
        <v>0.5</v>
      </c>
      <c r="V117" s="1450">
        <v>0.4</v>
      </c>
      <c r="W117" s="1450">
        <v>0.35</v>
      </c>
      <c r="X117" s="1450">
        <v>0.45</v>
      </c>
      <c r="Y117" s="1450">
        <v>0.3</v>
      </c>
      <c r="Z117" s="1450">
        <v>0.05</v>
      </c>
      <c r="AA117" s="1432">
        <f>SUM(C117:Z117)</f>
        <v>6.7</v>
      </c>
      <c r="AB117" s="1433">
        <f>AA117*$C$8</f>
        <v>73.7</v>
      </c>
    </row>
    <row r="118" spans="2:28" x14ac:dyDescent="0.3">
      <c r="B118" s="2102" t="s">
        <v>1468</v>
      </c>
      <c r="C118" s="2103"/>
      <c r="D118" s="2103"/>
      <c r="E118" s="2103"/>
      <c r="F118" s="2103"/>
      <c r="G118" s="2103"/>
      <c r="H118" s="2103"/>
      <c r="I118" s="2103"/>
      <c r="J118" s="2103"/>
      <c r="K118" s="2103"/>
      <c r="L118" s="2103"/>
      <c r="M118" s="2103"/>
      <c r="N118" s="2103"/>
      <c r="O118" s="2103"/>
      <c r="P118" s="2103"/>
      <c r="Q118" s="2103"/>
      <c r="R118" s="2103"/>
      <c r="S118" s="2103"/>
      <c r="T118" s="2103"/>
      <c r="U118" s="2103"/>
      <c r="V118" s="2103"/>
      <c r="W118" s="2103"/>
      <c r="X118" s="2103"/>
      <c r="Y118" s="2103"/>
      <c r="Z118" s="2103"/>
      <c r="AA118" s="2103"/>
      <c r="AB118" s="1421">
        <f>SUM(AB115:AB117)</f>
        <v>2445.5</v>
      </c>
    </row>
    <row r="119" spans="2:28" x14ac:dyDescent="0.3">
      <c r="B119" s="1395"/>
      <c r="C119" s="1395"/>
      <c r="D119" s="1395"/>
      <c r="E119" s="1395"/>
      <c r="F119" s="1395"/>
      <c r="G119" s="1395"/>
      <c r="H119" s="1395"/>
      <c r="I119" s="1395"/>
      <c r="J119" s="1395"/>
      <c r="K119" s="1395"/>
      <c r="L119" s="1395"/>
      <c r="M119" s="1395"/>
      <c r="N119" s="1395"/>
      <c r="O119" s="1395"/>
      <c r="P119" s="1395"/>
      <c r="Q119" s="1395"/>
      <c r="R119" s="1395"/>
      <c r="S119" s="1395"/>
      <c r="T119" s="1395"/>
      <c r="U119" s="1395"/>
      <c r="V119" s="1395"/>
      <c r="W119" s="1395"/>
      <c r="X119" s="1395"/>
      <c r="Y119" s="1395"/>
      <c r="Z119" s="1395"/>
      <c r="AA119" s="1395"/>
      <c r="AB119" s="1395"/>
    </row>
    <row r="120" spans="2:28" x14ac:dyDescent="0.3">
      <c r="B120" s="1395"/>
      <c r="C120" s="1395"/>
      <c r="D120" s="1395"/>
      <c r="E120" s="1395"/>
      <c r="F120" s="1395"/>
      <c r="G120" s="1395"/>
      <c r="H120" s="1395"/>
      <c r="I120" s="1395"/>
      <c r="J120" s="1395"/>
      <c r="K120" s="1395"/>
      <c r="L120" s="1395"/>
      <c r="M120" s="1395"/>
      <c r="N120" s="1395"/>
      <c r="O120" s="1395"/>
      <c r="P120" s="1395"/>
      <c r="Q120" s="1395"/>
      <c r="R120" s="1395"/>
      <c r="S120" s="1395"/>
      <c r="T120" s="1395"/>
      <c r="U120" s="1395"/>
      <c r="V120" s="1395"/>
      <c r="W120" s="1395"/>
      <c r="X120" s="1395"/>
      <c r="Y120" s="1395"/>
      <c r="Z120" s="1395"/>
      <c r="AA120" s="1395"/>
      <c r="AB120" s="1395"/>
    </row>
    <row r="121" spans="2:28" ht="15.6" x14ac:dyDescent="0.3">
      <c r="B121" s="1406" t="s">
        <v>2012</v>
      </c>
      <c r="C121" s="1404"/>
      <c r="D121" s="1395"/>
      <c r="E121" s="1395"/>
      <c r="F121" s="1395"/>
      <c r="G121" s="1395"/>
      <c r="H121" s="1395"/>
      <c r="I121" s="1395"/>
      <c r="J121" s="1395"/>
      <c r="K121" s="1395"/>
      <c r="L121" s="1395"/>
      <c r="M121" s="1395"/>
      <c r="N121" s="1395"/>
      <c r="O121" s="1395"/>
      <c r="P121" s="1395"/>
      <c r="Q121" s="1395"/>
      <c r="R121" s="1395"/>
      <c r="S121" s="1395"/>
      <c r="T121" s="1395"/>
      <c r="U121" s="1395"/>
      <c r="V121" s="1395"/>
      <c r="W121" s="1395"/>
      <c r="X121" s="1395"/>
      <c r="Y121" s="1395"/>
      <c r="Z121" s="1395"/>
      <c r="AA121" s="1399"/>
      <c r="AB121" s="1400"/>
    </row>
    <row r="122" spans="2:28" ht="45" customHeight="1" x14ac:dyDescent="0.3">
      <c r="B122" s="2104" t="s">
        <v>1616</v>
      </c>
      <c r="C122" s="2104"/>
      <c r="D122" s="2104"/>
      <c r="E122" s="2104"/>
      <c r="F122" s="2104"/>
      <c r="G122" s="2104"/>
      <c r="H122" s="2104"/>
      <c r="I122" s="2104"/>
      <c r="J122" s="2104"/>
      <c r="K122" s="2104"/>
      <c r="L122" s="2104"/>
      <c r="M122" s="2104"/>
      <c r="N122" s="2104"/>
      <c r="O122" s="2104"/>
      <c r="P122" s="755"/>
      <c r="Q122" s="755"/>
      <c r="R122" s="755"/>
      <c r="S122" s="755"/>
      <c r="T122" s="755"/>
      <c r="U122" s="755"/>
      <c r="V122" s="755"/>
      <c r="W122" s="755"/>
      <c r="X122" s="755"/>
      <c r="Y122" s="755"/>
      <c r="Z122" s="755"/>
      <c r="AA122" s="755"/>
      <c r="AB122" s="755"/>
    </row>
    <row r="123" spans="2:28" x14ac:dyDescent="0.3">
      <c r="B123" s="1395"/>
      <c r="C123" s="1395"/>
      <c r="D123" s="1395"/>
      <c r="E123" s="1395"/>
      <c r="F123" s="1395"/>
      <c r="G123" s="1395"/>
      <c r="H123" s="1395"/>
      <c r="I123" s="1395"/>
      <c r="J123" s="1395"/>
      <c r="K123" s="1395"/>
      <c r="L123" s="1395"/>
      <c r="M123" s="1395"/>
      <c r="N123" s="1395"/>
      <c r="O123" s="1395"/>
      <c r="P123" s="1395"/>
      <c r="Q123" s="1395"/>
      <c r="R123" s="1395"/>
      <c r="S123" s="1395"/>
      <c r="T123" s="1395"/>
      <c r="U123" s="1395"/>
      <c r="V123" s="1395"/>
      <c r="W123" s="1395"/>
      <c r="X123" s="1395"/>
      <c r="Y123" s="1395"/>
      <c r="Z123" s="1395"/>
      <c r="AA123" s="1395"/>
      <c r="AB123" s="1395"/>
    </row>
    <row r="124" spans="2:28" x14ac:dyDescent="0.3">
      <c r="B124" s="1405" t="s">
        <v>1617</v>
      </c>
      <c r="C124" s="1395"/>
      <c r="D124" s="1395"/>
      <c r="E124" s="1395"/>
      <c r="F124" s="1395"/>
      <c r="G124" s="1395"/>
      <c r="H124" s="1395"/>
      <c r="I124" s="1395"/>
      <c r="J124" s="1395"/>
      <c r="K124" s="1395"/>
      <c r="L124" s="1395"/>
      <c r="M124" s="1395"/>
      <c r="N124" s="1395"/>
      <c r="O124" s="1395"/>
      <c r="P124" s="1395"/>
      <c r="Q124" s="1395"/>
      <c r="R124" s="1395"/>
      <c r="S124" s="1395"/>
      <c r="T124" s="1395"/>
      <c r="U124" s="1395"/>
      <c r="V124" s="1395"/>
      <c r="W124" s="1395"/>
      <c r="X124" s="1395"/>
      <c r="Y124" s="1395"/>
      <c r="Z124" s="1395"/>
      <c r="AA124" s="1395"/>
      <c r="AB124" s="1395"/>
    </row>
    <row r="125" spans="2:28" x14ac:dyDescent="0.3">
      <c r="B125" s="1395"/>
      <c r="C125" s="1395"/>
      <c r="D125" s="1395"/>
      <c r="E125" s="1395"/>
      <c r="F125" s="1395"/>
      <c r="G125" s="1395"/>
      <c r="H125" s="1395"/>
      <c r="I125" s="1395"/>
      <c r="J125" s="1395"/>
      <c r="K125" s="1395"/>
      <c r="L125" s="1395"/>
      <c r="M125" s="1395"/>
      <c r="N125" s="1395"/>
      <c r="O125" s="1395"/>
      <c r="P125" s="1395"/>
      <c r="Q125" s="1395"/>
      <c r="R125" s="1395"/>
      <c r="S125" s="1395"/>
      <c r="T125" s="1395"/>
      <c r="U125" s="1395"/>
      <c r="V125" s="1395"/>
      <c r="W125" s="1395"/>
      <c r="X125" s="1395"/>
      <c r="Y125" s="1395"/>
      <c r="Z125" s="1395"/>
      <c r="AA125" s="1395"/>
      <c r="AB125" s="1395"/>
    </row>
    <row r="126" spans="2:28" ht="15" customHeight="1" x14ac:dyDescent="0.3">
      <c r="B126" s="1395" t="s">
        <v>1434</v>
      </c>
      <c r="C126" s="2099" t="s">
        <v>1618</v>
      </c>
      <c r="D126" s="2100"/>
      <c r="E126" s="2100"/>
      <c r="F126" s="2100"/>
      <c r="G126" s="2100"/>
      <c r="H126" s="2100"/>
      <c r="I126" s="2100"/>
      <c r="J126" s="2100"/>
      <c r="K126" s="2100"/>
      <c r="L126" s="2100"/>
      <c r="M126" s="2100"/>
      <c r="N126" s="2100"/>
      <c r="O126" s="2100"/>
      <c r="P126" s="2100"/>
      <c r="Q126" s="2100"/>
      <c r="R126" s="2100"/>
      <c r="S126" s="2100"/>
      <c r="T126" s="2100"/>
      <c r="U126" s="2100"/>
      <c r="V126" s="2100"/>
      <c r="W126" s="2100"/>
      <c r="X126" s="2100"/>
      <c r="Y126" s="2100"/>
      <c r="Z126" s="2100"/>
      <c r="AA126" s="2100"/>
      <c r="AB126" s="2101"/>
    </row>
    <row r="127" spans="2:28" x14ac:dyDescent="0.3">
      <c r="B127" s="1395"/>
      <c r="C127" s="1395"/>
      <c r="D127" s="1395"/>
      <c r="E127" s="1395"/>
      <c r="F127" s="1395"/>
      <c r="G127" s="1395"/>
      <c r="H127" s="1395"/>
      <c r="I127" s="1395"/>
      <c r="J127" s="1395"/>
      <c r="K127" s="1395"/>
      <c r="L127" s="1395"/>
      <c r="M127" s="1395"/>
      <c r="N127" s="1395"/>
      <c r="O127" s="1395"/>
      <c r="P127" s="1395"/>
      <c r="Q127" s="1395"/>
      <c r="R127" s="1395"/>
      <c r="S127" s="1395"/>
      <c r="T127" s="1395"/>
      <c r="U127" s="1395"/>
      <c r="V127" s="1395"/>
      <c r="W127" s="1395"/>
      <c r="X127" s="1395"/>
      <c r="Y127" s="1395"/>
      <c r="Z127" s="1395"/>
      <c r="AA127" s="1395"/>
      <c r="AB127" s="1395"/>
    </row>
    <row r="128" spans="2:28" s="1420" customFormat="1" ht="21" customHeight="1" x14ac:dyDescent="0.3">
      <c r="B128" s="1419"/>
      <c r="C128" s="1418" t="s">
        <v>1435</v>
      </c>
      <c r="D128" s="1419" t="s">
        <v>1436</v>
      </c>
      <c r="E128" s="1419" t="s">
        <v>1437</v>
      </c>
      <c r="F128" s="1419" t="s">
        <v>1438</v>
      </c>
      <c r="G128" s="1419" t="s">
        <v>1439</v>
      </c>
      <c r="H128" s="1419" t="s">
        <v>1440</v>
      </c>
      <c r="I128" s="1419" t="s">
        <v>1441</v>
      </c>
      <c r="J128" s="1419" t="s">
        <v>1442</v>
      </c>
      <c r="K128" s="1419" t="s">
        <v>1443</v>
      </c>
      <c r="L128" s="1419" t="s">
        <v>1444</v>
      </c>
      <c r="M128" s="1419" t="s">
        <v>1445</v>
      </c>
      <c r="N128" s="1419" t="s">
        <v>1446</v>
      </c>
      <c r="O128" s="1419" t="s">
        <v>1447</v>
      </c>
      <c r="P128" s="1419" t="s">
        <v>1448</v>
      </c>
      <c r="Q128" s="1419" t="s">
        <v>1449</v>
      </c>
      <c r="R128" s="1419" t="s">
        <v>1450</v>
      </c>
      <c r="S128" s="1419" t="s">
        <v>1451</v>
      </c>
      <c r="T128" s="1419" t="s">
        <v>1452</v>
      </c>
      <c r="U128" s="1419" t="s">
        <v>1453</v>
      </c>
      <c r="V128" s="1419" t="s">
        <v>1454</v>
      </c>
      <c r="W128" s="1419" t="s">
        <v>1455</v>
      </c>
      <c r="X128" s="1419" t="s">
        <v>1456</v>
      </c>
      <c r="Y128" s="1419" t="s">
        <v>1457</v>
      </c>
      <c r="Z128" s="1419" t="s">
        <v>1458</v>
      </c>
      <c r="AA128" s="1419" t="s">
        <v>1459</v>
      </c>
      <c r="AB128" s="1419" t="s">
        <v>1460</v>
      </c>
    </row>
    <row r="129" spans="2:28" x14ac:dyDescent="0.3">
      <c r="B129" s="1437" t="s">
        <v>1461</v>
      </c>
      <c r="C129" s="1451">
        <v>0</v>
      </c>
      <c r="D129" s="1451">
        <v>0</v>
      </c>
      <c r="E129" s="1451">
        <v>0</v>
      </c>
      <c r="F129" s="1451">
        <v>0</v>
      </c>
      <c r="G129" s="1451">
        <v>0</v>
      </c>
      <c r="H129" s="1451">
        <v>0</v>
      </c>
      <c r="I129" s="1451">
        <v>1</v>
      </c>
      <c r="J129" s="1451">
        <v>1</v>
      </c>
      <c r="K129" s="1451">
        <v>1</v>
      </c>
      <c r="L129" s="1451">
        <v>1</v>
      </c>
      <c r="M129" s="1451">
        <v>1</v>
      </c>
      <c r="N129" s="1451">
        <v>1</v>
      </c>
      <c r="O129" s="1451">
        <v>1</v>
      </c>
      <c r="P129" s="1451">
        <v>1</v>
      </c>
      <c r="Q129" s="1451">
        <v>1</v>
      </c>
      <c r="R129" s="1451">
        <v>1</v>
      </c>
      <c r="S129" s="1451">
        <v>1</v>
      </c>
      <c r="T129" s="1451">
        <v>1</v>
      </c>
      <c r="U129" s="1451">
        <v>1</v>
      </c>
      <c r="V129" s="1451">
        <v>1</v>
      </c>
      <c r="W129" s="1451">
        <v>1</v>
      </c>
      <c r="X129" s="1451">
        <v>1</v>
      </c>
      <c r="Y129" s="1451">
        <v>0</v>
      </c>
      <c r="Z129" s="1451">
        <v>0</v>
      </c>
      <c r="AA129" s="1424">
        <f>SUM(C129:Z129)</f>
        <v>16</v>
      </c>
      <c r="AB129" s="1425">
        <f>AA129*SUM($C$9:$C$13)</f>
        <v>4000</v>
      </c>
    </row>
    <row r="130" spans="2:28" x14ac:dyDescent="0.3">
      <c r="B130" s="1439" t="s">
        <v>1431</v>
      </c>
      <c r="C130" s="1452">
        <v>0</v>
      </c>
      <c r="D130" s="1452">
        <v>0</v>
      </c>
      <c r="E130" s="1452">
        <v>0</v>
      </c>
      <c r="F130" s="1452">
        <v>0</v>
      </c>
      <c r="G130" s="1452">
        <v>0</v>
      </c>
      <c r="H130" s="1452">
        <v>0</v>
      </c>
      <c r="I130" s="1452">
        <v>1</v>
      </c>
      <c r="J130" s="1452">
        <v>1</v>
      </c>
      <c r="K130" s="1452">
        <v>1</v>
      </c>
      <c r="L130" s="1452">
        <v>1</v>
      </c>
      <c r="M130" s="1452">
        <v>1</v>
      </c>
      <c r="N130" s="1452">
        <v>1</v>
      </c>
      <c r="O130" s="1452">
        <v>1</v>
      </c>
      <c r="P130" s="1452">
        <v>1</v>
      </c>
      <c r="Q130" s="1452">
        <v>1</v>
      </c>
      <c r="R130" s="1452">
        <v>1</v>
      </c>
      <c r="S130" s="1452">
        <v>1</v>
      </c>
      <c r="T130" s="1452">
        <v>1</v>
      </c>
      <c r="U130" s="1452">
        <v>0</v>
      </c>
      <c r="V130" s="1452">
        <v>0</v>
      </c>
      <c r="W130" s="1452">
        <v>0</v>
      </c>
      <c r="X130" s="1452">
        <v>0</v>
      </c>
      <c r="Y130" s="1452">
        <v>0</v>
      </c>
      <c r="Z130" s="1452">
        <v>0</v>
      </c>
      <c r="AA130" s="1428">
        <f>SUM(C130:Z130)</f>
        <v>12</v>
      </c>
      <c r="AB130" s="1429">
        <f>AA130*SUM($C$14)</f>
        <v>624</v>
      </c>
    </row>
    <row r="131" spans="2:28" x14ac:dyDescent="0.3">
      <c r="B131" s="1439" t="s">
        <v>1432</v>
      </c>
      <c r="C131" s="1452">
        <v>0</v>
      </c>
      <c r="D131" s="1452">
        <v>0</v>
      </c>
      <c r="E131" s="1452">
        <v>0</v>
      </c>
      <c r="F131" s="1452">
        <v>0</v>
      </c>
      <c r="G131" s="1452">
        <v>0</v>
      </c>
      <c r="H131" s="1452">
        <v>0</v>
      </c>
      <c r="I131" s="1452">
        <v>0</v>
      </c>
      <c r="J131" s="1452">
        <v>0</v>
      </c>
      <c r="K131" s="1452">
        <v>0</v>
      </c>
      <c r="L131" s="1452">
        <v>0</v>
      </c>
      <c r="M131" s="1452">
        <v>0</v>
      </c>
      <c r="N131" s="1452">
        <v>0</v>
      </c>
      <c r="O131" s="1452">
        <v>0</v>
      </c>
      <c r="P131" s="1452">
        <v>0</v>
      </c>
      <c r="Q131" s="1452">
        <v>0</v>
      </c>
      <c r="R131" s="1452">
        <v>0</v>
      </c>
      <c r="S131" s="1452">
        <v>0</v>
      </c>
      <c r="T131" s="1452">
        <v>0</v>
      </c>
      <c r="U131" s="1452">
        <v>0</v>
      </c>
      <c r="V131" s="1452">
        <v>0</v>
      </c>
      <c r="W131" s="1452">
        <v>0</v>
      </c>
      <c r="X131" s="1452">
        <v>0</v>
      </c>
      <c r="Y131" s="1452">
        <v>0</v>
      </c>
      <c r="Z131" s="1452">
        <v>0</v>
      </c>
      <c r="AA131" s="1428">
        <f>SUM(C131:Z131)</f>
        <v>0</v>
      </c>
      <c r="AB131" s="1429">
        <f>AA131*$C$15</f>
        <v>0</v>
      </c>
    </row>
    <row r="132" spans="2:28" x14ac:dyDescent="0.3">
      <c r="B132" s="1441" t="s">
        <v>1463</v>
      </c>
      <c r="C132" s="1453">
        <v>0</v>
      </c>
      <c r="D132" s="1453">
        <v>0</v>
      </c>
      <c r="E132" s="1453">
        <v>0</v>
      </c>
      <c r="F132" s="1453">
        <v>0</v>
      </c>
      <c r="G132" s="1453">
        <v>0</v>
      </c>
      <c r="H132" s="1453">
        <v>0</v>
      </c>
      <c r="I132" s="1453">
        <v>0</v>
      </c>
      <c r="J132" s="1453">
        <v>0</v>
      </c>
      <c r="K132" s="1453">
        <v>0</v>
      </c>
      <c r="L132" s="1453">
        <v>0</v>
      </c>
      <c r="M132" s="1453">
        <v>0</v>
      </c>
      <c r="N132" s="1453">
        <v>0</v>
      </c>
      <c r="O132" s="1453">
        <v>0</v>
      </c>
      <c r="P132" s="1453">
        <v>0</v>
      </c>
      <c r="Q132" s="1453">
        <v>0</v>
      </c>
      <c r="R132" s="1453">
        <v>0</v>
      </c>
      <c r="S132" s="1453">
        <v>0</v>
      </c>
      <c r="T132" s="1453">
        <v>0</v>
      </c>
      <c r="U132" s="1453">
        <v>0</v>
      </c>
      <c r="V132" s="1453">
        <v>0</v>
      </c>
      <c r="W132" s="1453">
        <v>0</v>
      </c>
      <c r="X132" s="1453">
        <v>0</v>
      </c>
      <c r="Y132" s="1453">
        <v>0</v>
      </c>
      <c r="Z132" s="1453">
        <v>0</v>
      </c>
      <c r="AA132" s="1432">
        <f>SUM(C132:Z132)</f>
        <v>0</v>
      </c>
      <c r="AB132" s="1433">
        <f>AA132*SUM($C$8)</f>
        <v>0</v>
      </c>
    </row>
    <row r="133" spans="2:28" x14ac:dyDescent="0.3">
      <c r="B133" s="2102" t="s">
        <v>1464</v>
      </c>
      <c r="C133" s="2103"/>
      <c r="D133" s="2103"/>
      <c r="E133" s="2103"/>
      <c r="F133" s="2103"/>
      <c r="G133" s="2103"/>
      <c r="H133" s="2103"/>
      <c r="I133" s="2103"/>
      <c r="J133" s="2103"/>
      <c r="K133" s="2103"/>
      <c r="L133" s="2103"/>
      <c r="M133" s="2103"/>
      <c r="N133" s="2103"/>
      <c r="O133" s="2103"/>
      <c r="P133" s="2103"/>
      <c r="Q133" s="2103"/>
      <c r="R133" s="2103"/>
      <c r="S133" s="2103"/>
      <c r="T133" s="2103"/>
      <c r="U133" s="2103"/>
      <c r="V133" s="2103"/>
      <c r="W133" s="2103"/>
      <c r="X133" s="2103"/>
      <c r="Y133" s="2103"/>
      <c r="Z133" s="2103"/>
      <c r="AA133" s="2103"/>
      <c r="AB133" s="1421">
        <f>SUM(AB129:AB132)</f>
        <v>4624</v>
      </c>
    </row>
    <row r="134" spans="2:28" x14ac:dyDescent="0.3">
      <c r="B134" s="1395"/>
      <c r="C134" s="1395"/>
      <c r="D134" s="1395"/>
      <c r="E134" s="1395"/>
      <c r="F134" s="1395"/>
      <c r="G134" s="1395"/>
      <c r="H134" s="1395"/>
      <c r="I134" s="1395"/>
      <c r="J134" s="1395"/>
      <c r="K134" s="1395"/>
      <c r="L134" s="1395"/>
      <c r="M134" s="1395"/>
      <c r="N134" s="1395"/>
      <c r="O134" s="1395"/>
      <c r="P134" s="1395"/>
      <c r="Q134" s="1395"/>
      <c r="R134" s="1395"/>
      <c r="S134" s="1395"/>
      <c r="T134" s="1395"/>
      <c r="U134" s="1395"/>
      <c r="V134" s="1395"/>
      <c r="W134" s="1395"/>
      <c r="X134" s="1395"/>
      <c r="Y134" s="1395"/>
      <c r="Z134" s="1395"/>
      <c r="AA134" s="1395"/>
      <c r="AB134" s="1395"/>
    </row>
    <row r="135" spans="2:28" ht="15" customHeight="1" x14ac:dyDescent="0.3">
      <c r="B135" s="1395" t="s">
        <v>1434</v>
      </c>
      <c r="C135" s="2099" t="s">
        <v>1619</v>
      </c>
      <c r="D135" s="2100"/>
      <c r="E135" s="2100"/>
      <c r="F135" s="2100"/>
      <c r="G135" s="2100"/>
      <c r="H135" s="2100"/>
      <c r="I135" s="2100"/>
      <c r="J135" s="2100"/>
      <c r="K135" s="2100"/>
      <c r="L135" s="2100"/>
      <c r="M135" s="2100"/>
      <c r="N135" s="2100"/>
      <c r="O135" s="2100"/>
      <c r="P135" s="2100"/>
      <c r="Q135" s="2100"/>
      <c r="R135" s="2100"/>
      <c r="S135" s="2100"/>
      <c r="T135" s="2100"/>
      <c r="U135" s="2100"/>
      <c r="V135" s="2100"/>
      <c r="W135" s="2100"/>
      <c r="X135" s="2100"/>
      <c r="Y135" s="2100"/>
      <c r="Z135" s="2100"/>
      <c r="AA135" s="2100"/>
      <c r="AB135" s="2101"/>
    </row>
    <row r="136" spans="2:28" x14ac:dyDescent="0.3">
      <c r="B136" s="1395"/>
      <c r="C136" s="1395"/>
      <c r="D136" s="1395"/>
      <c r="E136" s="1395"/>
      <c r="F136" s="1395"/>
      <c r="G136" s="1395"/>
      <c r="H136" s="1395"/>
      <c r="I136" s="1395"/>
      <c r="J136" s="1395"/>
      <c r="K136" s="1395"/>
      <c r="L136" s="1395"/>
      <c r="M136" s="1395"/>
      <c r="N136" s="1395"/>
      <c r="O136" s="1395"/>
      <c r="P136" s="1395"/>
      <c r="Q136" s="1395"/>
      <c r="R136" s="1395"/>
      <c r="S136" s="1395"/>
      <c r="T136" s="1395"/>
      <c r="U136" s="1395"/>
      <c r="V136" s="1395"/>
      <c r="W136" s="1395"/>
      <c r="X136" s="1395"/>
      <c r="Y136" s="1395"/>
      <c r="Z136" s="1395"/>
      <c r="AA136" s="1395"/>
      <c r="AB136" s="1395"/>
    </row>
    <row r="137" spans="2:28" s="1420" customFormat="1" ht="21" customHeight="1" x14ac:dyDescent="0.3">
      <c r="B137" s="1419"/>
      <c r="C137" s="1418" t="s">
        <v>1435</v>
      </c>
      <c r="D137" s="1419" t="s">
        <v>1436</v>
      </c>
      <c r="E137" s="1419" t="s">
        <v>1437</v>
      </c>
      <c r="F137" s="1419" t="s">
        <v>1438</v>
      </c>
      <c r="G137" s="1419" t="s">
        <v>1439</v>
      </c>
      <c r="H137" s="1419" t="s">
        <v>1440</v>
      </c>
      <c r="I137" s="1419" t="s">
        <v>1441</v>
      </c>
      <c r="J137" s="1419" t="s">
        <v>1442</v>
      </c>
      <c r="K137" s="1419" t="s">
        <v>1443</v>
      </c>
      <c r="L137" s="1419" t="s">
        <v>1444</v>
      </c>
      <c r="M137" s="1419" t="s">
        <v>1445</v>
      </c>
      <c r="N137" s="1419" t="s">
        <v>1446</v>
      </c>
      <c r="O137" s="1419" t="s">
        <v>1447</v>
      </c>
      <c r="P137" s="1419" t="s">
        <v>1448</v>
      </c>
      <c r="Q137" s="1419" t="s">
        <v>1449</v>
      </c>
      <c r="R137" s="1419" t="s">
        <v>1450</v>
      </c>
      <c r="S137" s="1419" t="s">
        <v>1451</v>
      </c>
      <c r="T137" s="1419" t="s">
        <v>1452</v>
      </c>
      <c r="U137" s="1419" t="s">
        <v>1453</v>
      </c>
      <c r="V137" s="1419" t="s">
        <v>1454</v>
      </c>
      <c r="W137" s="1419" t="s">
        <v>1455</v>
      </c>
      <c r="X137" s="1419" t="s">
        <v>1456</v>
      </c>
      <c r="Y137" s="1419" t="s">
        <v>1457</v>
      </c>
      <c r="Z137" s="1419" t="s">
        <v>1458</v>
      </c>
      <c r="AA137" s="1419" t="s">
        <v>1466</v>
      </c>
      <c r="AB137" s="1419" t="s">
        <v>1467</v>
      </c>
    </row>
    <row r="138" spans="2:28" x14ac:dyDescent="0.3">
      <c r="B138" s="1437" t="s">
        <v>1461</v>
      </c>
      <c r="C138" s="1448">
        <v>0</v>
      </c>
      <c r="D138" s="1448">
        <v>0</v>
      </c>
      <c r="E138" s="1448">
        <v>0</v>
      </c>
      <c r="F138" s="1448">
        <v>0</v>
      </c>
      <c r="G138" s="1448">
        <v>0</v>
      </c>
      <c r="H138" s="1448">
        <v>0</v>
      </c>
      <c r="I138" s="1448">
        <v>0.1</v>
      </c>
      <c r="J138" s="1448">
        <v>0.2</v>
      </c>
      <c r="K138" s="1448">
        <v>0.95</v>
      </c>
      <c r="L138" s="1448">
        <v>0.95</v>
      </c>
      <c r="M138" s="1448">
        <v>0.95</v>
      </c>
      <c r="N138" s="1448">
        <v>0.95</v>
      </c>
      <c r="O138" s="1448">
        <v>0.5</v>
      </c>
      <c r="P138" s="1448">
        <v>0.95</v>
      </c>
      <c r="Q138" s="1448">
        <v>0.95</v>
      </c>
      <c r="R138" s="1448">
        <v>0.95</v>
      </c>
      <c r="S138" s="1448">
        <v>0.95</v>
      </c>
      <c r="T138" s="1448">
        <v>0.3</v>
      </c>
      <c r="U138" s="1448">
        <v>0.1</v>
      </c>
      <c r="V138" s="1448">
        <v>0.1</v>
      </c>
      <c r="W138" s="1448">
        <v>0.1</v>
      </c>
      <c r="X138" s="1448">
        <v>0.1</v>
      </c>
      <c r="Y138" s="1448">
        <v>0.05</v>
      </c>
      <c r="Z138" s="1448">
        <v>0.05</v>
      </c>
      <c r="AA138" s="1424">
        <f>SUM(C138:Z138)</f>
        <v>9.2000000000000011</v>
      </c>
      <c r="AB138" s="1425">
        <f>AA138*SUM($C$9:$C$13)</f>
        <v>2300.0000000000005</v>
      </c>
    </row>
    <row r="139" spans="2:28" x14ac:dyDescent="0.3">
      <c r="B139" s="1439" t="s">
        <v>1431</v>
      </c>
      <c r="C139" s="1449">
        <v>0</v>
      </c>
      <c r="D139" s="1449">
        <v>0</v>
      </c>
      <c r="E139" s="1449">
        <v>0</v>
      </c>
      <c r="F139" s="1449">
        <v>0</v>
      </c>
      <c r="G139" s="1449">
        <v>0</v>
      </c>
      <c r="H139" s="1449">
        <v>0</v>
      </c>
      <c r="I139" s="1449">
        <v>0.1</v>
      </c>
      <c r="J139" s="1449">
        <v>0.1</v>
      </c>
      <c r="K139" s="1449">
        <v>0.3</v>
      </c>
      <c r="L139" s="1449">
        <v>0.3</v>
      </c>
      <c r="M139" s="1449">
        <v>0.3</v>
      </c>
      <c r="N139" s="1449">
        <v>0.3</v>
      </c>
      <c r="O139" s="1449">
        <v>0.1</v>
      </c>
      <c r="P139" s="1449">
        <v>0.1</v>
      </c>
      <c r="Q139" s="1449">
        <v>0.1</v>
      </c>
      <c r="R139" s="1449">
        <v>0.1</v>
      </c>
      <c r="S139" s="1449">
        <v>0.1</v>
      </c>
      <c r="T139" s="1449">
        <v>0.05</v>
      </c>
      <c r="U139" s="1449">
        <v>0.05</v>
      </c>
      <c r="V139" s="1449">
        <v>0</v>
      </c>
      <c r="W139" s="1449">
        <v>0</v>
      </c>
      <c r="X139" s="1449">
        <v>0</v>
      </c>
      <c r="Y139" s="1449">
        <v>0</v>
      </c>
      <c r="Z139" s="1449">
        <v>0</v>
      </c>
      <c r="AA139" s="1428">
        <f>SUM(C139:Z139)</f>
        <v>2.0000000000000004</v>
      </c>
      <c r="AB139" s="1429">
        <f>AA139*SUM($C$14)</f>
        <v>104.00000000000003</v>
      </c>
    </row>
    <row r="140" spans="2:28" x14ac:dyDescent="0.3">
      <c r="B140" s="1439" t="s">
        <v>1432</v>
      </c>
      <c r="C140" s="1449">
        <v>0</v>
      </c>
      <c r="D140" s="1449">
        <v>0</v>
      </c>
      <c r="E140" s="1449">
        <v>0</v>
      </c>
      <c r="F140" s="1449">
        <v>0</v>
      </c>
      <c r="G140" s="1449">
        <v>0</v>
      </c>
      <c r="H140" s="1449">
        <v>0</v>
      </c>
      <c r="I140" s="1449">
        <v>0.05</v>
      </c>
      <c r="J140" s="1449">
        <v>0.05</v>
      </c>
      <c r="K140" s="1449">
        <v>0.05</v>
      </c>
      <c r="L140" s="1449">
        <v>0.05</v>
      </c>
      <c r="M140" s="1449">
        <v>0.05</v>
      </c>
      <c r="N140" s="1449">
        <v>0.05</v>
      </c>
      <c r="O140" s="1449">
        <v>0.05</v>
      </c>
      <c r="P140" s="1449">
        <v>0.05</v>
      </c>
      <c r="Q140" s="1449">
        <v>0.05</v>
      </c>
      <c r="R140" s="1449">
        <v>0.05</v>
      </c>
      <c r="S140" s="1449">
        <v>0.05</v>
      </c>
      <c r="T140" s="1449">
        <v>0.05</v>
      </c>
      <c r="U140" s="1449">
        <v>0</v>
      </c>
      <c r="V140" s="1449">
        <v>0</v>
      </c>
      <c r="W140" s="1449">
        <v>0</v>
      </c>
      <c r="X140" s="1449">
        <v>0</v>
      </c>
      <c r="Y140" s="1449">
        <v>0</v>
      </c>
      <c r="Z140" s="1449">
        <v>0</v>
      </c>
      <c r="AA140" s="1428">
        <f>SUM(C140:Z140)</f>
        <v>0.6</v>
      </c>
      <c r="AB140" s="1429">
        <f>AA140*$C$15</f>
        <v>31.2</v>
      </c>
    </row>
    <row r="141" spans="2:28" x14ac:dyDescent="0.3">
      <c r="B141" s="1441" t="s">
        <v>1463</v>
      </c>
      <c r="C141" s="1450">
        <v>0</v>
      </c>
      <c r="D141" s="1450">
        <v>0</v>
      </c>
      <c r="E141" s="1450">
        <v>0</v>
      </c>
      <c r="F141" s="1450">
        <v>0</v>
      </c>
      <c r="G141" s="1450">
        <v>0</v>
      </c>
      <c r="H141" s="1450">
        <v>0</v>
      </c>
      <c r="I141" s="1450">
        <v>0.05</v>
      </c>
      <c r="J141" s="1450">
        <v>0.05</v>
      </c>
      <c r="K141" s="1450">
        <v>0.05</v>
      </c>
      <c r="L141" s="1450">
        <v>0.05</v>
      </c>
      <c r="M141" s="1450">
        <v>0.05</v>
      </c>
      <c r="N141" s="1450">
        <v>0.05</v>
      </c>
      <c r="O141" s="1450">
        <v>0.05</v>
      </c>
      <c r="P141" s="1450">
        <v>0.05</v>
      </c>
      <c r="Q141" s="1450">
        <v>0.05</v>
      </c>
      <c r="R141" s="1450">
        <v>0.05</v>
      </c>
      <c r="S141" s="1450">
        <v>0.05</v>
      </c>
      <c r="T141" s="1450">
        <v>0.05</v>
      </c>
      <c r="U141" s="1450">
        <v>0</v>
      </c>
      <c r="V141" s="1450">
        <v>0</v>
      </c>
      <c r="W141" s="1450">
        <v>0</v>
      </c>
      <c r="X141" s="1450">
        <v>0</v>
      </c>
      <c r="Y141" s="1450">
        <v>0</v>
      </c>
      <c r="Z141" s="1450">
        <v>0</v>
      </c>
      <c r="AA141" s="1432">
        <f>SUM(C141:Z141)</f>
        <v>0.6</v>
      </c>
      <c r="AB141" s="1433">
        <f>AA141*SUM($C$8)</f>
        <v>6.6</v>
      </c>
    </row>
    <row r="142" spans="2:28" x14ac:dyDescent="0.3">
      <c r="B142" s="2102" t="s">
        <v>1468</v>
      </c>
      <c r="C142" s="2103"/>
      <c r="D142" s="2103"/>
      <c r="E142" s="2103"/>
      <c r="F142" s="2103"/>
      <c r="G142" s="2103"/>
      <c r="H142" s="2103"/>
      <c r="I142" s="2103"/>
      <c r="J142" s="2103"/>
      <c r="K142" s="2103"/>
      <c r="L142" s="2103"/>
      <c r="M142" s="2103"/>
      <c r="N142" s="2103"/>
      <c r="O142" s="2103"/>
      <c r="P142" s="2103"/>
      <c r="Q142" s="2103"/>
      <c r="R142" s="2103"/>
      <c r="S142" s="2103"/>
      <c r="T142" s="2103"/>
      <c r="U142" s="2103"/>
      <c r="V142" s="2103"/>
      <c r="W142" s="2103"/>
      <c r="X142" s="2103"/>
      <c r="Y142" s="2103"/>
      <c r="Z142" s="2103"/>
      <c r="AA142" s="2103"/>
      <c r="AB142" s="1421">
        <f>SUM(AB138:AB141)</f>
        <v>2441.8000000000002</v>
      </c>
    </row>
    <row r="143" spans="2:28" x14ac:dyDescent="0.3">
      <c r="B143" s="1395"/>
      <c r="C143" s="1395"/>
      <c r="D143" s="1395"/>
      <c r="E143" s="1395"/>
      <c r="F143" s="1395"/>
      <c r="G143" s="1395"/>
      <c r="H143" s="1395"/>
      <c r="I143" s="1395"/>
      <c r="J143" s="1395"/>
      <c r="K143" s="1395"/>
      <c r="L143" s="1395"/>
      <c r="M143" s="1395"/>
      <c r="N143" s="1395"/>
      <c r="O143" s="1395"/>
      <c r="P143" s="1395"/>
      <c r="Q143" s="1395"/>
      <c r="R143" s="1395"/>
      <c r="S143" s="1395"/>
      <c r="T143" s="1395"/>
      <c r="U143" s="1395"/>
      <c r="V143" s="1395"/>
      <c r="W143" s="1395"/>
      <c r="X143" s="1395"/>
      <c r="Y143" s="1395"/>
      <c r="Z143" s="1395"/>
      <c r="AA143" s="1395"/>
      <c r="AB143" s="1395"/>
    </row>
    <row r="144" spans="2:28" ht="15" customHeight="1" x14ac:dyDescent="0.3">
      <c r="B144" s="1395" t="s">
        <v>1434</v>
      </c>
      <c r="C144" s="2099" t="s">
        <v>1620</v>
      </c>
      <c r="D144" s="2100"/>
      <c r="E144" s="2100"/>
      <c r="F144" s="2100"/>
      <c r="G144" s="2100"/>
      <c r="H144" s="2100"/>
      <c r="I144" s="2100"/>
      <c r="J144" s="2100"/>
      <c r="K144" s="2100"/>
      <c r="L144" s="2100"/>
      <c r="M144" s="2100"/>
      <c r="N144" s="2100"/>
      <c r="O144" s="2100"/>
      <c r="P144" s="2100"/>
      <c r="Q144" s="2100"/>
      <c r="R144" s="2100"/>
      <c r="S144" s="2100"/>
      <c r="T144" s="2100"/>
      <c r="U144" s="2100"/>
      <c r="V144" s="2100"/>
      <c r="W144" s="2100"/>
      <c r="X144" s="2100"/>
      <c r="Y144" s="2100"/>
      <c r="Z144" s="2100"/>
      <c r="AA144" s="2100"/>
      <c r="AB144" s="2101"/>
    </row>
    <row r="145" spans="2:28" x14ac:dyDescent="0.3">
      <c r="B145" s="1395"/>
      <c r="C145" s="1395"/>
      <c r="D145" s="1395"/>
      <c r="E145" s="1395"/>
      <c r="F145" s="1395"/>
      <c r="G145" s="1395"/>
      <c r="H145" s="1395"/>
      <c r="I145" s="1395"/>
      <c r="J145" s="1395"/>
      <c r="K145" s="1395"/>
      <c r="L145" s="1395"/>
      <c r="M145" s="1395"/>
      <c r="N145" s="1395"/>
      <c r="O145" s="1395"/>
      <c r="P145" s="1395"/>
      <c r="Q145" s="1395"/>
      <c r="R145" s="1395"/>
      <c r="S145" s="1395"/>
      <c r="T145" s="1395"/>
      <c r="U145" s="1395"/>
      <c r="V145" s="1395"/>
      <c r="W145" s="1395"/>
      <c r="X145" s="1395"/>
      <c r="Y145" s="1395"/>
      <c r="Z145" s="1395"/>
      <c r="AA145" s="1395"/>
      <c r="AB145" s="1395"/>
    </row>
    <row r="146" spans="2:28" s="1420" customFormat="1" ht="21" customHeight="1" x14ac:dyDescent="0.3">
      <c r="B146" s="1419"/>
      <c r="C146" s="1418" t="s">
        <v>1435</v>
      </c>
      <c r="D146" s="1419" t="s">
        <v>1436</v>
      </c>
      <c r="E146" s="1419" t="s">
        <v>1437</v>
      </c>
      <c r="F146" s="1419" t="s">
        <v>1438</v>
      </c>
      <c r="G146" s="1419" t="s">
        <v>1439</v>
      </c>
      <c r="H146" s="1419" t="s">
        <v>1440</v>
      </c>
      <c r="I146" s="1419" t="s">
        <v>1441</v>
      </c>
      <c r="J146" s="1419" t="s">
        <v>1442</v>
      </c>
      <c r="K146" s="1419" t="s">
        <v>1443</v>
      </c>
      <c r="L146" s="1419" t="s">
        <v>1444</v>
      </c>
      <c r="M146" s="1419" t="s">
        <v>1445</v>
      </c>
      <c r="N146" s="1419" t="s">
        <v>1446</v>
      </c>
      <c r="O146" s="1419" t="s">
        <v>1447</v>
      </c>
      <c r="P146" s="1419" t="s">
        <v>1448</v>
      </c>
      <c r="Q146" s="1419" t="s">
        <v>1449</v>
      </c>
      <c r="R146" s="1419" t="s">
        <v>1450</v>
      </c>
      <c r="S146" s="1419" t="s">
        <v>1451</v>
      </c>
      <c r="T146" s="1419" t="s">
        <v>1452</v>
      </c>
      <c r="U146" s="1419" t="s">
        <v>1453</v>
      </c>
      <c r="V146" s="1419" t="s">
        <v>1454</v>
      </c>
      <c r="W146" s="1419" t="s">
        <v>1455</v>
      </c>
      <c r="X146" s="1419" t="s">
        <v>1456</v>
      </c>
      <c r="Y146" s="1419" t="s">
        <v>1457</v>
      </c>
      <c r="Z146" s="1419" t="s">
        <v>1458</v>
      </c>
      <c r="AA146" s="1419" t="s">
        <v>1466</v>
      </c>
      <c r="AB146" s="1419" t="s">
        <v>1467</v>
      </c>
    </row>
    <row r="147" spans="2:28" x14ac:dyDescent="0.3">
      <c r="B147" s="1437" t="s">
        <v>1461</v>
      </c>
      <c r="C147" s="1448">
        <v>0.05</v>
      </c>
      <c r="D147" s="1448">
        <v>0.05</v>
      </c>
      <c r="E147" s="1448">
        <v>0.05</v>
      </c>
      <c r="F147" s="1448">
        <v>0.05</v>
      </c>
      <c r="G147" s="1448">
        <v>0.05</v>
      </c>
      <c r="H147" s="1448">
        <v>0.1</v>
      </c>
      <c r="I147" s="1448">
        <v>0.1</v>
      </c>
      <c r="J147" s="1448">
        <v>0.3</v>
      </c>
      <c r="K147" s="1448">
        <v>0.65</v>
      </c>
      <c r="L147" s="1448">
        <v>0.65</v>
      </c>
      <c r="M147" s="1448">
        <v>0.65</v>
      </c>
      <c r="N147" s="1448">
        <v>0.65</v>
      </c>
      <c r="O147" s="1448">
        <v>0.55000000000000004</v>
      </c>
      <c r="P147" s="1448">
        <v>0.65</v>
      </c>
      <c r="Q147" s="1448">
        <v>0.65</v>
      </c>
      <c r="R147" s="1448">
        <v>0.65</v>
      </c>
      <c r="S147" s="1448">
        <v>0.65</v>
      </c>
      <c r="T147" s="1448">
        <v>0.35</v>
      </c>
      <c r="U147" s="1448">
        <v>0.3</v>
      </c>
      <c r="V147" s="1448">
        <v>0.3</v>
      </c>
      <c r="W147" s="1448">
        <v>0.2</v>
      </c>
      <c r="X147" s="1448">
        <v>0.2</v>
      </c>
      <c r="Y147" s="1448">
        <v>0.1</v>
      </c>
      <c r="Z147" s="1448">
        <v>0.05</v>
      </c>
      <c r="AA147" s="1424">
        <f>SUM(C147:Z147)</f>
        <v>8</v>
      </c>
      <c r="AB147" s="1425">
        <f>AA147*SUM($C$9:$C$13)</f>
        <v>2000</v>
      </c>
    </row>
    <row r="148" spans="2:28" x14ac:dyDescent="0.3">
      <c r="B148" s="1439" t="s">
        <v>1431</v>
      </c>
      <c r="C148" s="1449">
        <v>0.05</v>
      </c>
      <c r="D148" s="1449">
        <v>0.05</v>
      </c>
      <c r="E148" s="1449">
        <v>0.05</v>
      </c>
      <c r="F148" s="1449">
        <v>0.05</v>
      </c>
      <c r="G148" s="1449">
        <v>0.05</v>
      </c>
      <c r="H148" s="1449">
        <v>0.05</v>
      </c>
      <c r="I148" s="1449">
        <v>0.1</v>
      </c>
      <c r="J148" s="1449">
        <v>0.1</v>
      </c>
      <c r="K148" s="1449">
        <v>0.3</v>
      </c>
      <c r="L148" s="1449">
        <v>0.3</v>
      </c>
      <c r="M148" s="1449">
        <v>0.3</v>
      </c>
      <c r="N148" s="1449">
        <v>0.3</v>
      </c>
      <c r="O148" s="1449">
        <v>0.15</v>
      </c>
      <c r="P148" s="1449">
        <v>0.15</v>
      </c>
      <c r="Q148" s="1449">
        <v>0.15</v>
      </c>
      <c r="R148" s="1449">
        <v>0.15</v>
      </c>
      <c r="S148" s="1449">
        <v>0.15</v>
      </c>
      <c r="T148" s="1449">
        <v>0.05</v>
      </c>
      <c r="U148" s="1449">
        <v>0.05</v>
      </c>
      <c r="V148" s="1449">
        <v>0.05</v>
      </c>
      <c r="W148" s="1449">
        <v>0.05</v>
      </c>
      <c r="X148" s="1449">
        <v>0.05</v>
      </c>
      <c r="Y148" s="1449">
        <v>0.05</v>
      </c>
      <c r="Z148" s="1449">
        <v>0.05</v>
      </c>
      <c r="AA148" s="1428">
        <f>SUM(C148:Z148)</f>
        <v>2.7999999999999985</v>
      </c>
      <c r="AB148" s="1429">
        <f>AA148*SUM($C$14)</f>
        <v>145.59999999999991</v>
      </c>
    </row>
    <row r="149" spans="2:28" x14ac:dyDescent="0.3">
      <c r="B149" s="1439" t="s">
        <v>1432</v>
      </c>
      <c r="C149" s="1449">
        <v>0.05</v>
      </c>
      <c r="D149" s="1449">
        <v>0.05</v>
      </c>
      <c r="E149" s="1449">
        <v>0.05</v>
      </c>
      <c r="F149" s="1449">
        <v>0.05</v>
      </c>
      <c r="G149" s="1449">
        <v>0.05</v>
      </c>
      <c r="H149" s="1449">
        <v>0.05</v>
      </c>
      <c r="I149" s="1449">
        <v>0.05</v>
      </c>
      <c r="J149" s="1449">
        <v>0.05</v>
      </c>
      <c r="K149" s="1449">
        <v>0.05</v>
      </c>
      <c r="L149" s="1449">
        <v>0.05</v>
      </c>
      <c r="M149" s="1449">
        <v>0.05</v>
      </c>
      <c r="N149" s="1449">
        <v>0.05</v>
      </c>
      <c r="O149" s="1449">
        <v>0.05</v>
      </c>
      <c r="P149" s="1449">
        <v>0.05</v>
      </c>
      <c r="Q149" s="1449">
        <v>0.05</v>
      </c>
      <c r="R149" s="1449">
        <v>0.05</v>
      </c>
      <c r="S149" s="1449">
        <v>0.05</v>
      </c>
      <c r="T149" s="1449">
        <v>0.05</v>
      </c>
      <c r="U149" s="1449">
        <v>0.05</v>
      </c>
      <c r="V149" s="1449">
        <v>0.05</v>
      </c>
      <c r="W149" s="1449">
        <v>0.05</v>
      </c>
      <c r="X149" s="1449">
        <v>0.05</v>
      </c>
      <c r="Y149" s="1449">
        <v>0.05</v>
      </c>
      <c r="Z149" s="1449">
        <v>0.05</v>
      </c>
      <c r="AA149" s="1428">
        <f>SUM(C149:Z149)</f>
        <v>1.2000000000000004</v>
      </c>
      <c r="AB149" s="1429">
        <f>AA149*$C$15</f>
        <v>62.40000000000002</v>
      </c>
    </row>
    <row r="150" spans="2:28" x14ac:dyDescent="0.3">
      <c r="B150" s="1441" t="s">
        <v>1463</v>
      </c>
      <c r="C150" s="1450">
        <v>0.05</v>
      </c>
      <c r="D150" s="1450">
        <v>0.05</v>
      </c>
      <c r="E150" s="1450">
        <v>0.05</v>
      </c>
      <c r="F150" s="1450">
        <v>0.05</v>
      </c>
      <c r="G150" s="1450">
        <v>0.05</v>
      </c>
      <c r="H150" s="1450">
        <v>0.05</v>
      </c>
      <c r="I150" s="1450">
        <v>0.05</v>
      </c>
      <c r="J150" s="1450">
        <v>0.05</v>
      </c>
      <c r="K150" s="1450">
        <v>0.05</v>
      </c>
      <c r="L150" s="1450">
        <v>0.05</v>
      </c>
      <c r="M150" s="1450">
        <v>0.05</v>
      </c>
      <c r="N150" s="1450">
        <v>0.05</v>
      </c>
      <c r="O150" s="1450">
        <v>0.05</v>
      </c>
      <c r="P150" s="1450">
        <v>0.05</v>
      </c>
      <c r="Q150" s="1450">
        <v>0.05</v>
      </c>
      <c r="R150" s="1450">
        <v>0.05</v>
      </c>
      <c r="S150" s="1450">
        <v>0.05</v>
      </c>
      <c r="T150" s="1450">
        <v>0.05</v>
      </c>
      <c r="U150" s="1450">
        <v>0.05</v>
      </c>
      <c r="V150" s="1450">
        <v>0.05</v>
      </c>
      <c r="W150" s="1450">
        <v>0.05</v>
      </c>
      <c r="X150" s="1450">
        <v>0.05</v>
      </c>
      <c r="Y150" s="1450">
        <v>0.05</v>
      </c>
      <c r="Z150" s="1450">
        <v>0.05</v>
      </c>
      <c r="AA150" s="1432">
        <f>SUM(C150:Z150)</f>
        <v>1.2000000000000004</v>
      </c>
      <c r="AB150" s="1433">
        <f>AA150*SUM($C$8)</f>
        <v>13.200000000000005</v>
      </c>
    </row>
    <row r="151" spans="2:28" x14ac:dyDescent="0.3">
      <c r="B151" s="2102" t="s">
        <v>1468</v>
      </c>
      <c r="C151" s="2103"/>
      <c r="D151" s="2103"/>
      <c r="E151" s="2103"/>
      <c r="F151" s="2103"/>
      <c r="G151" s="2103"/>
      <c r="H151" s="2103"/>
      <c r="I151" s="2103"/>
      <c r="J151" s="2103"/>
      <c r="K151" s="2103"/>
      <c r="L151" s="2103"/>
      <c r="M151" s="2103"/>
      <c r="N151" s="2103"/>
      <c r="O151" s="2103"/>
      <c r="P151" s="2103"/>
      <c r="Q151" s="2103"/>
      <c r="R151" s="2103"/>
      <c r="S151" s="2103"/>
      <c r="T151" s="2103"/>
      <c r="U151" s="2103"/>
      <c r="V151" s="2103"/>
      <c r="W151" s="2103"/>
      <c r="X151" s="2103"/>
      <c r="Y151" s="2103"/>
      <c r="Z151" s="2103"/>
      <c r="AA151" s="2103"/>
      <c r="AB151" s="1421">
        <f>SUM(AB147:AB150)</f>
        <v>2221.1999999999998</v>
      </c>
    </row>
    <row r="152" spans="2:28" x14ac:dyDescent="0.3">
      <c r="B152" s="1395"/>
      <c r="C152" s="1395"/>
      <c r="D152" s="1395"/>
      <c r="E152" s="1395"/>
      <c r="F152" s="1395"/>
      <c r="G152" s="1395"/>
      <c r="H152" s="1395"/>
      <c r="I152" s="1395"/>
      <c r="J152" s="1395"/>
      <c r="K152" s="1395"/>
      <c r="L152" s="1395"/>
      <c r="M152" s="1395"/>
      <c r="N152" s="1395"/>
      <c r="O152" s="1395"/>
      <c r="P152" s="1395"/>
      <c r="Q152" s="1395"/>
      <c r="R152" s="1395"/>
      <c r="S152" s="1395"/>
      <c r="T152" s="1395"/>
      <c r="U152" s="1395"/>
      <c r="V152" s="1395"/>
      <c r="W152" s="1395"/>
      <c r="X152" s="1395"/>
      <c r="Y152" s="1395"/>
      <c r="Z152" s="1395"/>
      <c r="AA152" s="1395"/>
      <c r="AB152" s="1395"/>
    </row>
    <row r="153" spans="2:28" ht="15" customHeight="1" x14ac:dyDescent="0.3">
      <c r="B153" s="1395" t="s">
        <v>1434</v>
      </c>
      <c r="C153" s="2099" t="s">
        <v>1621</v>
      </c>
      <c r="D153" s="2100"/>
      <c r="E153" s="2100"/>
      <c r="F153" s="2100"/>
      <c r="G153" s="2100"/>
      <c r="H153" s="2100"/>
      <c r="I153" s="2100"/>
      <c r="J153" s="2100"/>
      <c r="K153" s="2100"/>
      <c r="L153" s="2100"/>
      <c r="M153" s="2100"/>
      <c r="N153" s="2100"/>
      <c r="O153" s="2100"/>
      <c r="P153" s="2100"/>
      <c r="Q153" s="2100"/>
      <c r="R153" s="2100"/>
      <c r="S153" s="2100"/>
      <c r="T153" s="2100"/>
      <c r="U153" s="2100"/>
      <c r="V153" s="2100"/>
      <c r="W153" s="2100"/>
      <c r="X153" s="2100"/>
      <c r="Y153" s="2100"/>
      <c r="Z153" s="2100"/>
      <c r="AA153" s="2100"/>
      <c r="AB153" s="2101"/>
    </row>
    <row r="154" spans="2:28" x14ac:dyDescent="0.3">
      <c r="B154" s="1395"/>
      <c r="C154" s="1395"/>
      <c r="D154" s="1395"/>
      <c r="E154" s="1395"/>
      <c r="F154" s="1395"/>
      <c r="G154" s="1395"/>
      <c r="H154" s="1395"/>
      <c r="I154" s="1395"/>
      <c r="J154" s="1395"/>
      <c r="K154" s="1395"/>
      <c r="L154" s="1395"/>
      <c r="M154" s="1395"/>
      <c r="N154" s="1395"/>
      <c r="O154" s="1395"/>
      <c r="P154" s="1395"/>
      <c r="Q154" s="1395"/>
      <c r="R154" s="1395"/>
      <c r="S154" s="1395"/>
      <c r="T154" s="1395"/>
      <c r="U154" s="1395"/>
      <c r="V154" s="1395"/>
      <c r="W154" s="1395"/>
      <c r="X154" s="1395"/>
      <c r="Y154" s="1395"/>
      <c r="Z154" s="1395"/>
      <c r="AA154" s="1395"/>
      <c r="AB154" s="1395"/>
    </row>
    <row r="155" spans="2:28" s="1420" customFormat="1" ht="21" customHeight="1" x14ac:dyDescent="0.3">
      <c r="B155" s="1419"/>
      <c r="C155" s="1418" t="s">
        <v>1435</v>
      </c>
      <c r="D155" s="1419" t="s">
        <v>1436</v>
      </c>
      <c r="E155" s="1419" t="s">
        <v>1437</v>
      </c>
      <c r="F155" s="1419" t="s">
        <v>1438</v>
      </c>
      <c r="G155" s="1419" t="s">
        <v>1439</v>
      </c>
      <c r="H155" s="1419" t="s">
        <v>1440</v>
      </c>
      <c r="I155" s="1419" t="s">
        <v>1441</v>
      </c>
      <c r="J155" s="1419" t="s">
        <v>1442</v>
      </c>
      <c r="K155" s="1419" t="s">
        <v>1443</v>
      </c>
      <c r="L155" s="1419" t="s">
        <v>1444</v>
      </c>
      <c r="M155" s="1419" t="s">
        <v>1445</v>
      </c>
      <c r="N155" s="1419" t="s">
        <v>1446</v>
      </c>
      <c r="O155" s="1419" t="s">
        <v>1447</v>
      </c>
      <c r="P155" s="1419" t="s">
        <v>1448</v>
      </c>
      <c r="Q155" s="1419" t="s">
        <v>1449</v>
      </c>
      <c r="R155" s="1419" t="s">
        <v>1450</v>
      </c>
      <c r="S155" s="1419" t="s">
        <v>1451</v>
      </c>
      <c r="T155" s="1419" t="s">
        <v>1452</v>
      </c>
      <c r="U155" s="1419" t="s">
        <v>1453</v>
      </c>
      <c r="V155" s="1419" t="s">
        <v>1454</v>
      </c>
      <c r="W155" s="1419" t="s">
        <v>1455</v>
      </c>
      <c r="X155" s="1419" t="s">
        <v>1456</v>
      </c>
      <c r="Y155" s="1419" t="s">
        <v>1457</v>
      </c>
      <c r="Z155" s="1419" t="s">
        <v>1458</v>
      </c>
      <c r="AA155" s="1419" t="s">
        <v>1466</v>
      </c>
      <c r="AB155" s="1419" t="s">
        <v>1467</v>
      </c>
    </row>
    <row r="156" spans="2:28" x14ac:dyDescent="0.3">
      <c r="B156" s="1437" t="s">
        <v>1461</v>
      </c>
      <c r="C156" s="1448">
        <v>0.05</v>
      </c>
      <c r="D156" s="1448">
        <v>0.05</v>
      </c>
      <c r="E156" s="1448">
        <v>0.05</v>
      </c>
      <c r="F156" s="1448">
        <v>0.05</v>
      </c>
      <c r="G156" s="1448">
        <v>0.05</v>
      </c>
      <c r="H156" s="1448">
        <v>0.1</v>
      </c>
      <c r="I156" s="1448">
        <v>0.1</v>
      </c>
      <c r="J156" s="1448">
        <v>0.3</v>
      </c>
      <c r="K156" s="1448">
        <v>0.9</v>
      </c>
      <c r="L156" s="1448">
        <v>0.9</v>
      </c>
      <c r="M156" s="1448">
        <v>0.9</v>
      </c>
      <c r="N156" s="1448">
        <v>0.9</v>
      </c>
      <c r="O156" s="1448">
        <v>0.8</v>
      </c>
      <c r="P156" s="1448">
        <v>0.9</v>
      </c>
      <c r="Q156" s="1448">
        <v>0.9</v>
      </c>
      <c r="R156" s="1448">
        <v>0.9</v>
      </c>
      <c r="S156" s="1448">
        <v>0.9</v>
      </c>
      <c r="T156" s="1448">
        <v>0.5</v>
      </c>
      <c r="U156" s="1448">
        <v>0.3</v>
      </c>
      <c r="V156" s="1448">
        <v>0.3</v>
      </c>
      <c r="W156" s="1448">
        <v>0.2</v>
      </c>
      <c r="X156" s="1448">
        <v>0.2</v>
      </c>
      <c r="Y156" s="1448">
        <v>0.1</v>
      </c>
      <c r="Z156" s="1448">
        <v>0.05</v>
      </c>
      <c r="AA156" s="1424">
        <f>SUM(C156:Z156)</f>
        <v>10.4</v>
      </c>
      <c r="AB156" s="1425">
        <f>AA156*SUM($C$9:$C$13)</f>
        <v>2600</v>
      </c>
    </row>
    <row r="157" spans="2:28" x14ac:dyDescent="0.3">
      <c r="B157" s="1439" t="s">
        <v>1431</v>
      </c>
      <c r="C157" s="1449">
        <v>0.05</v>
      </c>
      <c r="D157" s="1449">
        <v>0.05</v>
      </c>
      <c r="E157" s="1449">
        <v>0.05</v>
      </c>
      <c r="F157" s="1449">
        <v>0.05</v>
      </c>
      <c r="G157" s="1449">
        <v>0.05</v>
      </c>
      <c r="H157" s="1449">
        <v>0.05</v>
      </c>
      <c r="I157" s="1449">
        <v>0.1</v>
      </c>
      <c r="J157" s="1449">
        <v>0.1</v>
      </c>
      <c r="K157" s="1449">
        <v>0.3</v>
      </c>
      <c r="L157" s="1449">
        <v>0.3</v>
      </c>
      <c r="M157" s="1449">
        <v>0.3</v>
      </c>
      <c r="N157" s="1449">
        <v>0.3</v>
      </c>
      <c r="O157" s="1449">
        <v>0.15</v>
      </c>
      <c r="P157" s="1449">
        <v>0.15</v>
      </c>
      <c r="Q157" s="1449">
        <v>0.15</v>
      </c>
      <c r="R157" s="1449">
        <v>0.15</v>
      </c>
      <c r="S157" s="1449">
        <v>0.15</v>
      </c>
      <c r="T157" s="1449">
        <v>0.05</v>
      </c>
      <c r="U157" s="1449">
        <v>0.05</v>
      </c>
      <c r="V157" s="1449">
        <v>0.05</v>
      </c>
      <c r="W157" s="1449">
        <v>0.05</v>
      </c>
      <c r="X157" s="1449">
        <v>0.05</v>
      </c>
      <c r="Y157" s="1449">
        <v>0.05</v>
      </c>
      <c r="Z157" s="1449">
        <v>0.05</v>
      </c>
      <c r="AA157" s="1428">
        <f>SUM(C157:Z157)</f>
        <v>2.7999999999999985</v>
      </c>
      <c r="AB157" s="1429">
        <f>AA157*SUM($C$14)</f>
        <v>145.59999999999991</v>
      </c>
    </row>
    <row r="158" spans="2:28" x14ac:dyDescent="0.3">
      <c r="B158" s="1439" t="s">
        <v>1432</v>
      </c>
      <c r="C158" s="1449">
        <v>0.05</v>
      </c>
      <c r="D158" s="1449">
        <v>0.05</v>
      </c>
      <c r="E158" s="1449">
        <v>0.05</v>
      </c>
      <c r="F158" s="1449">
        <v>0.05</v>
      </c>
      <c r="G158" s="1449">
        <v>0.05</v>
      </c>
      <c r="H158" s="1449">
        <v>0.05</v>
      </c>
      <c r="I158" s="1449">
        <v>0.05</v>
      </c>
      <c r="J158" s="1449">
        <v>0.05</v>
      </c>
      <c r="K158" s="1449">
        <v>0.05</v>
      </c>
      <c r="L158" s="1449">
        <v>0.05</v>
      </c>
      <c r="M158" s="1449">
        <v>0.05</v>
      </c>
      <c r="N158" s="1449">
        <v>0.05</v>
      </c>
      <c r="O158" s="1449">
        <v>0.05</v>
      </c>
      <c r="P158" s="1449">
        <v>0.05</v>
      </c>
      <c r="Q158" s="1449">
        <v>0.05</v>
      </c>
      <c r="R158" s="1449">
        <v>0.05</v>
      </c>
      <c r="S158" s="1449">
        <v>0.05</v>
      </c>
      <c r="T158" s="1449">
        <v>0.05</v>
      </c>
      <c r="U158" s="1449">
        <v>0.05</v>
      </c>
      <c r="V158" s="1449">
        <v>0.05</v>
      </c>
      <c r="W158" s="1449">
        <v>0.05</v>
      </c>
      <c r="X158" s="1449">
        <v>0.05</v>
      </c>
      <c r="Y158" s="1449">
        <v>0.05</v>
      </c>
      <c r="Z158" s="1449">
        <v>0.05</v>
      </c>
      <c r="AA158" s="1428">
        <f>SUM(C158:Z158)</f>
        <v>1.2000000000000004</v>
      </c>
      <c r="AB158" s="1429">
        <f>AA158*$C$15</f>
        <v>62.40000000000002</v>
      </c>
    </row>
    <row r="159" spans="2:28" x14ac:dyDescent="0.3">
      <c r="B159" s="1441" t="s">
        <v>1463</v>
      </c>
      <c r="C159" s="1450">
        <v>0.05</v>
      </c>
      <c r="D159" s="1450">
        <v>0.05</v>
      </c>
      <c r="E159" s="1450">
        <v>0.05</v>
      </c>
      <c r="F159" s="1450">
        <v>0.05</v>
      </c>
      <c r="G159" s="1450">
        <v>0.05</v>
      </c>
      <c r="H159" s="1450">
        <v>0.05</v>
      </c>
      <c r="I159" s="1450">
        <v>0.05</v>
      </c>
      <c r="J159" s="1450">
        <v>0.05</v>
      </c>
      <c r="K159" s="1450">
        <v>0.05</v>
      </c>
      <c r="L159" s="1450">
        <v>0.05</v>
      </c>
      <c r="M159" s="1450">
        <v>0.05</v>
      </c>
      <c r="N159" s="1450">
        <v>0.05</v>
      </c>
      <c r="O159" s="1450">
        <v>0.05</v>
      </c>
      <c r="P159" s="1450">
        <v>0.05</v>
      </c>
      <c r="Q159" s="1450">
        <v>0.05</v>
      </c>
      <c r="R159" s="1450">
        <v>0.05</v>
      </c>
      <c r="S159" s="1450">
        <v>0.05</v>
      </c>
      <c r="T159" s="1450">
        <v>0.05</v>
      </c>
      <c r="U159" s="1450">
        <v>0.05</v>
      </c>
      <c r="V159" s="1450">
        <v>0.05</v>
      </c>
      <c r="W159" s="1450">
        <v>0.05</v>
      </c>
      <c r="X159" s="1450">
        <v>0.05</v>
      </c>
      <c r="Y159" s="1450">
        <v>0.05</v>
      </c>
      <c r="Z159" s="1450">
        <v>0.05</v>
      </c>
      <c r="AA159" s="1432">
        <f>SUM(C159:Z159)</f>
        <v>1.2000000000000004</v>
      </c>
      <c r="AB159" s="1433">
        <f>AA159*SUM($C$8)</f>
        <v>13.200000000000005</v>
      </c>
    </row>
    <row r="160" spans="2:28" x14ac:dyDescent="0.3">
      <c r="B160" s="2102" t="s">
        <v>1468</v>
      </c>
      <c r="C160" s="2103"/>
      <c r="D160" s="2103"/>
      <c r="E160" s="2103"/>
      <c r="F160" s="2103"/>
      <c r="G160" s="2103"/>
      <c r="H160" s="2103"/>
      <c r="I160" s="2103"/>
      <c r="J160" s="2103"/>
      <c r="K160" s="2103"/>
      <c r="L160" s="2103"/>
      <c r="M160" s="2103"/>
      <c r="N160" s="2103"/>
      <c r="O160" s="2103"/>
      <c r="P160" s="2103"/>
      <c r="Q160" s="2103"/>
      <c r="R160" s="2103"/>
      <c r="S160" s="2103"/>
      <c r="T160" s="2103"/>
      <c r="U160" s="2103"/>
      <c r="V160" s="2103"/>
      <c r="W160" s="2103"/>
      <c r="X160" s="2103"/>
      <c r="Y160" s="2103"/>
      <c r="Z160" s="2103"/>
      <c r="AA160" s="2103"/>
      <c r="AB160" s="1421">
        <f>SUM(AB156:AB159)</f>
        <v>2821.2</v>
      </c>
    </row>
    <row r="161" spans="2:28" x14ac:dyDescent="0.3">
      <c r="B161" s="1395"/>
      <c r="C161" s="1395"/>
      <c r="D161" s="1395"/>
      <c r="E161" s="1395"/>
      <c r="F161" s="1395"/>
      <c r="G161" s="1395"/>
      <c r="H161" s="1395"/>
      <c r="I161" s="1395"/>
      <c r="J161" s="1395"/>
      <c r="K161" s="1395"/>
      <c r="L161" s="1395"/>
      <c r="M161" s="1395"/>
      <c r="N161" s="1395"/>
      <c r="O161" s="1395"/>
      <c r="P161" s="1395"/>
      <c r="Q161" s="1395"/>
      <c r="R161" s="1395"/>
      <c r="S161" s="1395"/>
      <c r="T161" s="1395"/>
      <c r="U161" s="1395"/>
      <c r="V161" s="1395"/>
      <c r="W161" s="1395"/>
      <c r="X161" s="1395"/>
      <c r="Y161" s="1395"/>
      <c r="Z161" s="1395"/>
      <c r="AA161" s="1395"/>
      <c r="AB161" s="1395"/>
    </row>
    <row r="162" spans="2:28" ht="15" customHeight="1" x14ac:dyDescent="0.3">
      <c r="B162" s="1395" t="s">
        <v>1434</v>
      </c>
      <c r="C162" s="2099" t="s">
        <v>1622</v>
      </c>
      <c r="D162" s="2100"/>
      <c r="E162" s="2100"/>
      <c r="F162" s="2100"/>
      <c r="G162" s="2100"/>
      <c r="H162" s="2100"/>
      <c r="I162" s="2100"/>
      <c r="J162" s="2100"/>
      <c r="K162" s="2100"/>
      <c r="L162" s="2100"/>
      <c r="M162" s="2100"/>
      <c r="N162" s="2100"/>
      <c r="O162" s="2100"/>
      <c r="P162" s="2100"/>
      <c r="Q162" s="2100"/>
      <c r="R162" s="2100"/>
      <c r="S162" s="2100"/>
      <c r="T162" s="2100"/>
      <c r="U162" s="2100"/>
      <c r="V162" s="2100"/>
      <c r="W162" s="2100"/>
      <c r="X162" s="2100"/>
      <c r="Y162" s="2100"/>
      <c r="Z162" s="2100"/>
      <c r="AA162" s="2100"/>
      <c r="AB162" s="2101"/>
    </row>
    <row r="163" spans="2:28" x14ac:dyDescent="0.3">
      <c r="B163" s="1395"/>
      <c r="C163" s="1395"/>
      <c r="D163" s="1395"/>
      <c r="E163" s="1395"/>
      <c r="F163" s="1395"/>
      <c r="G163" s="1395"/>
      <c r="H163" s="1395"/>
      <c r="I163" s="1395"/>
      <c r="J163" s="1395"/>
      <c r="K163" s="1395"/>
      <c r="L163" s="1395"/>
      <c r="M163" s="1395"/>
      <c r="N163" s="1395"/>
      <c r="O163" s="1395"/>
      <c r="P163" s="1395"/>
      <c r="Q163" s="1395"/>
      <c r="R163" s="1395"/>
      <c r="S163" s="1395"/>
      <c r="T163" s="1395"/>
      <c r="U163" s="1395"/>
      <c r="V163" s="1395"/>
      <c r="W163" s="1395"/>
      <c r="X163" s="1395"/>
      <c r="Y163" s="1395"/>
      <c r="Z163" s="1395"/>
      <c r="AA163" s="1395"/>
      <c r="AB163" s="1395"/>
    </row>
    <row r="164" spans="2:28" s="1420" customFormat="1" ht="21" customHeight="1" x14ac:dyDescent="0.3">
      <c r="B164" s="1419"/>
      <c r="C164" s="1418" t="s">
        <v>1435</v>
      </c>
      <c r="D164" s="1419" t="s">
        <v>1436</v>
      </c>
      <c r="E164" s="1419" t="s">
        <v>1437</v>
      </c>
      <c r="F164" s="1419" t="s">
        <v>1438</v>
      </c>
      <c r="G164" s="1419" t="s">
        <v>1439</v>
      </c>
      <c r="H164" s="1419" t="s">
        <v>1440</v>
      </c>
      <c r="I164" s="1419" t="s">
        <v>1441</v>
      </c>
      <c r="J164" s="1419" t="s">
        <v>1442</v>
      </c>
      <c r="K164" s="1419" t="s">
        <v>1443</v>
      </c>
      <c r="L164" s="1419" t="s">
        <v>1444</v>
      </c>
      <c r="M164" s="1419" t="s">
        <v>1445</v>
      </c>
      <c r="N164" s="1419" t="s">
        <v>1446</v>
      </c>
      <c r="O164" s="1419" t="s">
        <v>1447</v>
      </c>
      <c r="P164" s="1419" t="s">
        <v>1448</v>
      </c>
      <c r="Q164" s="1419" t="s">
        <v>1449</v>
      </c>
      <c r="R164" s="1419" t="s">
        <v>1450</v>
      </c>
      <c r="S164" s="1419" t="s">
        <v>1451</v>
      </c>
      <c r="T164" s="1419" t="s">
        <v>1452</v>
      </c>
      <c r="U164" s="1419" t="s">
        <v>1453</v>
      </c>
      <c r="V164" s="1419" t="s">
        <v>1454</v>
      </c>
      <c r="W164" s="1419" t="s">
        <v>1455</v>
      </c>
      <c r="X164" s="1419" t="s">
        <v>1456</v>
      </c>
      <c r="Y164" s="1419" t="s">
        <v>1457</v>
      </c>
      <c r="Z164" s="1419" t="s">
        <v>1458</v>
      </c>
      <c r="AA164" s="1419" t="s">
        <v>1466</v>
      </c>
      <c r="AB164" s="1419" t="s">
        <v>1467</v>
      </c>
    </row>
    <row r="165" spans="2:28" x14ac:dyDescent="0.3">
      <c r="B165" s="1437" t="s">
        <v>1461</v>
      </c>
      <c r="C165" s="1448">
        <v>0.05</v>
      </c>
      <c r="D165" s="1448">
        <v>0.05</v>
      </c>
      <c r="E165" s="1448">
        <v>0.05</v>
      </c>
      <c r="F165" s="1448">
        <v>0.05</v>
      </c>
      <c r="G165" s="1448">
        <v>0.05</v>
      </c>
      <c r="H165" s="1448">
        <v>0.08</v>
      </c>
      <c r="I165" s="1448">
        <v>7.0000000000000007E-2</v>
      </c>
      <c r="J165" s="1448">
        <v>0.19</v>
      </c>
      <c r="K165" s="1448">
        <v>0.35</v>
      </c>
      <c r="L165" s="1448">
        <v>0.38</v>
      </c>
      <c r="M165" s="1448">
        <v>0.39</v>
      </c>
      <c r="N165" s="1448">
        <v>0.47</v>
      </c>
      <c r="O165" s="1448">
        <v>0.56999999999999995</v>
      </c>
      <c r="P165" s="1448">
        <v>0.54</v>
      </c>
      <c r="Q165" s="1448">
        <v>0.34</v>
      </c>
      <c r="R165" s="1448">
        <v>0.33</v>
      </c>
      <c r="S165" s="1448">
        <v>0.44</v>
      </c>
      <c r="T165" s="1448">
        <v>0.26</v>
      </c>
      <c r="U165" s="1448">
        <v>0.21</v>
      </c>
      <c r="V165" s="1448">
        <v>0.15</v>
      </c>
      <c r="W165" s="1448">
        <v>0.17</v>
      </c>
      <c r="X165" s="1448">
        <v>0.08</v>
      </c>
      <c r="Y165" s="1448">
        <v>0.05</v>
      </c>
      <c r="Z165" s="1448">
        <v>0.05</v>
      </c>
      <c r="AA165" s="1424">
        <f>SUM(C165:Z165)</f>
        <v>5.3699999999999992</v>
      </c>
      <c r="AB165" s="1425">
        <f>AA165*SUM($C$9:$C$13)</f>
        <v>1342.4999999999998</v>
      </c>
    </row>
    <row r="166" spans="2:28" x14ac:dyDescent="0.3">
      <c r="B166" s="1439" t="s">
        <v>1431</v>
      </c>
      <c r="C166" s="1449">
        <v>0.05</v>
      </c>
      <c r="D166" s="1449">
        <v>0.05</v>
      </c>
      <c r="E166" s="1449">
        <v>0.05</v>
      </c>
      <c r="F166" s="1449">
        <v>0.05</v>
      </c>
      <c r="G166" s="1449">
        <v>0.05</v>
      </c>
      <c r="H166" s="1449">
        <v>0.08</v>
      </c>
      <c r="I166" s="1449">
        <v>7.0000000000000007E-2</v>
      </c>
      <c r="J166" s="1449">
        <v>0.11</v>
      </c>
      <c r="K166" s="1449">
        <v>0.15</v>
      </c>
      <c r="L166" s="1449">
        <v>0.21</v>
      </c>
      <c r="M166" s="1449">
        <v>0.19</v>
      </c>
      <c r="N166" s="1449">
        <v>0.23</v>
      </c>
      <c r="O166" s="1449">
        <v>0.2</v>
      </c>
      <c r="P166" s="1449">
        <v>0.19</v>
      </c>
      <c r="Q166" s="1449">
        <v>0.15</v>
      </c>
      <c r="R166" s="1449">
        <v>0.12</v>
      </c>
      <c r="S166" s="1449">
        <v>0.14000000000000001</v>
      </c>
      <c r="T166" s="1449">
        <v>7.0000000000000007E-2</v>
      </c>
      <c r="U166" s="1449">
        <v>7.0000000000000007E-2</v>
      </c>
      <c r="V166" s="1449">
        <v>7.0000000000000007E-2</v>
      </c>
      <c r="W166" s="1449">
        <v>7.0000000000000007E-2</v>
      </c>
      <c r="X166" s="1449">
        <v>0.09</v>
      </c>
      <c r="Y166" s="1449">
        <v>0.05</v>
      </c>
      <c r="Z166" s="1449">
        <v>0.05</v>
      </c>
      <c r="AA166" s="1428">
        <f>SUM(C166:Z166)</f>
        <v>2.5599999999999987</v>
      </c>
      <c r="AB166" s="1429">
        <f>AA166*SUM($C$14)</f>
        <v>133.11999999999995</v>
      </c>
    </row>
    <row r="167" spans="2:28" x14ac:dyDescent="0.3">
      <c r="B167" s="1439" t="s">
        <v>1432</v>
      </c>
      <c r="C167" s="1449">
        <v>0.04</v>
      </c>
      <c r="D167" s="1449">
        <v>0.04</v>
      </c>
      <c r="E167" s="1449">
        <v>0.04</v>
      </c>
      <c r="F167" s="1449">
        <v>0.04</v>
      </c>
      <c r="G167" s="1449">
        <v>0.04</v>
      </c>
      <c r="H167" s="1449">
        <v>7.0000000000000007E-2</v>
      </c>
      <c r="I167" s="1449">
        <v>0.04</v>
      </c>
      <c r="J167" s="1449">
        <v>0.04</v>
      </c>
      <c r="K167" s="1449">
        <v>0.04</v>
      </c>
      <c r="L167" s="1449">
        <v>0.04</v>
      </c>
      <c r="M167" s="1449">
        <v>0.04</v>
      </c>
      <c r="N167" s="1449">
        <v>0.06</v>
      </c>
      <c r="O167" s="1449">
        <v>0.06</v>
      </c>
      <c r="P167" s="1449">
        <v>0.09</v>
      </c>
      <c r="Q167" s="1449">
        <v>0.06</v>
      </c>
      <c r="R167" s="1449">
        <v>0.04</v>
      </c>
      <c r="S167" s="1449">
        <v>0.04</v>
      </c>
      <c r="T167" s="1449">
        <v>0.04</v>
      </c>
      <c r="U167" s="1449">
        <v>0.04</v>
      </c>
      <c r="V167" s="1449">
        <v>0.04</v>
      </c>
      <c r="W167" s="1449">
        <v>0.04</v>
      </c>
      <c r="X167" s="1449">
        <v>7.0000000000000007E-2</v>
      </c>
      <c r="Y167" s="1449">
        <v>0.04</v>
      </c>
      <c r="Z167" s="1449">
        <v>0.04</v>
      </c>
      <c r="AA167" s="1428">
        <f>SUM(C167:Z167)</f>
        <v>1.1300000000000001</v>
      </c>
      <c r="AB167" s="1429">
        <f>AA167*$C$15</f>
        <v>58.760000000000005</v>
      </c>
    </row>
    <row r="168" spans="2:28" x14ac:dyDescent="0.3">
      <c r="B168" s="1441" t="s">
        <v>1623</v>
      </c>
      <c r="C168" s="1450">
        <v>0.04</v>
      </c>
      <c r="D168" s="1450">
        <v>0.04</v>
      </c>
      <c r="E168" s="1450">
        <v>0.04</v>
      </c>
      <c r="F168" s="1450">
        <v>0.04</v>
      </c>
      <c r="G168" s="1450">
        <v>0.04</v>
      </c>
      <c r="H168" s="1450">
        <v>7.0000000000000007E-2</v>
      </c>
      <c r="I168" s="1450">
        <v>0.04</v>
      </c>
      <c r="J168" s="1450">
        <v>0.04</v>
      </c>
      <c r="K168" s="1450">
        <v>0.04</v>
      </c>
      <c r="L168" s="1450">
        <v>0.04</v>
      </c>
      <c r="M168" s="1450">
        <v>0.04</v>
      </c>
      <c r="N168" s="1450">
        <v>0.06</v>
      </c>
      <c r="O168" s="1450">
        <v>0.06</v>
      </c>
      <c r="P168" s="1450">
        <v>0.09</v>
      </c>
      <c r="Q168" s="1450">
        <v>0.06</v>
      </c>
      <c r="R168" s="1450">
        <v>0.04</v>
      </c>
      <c r="S168" s="1450">
        <v>0.04</v>
      </c>
      <c r="T168" s="1450">
        <v>0.04</v>
      </c>
      <c r="U168" s="1450">
        <v>0.04</v>
      </c>
      <c r="V168" s="1450">
        <v>0.04</v>
      </c>
      <c r="W168" s="1450">
        <v>0.04</v>
      </c>
      <c r="X168" s="1450">
        <v>7.0000000000000007E-2</v>
      </c>
      <c r="Y168" s="1450">
        <v>0.04</v>
      </c>
      <c r="Z168" s="1450">
        <v>0.04</v>
      </c>
      <c r="AA168" s="1432">
        <f>SUM(C168:Z168)</f>
        <v>1.1300000000000001</v>
      </c>
      <c r="AB168" s="1433">
        <f>AA168*SUM($C$8)</f>
        <v>12.430000000000001</v>
      </c>
    </row>
    <row r="169" spans="2:28" x14ac:dyDescent="0.3">
      <c r="B169" s="2102" t="s">
        <v>1468</v>
      </c>
      <c r="C169" s="2103"/>
      <c r="D169" s="2103"/>
      <c r="E169" s="2103"/>
      <c r="F169" s="2103"/>
      <c r="G169" s="2103"/>
      <c r="H169" s="2103"/>
      <c r="I169" s="2103"/>
      <c r="J169" s="2103"/>
      <c r="K169" s="2103"/>
      <c r="L169" s="2103"/>
      <c r="M169" s="2103"/>
      <c r="N169" s="2103"/>
      <c r="O169" s="2103"/>
      <c r="P169" s="2103"/>
      <c r="Q169" s="2103"/>
      <c r="R169" s="2103"/>
      <c r="S169" s="2103"/>
      <c r="T169" s="2103"/>
      <c r="U169" s="2103"/>
      <c r="V169" s="2103"/>
      <c r="W169" s="2103"/>
      <c r="X169" s="2103"/>
      <c r="Y169" s="2103"/>
      <c r="Z169" s="2103"/>
      <c r="AA169" s="2103"/>
      <c r="AB169" s="1421">
        <f>SUM(AB165:AB168)</f>
        <v>1546.8099999999997</v>
      </c>
    </row>
    <row r="170" spans="2:28" x14ac:dyDescent="0.3">
      <c r="B170" s="1395"/>
      <c r="C170" s="1395"/>
      <c r="D170" s="1395"/>
      <c r="E170" s="1395"/>
      <c r="F170" s="1395"/>
      <c r="G170" s="1395"/>
      <c r="H170" s="1395"/>
      <c r="I170" s="1395"/>
      <c r="J170" s="1395"/>
      <c r="K170" s="1395"/>
      <c r="L170" s="1395"/>
      <c r="M170" s="1395"/>
      <c r="N170" s="1395"/>
      <c r="O170" s="1395"/>
      <c r="P170" s="1395"/>
      <c r="Q170" s="1395"/>
      <c r="R170" s="1395"/>
      <c r="S170" s="1395"/>
      <c r="T170" s="1395"/>
      <c r="U170" s="1395"/>
      <c r="V170" s="1395"/>
      <c r="W170" s="1395"/>
      <c r="X170" s="1395"/>
      <c r="Y170" s="1395"/>
      <c r="Z170" s="1395"/>
      <c r="AA170" s="1395"/>
      <c r="AB170" s="1395"/>
    </row>
    <row r="171" spans="2:28" ht="15" customHeight="1" x14ac:dyDescent="0.3">
      <c r="B171" s="1395" t="s">
        <v>1434</v>
      </c>
      <c r="C171" s="2099" t="s">
        <v>1624</v>
      </c>
      <c r="D171" s="2100"/>
      <c r="E171" s="2100"/>
      <c r="F171" s="2100"/>
      <c r="G171" s="2100"/>
      <c r="H171" s="2100"/>
      <c r="I171" s="2100"/>
      <c r="J171" s="2100"/>
      <c r="K171" s="2100"/>
      <c r="L171" s="2100"/>
      <c r="M171" s="2100"/>
      <c r="N171" s="2100"/>
      <c r="O171" s="2100"/>
      <c r="P171" s="2100"/>
      <c r="Q171" s="2100"/>
      <c r="R171" s="2100"/>
      <c r="S171" s="2100"/>
      <c r="T171" s="2100"/>
      <c r="U171" s="2100"/>
      <c r="V171" s="2100"/>
      <c r="W171" s="2100"/>
      <c r="X171" s="2100"/>
      <c r="Y171" s="2100"/>
      <c r="Z171" s="2100"/>
      <c r="AA171" s="2100"/>
      <c r="AB171" s="2101"/>
    </row>
    <row r="172" spans="2:28" x14ac:dyDescent="0.3">
      <c r="B172" s="1395"/>
      <c r="C172" s="1395"/>
      <c r="D172" s="1395"/>
      <c r="E172" s="1395"/>
      <c r="F172" s="1395"/>
      <c r="G172" s="1395"/>
      <c r="H172" s="1395"/>
      <c r="I172" s="1395"/>
      <c r="J172" s="1395"/>
      <c r="K172" s="1395"/>
      <c r="L172" s="1395"/>
      <c r="M172" s="1395"/>
      <c r="N172" s="1395"/>
      <c r="O172" s="1395"/>
      <c r="P172" s="1395"/>
      <c r="Q172" s="1395"/>
      <c r="R172" s="1395"/>
      <c r="S172" s="1395"/>
      <c r="T172" s="1395"/>
      <c r="U172" s="1395"/>
      <c r="V172" s="1395"/>
      <c r="W172" s="1395"/>
      <c r="X172" s="1395"/>
      <c r="Y172" s="1395"/>
      <c r="Z172" s="1395"/>
      <c r="AA172" s="1395"/>
      <c r="AB172" s="1395"/>
    </row>
    <row r="173" spans="2:28" s="1420" customFormat="1" ht="21" customHeight="1" x14ac:dyDescent="0.3">
      <c r="B173" s="1419"/>
      <c r="C173" s="1418" t="s">
        <v>1435</v>
      </c>
      <c r="D173" s="1419" t="s">
        <v>1436</v>
      </c>
      <c r="E173" s="1419" t="s">
        <v>1437</v>
      </c>
      <c r="F173" s="1419" t="s">
        <v>1438</v>
      </c>
      <c r="G173" s="1419" t="s">
        <v>1439</v>
      </c>
      <c r="H173" s="1419" t="s">
        <v>1440</v>
      </c>
      <c r="I173" s="1419" t="s">
        <v>1441</v>
      </c>
      <c r="J173" s="1419" t="s">
        <v>1442</v>
      </c>
      <c r="K173" s="1419" t="s">
        <v>1443</v>
      </c>
      <c r="L173" s="1419" t="s">
        <v>1444</v>
      </c>
      <c r="M173" s="1419" t="s">
        <v>1445</v>
      </c>
      <c r="N173" s="1419" t="s">
        <v>1446</v>
      </c>
      <c r="O173" s="1419" t="s">
        <v>1447</v>
      </c>
      <c r="P173" s="1419" t="s">
        <v>1448</v>
      </c>
      <c r="Q173" s="1419" t="s">
        <v>1449</v>
      </c>
      <c r="R173" s="1419" t="s">
        <v>1450</v>
      </c>
      <c r="S173" s="1419" t="s">
        <v>1451</v>
      </c>
      <c r="T173" s="1419" t="s">
        <v>1452</v>
      </c>
      <c r="U173" s="1419" t="s">
        <v>1453</v>
      </c>
      <c r="V173" s="1419" t="s">
        <v>1454</v>
      </c>
      <c r="W173" s="1419" t="s">
        <v>1455</v>
      </c>
      <c r="X173" s="1419" t="s">
        <v>1456</v>
      </c>
      <c r="Y173" s="1419" t="s">
        <v>1457</v>
      </c>
      <c r="Z173" s="1419" t="s">
        <v>1458</v>
      </c>
      <c r="AA173" s="1419" t="s">
        <v>1466</v>
      </c>
      <c r="AB173" s="1419" t="s">
        <v>1467</v>
      </c>
    </row>
    <row r="174" spans="2:28" x14ac:dyDescent="0.3">
      <c r="B174" s="1437" t="s">
        <v>1461</v>
      </c>
      <c r="C174" s="1448">
        <v>0</v>
      </c>
      <c r="D174" s="1448">
        <v>0</v>
      </c>
      <c r="E174" s="1448">
        <v>0</v>
      </c>
      <c r="F174" s="1448">
        <v>0</v>
      </c>
      <c r="G174" s="1448">
        <v>0</v>
      </c>
      <c r="H174" s="1448">
        <v>0</v>
      </c>
      <c r="I174" s="1448">
        <v>0</v>
      </c>
      <c r="J174" s="1448">
        <v>0.35</v>
      </c>
      <c r="K174" s="1448">
        <v>0.69</v>
      </c>
      <c r="L174" s="1448">
        <v>0.43</v>
      </c>
      <c r="M174" s="1448">
        <v>0.37</v>
      </c>
      <c r="N174" s="1448">
        <v>0.43</v>
      </c>
      <c r="O174" s="1448">
        <v>0.57999999999999996</v>
      </c>
      <c r="P174" s="1448">
        <v>0.48</v>
      </c>
      <c r="Q174" s="1448">
        <v>0.37</v>
      </c>
      <c r="R174" s="1448">
        <v>0.37</v>
      </c>
      <c r="S174" s="1448">
        <v>0.46</v>
      </c>
      <c r="T174" s="1448">
        <v>0.62</v>
      </c>
      <c r="U174" s="1448">
        <v>0.2</v>
      </c>
      <c r="V174" s="1448">
        <v>0.12</v>
      </c>
      <c r="W174" s="1448">
        <v>0.04</v>
      </c>
      <c r="X174" s="1448">
        <v>0.04</v>
      </c>
      <c r="Y174" s="1448">
        <v>0</v>
      </c>
      <c r="Z174" s="1448">
        <v>0</v>
      </c>
      <c r="AA174" s="1424">
        <f>SUM(C174:Z174)</f>
        <v>5.5500000000000007</v>
      </c>
      <c r="AB174" s="1425">
        <f>AA174*SUM($C$9:$C$13)</f>
        <v>1387.5000000000002</v>
      </c>
    </row>
    <row r="175" spans="2:28" x14ac:dyDescent="0.3">
      <c r="B175" s="1439" t="s">
        <v>1431</v>
      </c>
      <c r="C175" s="1449">
        <v>0</v>
      </c>
      <c r="D175" s="1449">
        <v>0</v>
      </c>
      <c r="E175" s="1449">
        <v>0</v>
      </c>
      <c r="F175" s="1449">
        <v>0</v>
      </c>
      <c r="G175" s="1449">
        <v>0</v>
      </c>
      <c r="H175" s="1449">
        <v>0</v>
      </c>
      <c r="I175" s="1449">
        <v>0</v>
      </c>
      <c r="J175" s="1449">
        <v>0.16</v>
      </c>
      <c r="K175" s="1449">
        <v>0.14000000000000001</v>
      </c>
      <c r="L175" s="1449">
        <v>0.21</v>
      </c>
      <c r="M175" s="1449">
        <v>0.18</v>
      </c>
      <c r="N175" s="1449">
        <v>0.25</v>
      </c>
      <c r="O175" s="1449">
        <v>0.21</v>
      </c>
      <c r="P175" s="1449">
        <v>0.13</v>
      </c>
      <c r="Q175" s="1449">
        <v>0.08</v>
      </c>
      <c r="R175" s="1449">
        <v>0.04</v>
      </c>
      <c r="S175" s="1449">
        <v>0.05</v>
      </c>
      <c r="T175" s="1449">
        <v>0.06</v>
      </c>
      <c r="U175" s="1449">
        <v>0</v>
      </c>
      <c r="V175" s="1449">
        <v>0</v>
      </c>
      <c r="W175" s="1449">
        <v>0</v>
      </c>
      <c r="X175" s="1449">
        <v>0</v>
      </c>
      <c r="Y175" s="1449">
        <v>0</v>
      </c>
      <c r="Z175" s="1449">
        <v>0</v>
      </c>
      <c r="AA175" s="1428">
        <f>SUM(C175:Z175)</f>
        <v>1.51</v>
      </c>
      <c r="AB175" s="1429">
        <f>AA175*SUM($C$14)</f>
        <v>78.52</v>
      </c>
    </row>
    <row r="176" spans="2:28" x14ac:dyDescent="0.3">
      <c r="B176" s="1439" t="s">
        <v>1432</v>
      </c>
      <c r="C176" s="1449">
        <v>0</v>
      </c>
      <c r="D176" s="1449">
        <v>0</v>
      </c>
      <c r="E176" s="1449">
        <v>0</v>
      </c>
      <c r="F176" s="1449">
        <v>0</v>
      </c>
      <c r="G176" s="1449">
        <v>0</v>
      </c>
      <c r="H176" s="1449">
        <v>0</v>
      </c>
      <c r="I176" s="1449">
        <v>0</v>
      </c>
      <c r="J176" s="1449">
        <v>0</v>
      </c>
      <c r="K176" s="1449">
        <v>0</v>
      </c>
      <c r="L176" s="1449">
        <v>0</v>
      </c>
      <c r="M176" s="1449">
        <v>0</v>
      </c>
      <c r="N176" s="1449">
        <v>0</v>
      </c>
      <c r="O176" s="1449">
        <v>0</v>
      </c>
      <c r="P176" s="1449">
        <v>0</v>
      </c>
      <c r="Q176" s="1449">
        <v>0</v>
      </c>
      <c r="R176" s="1449">
        <v>0</v>
      </c>
      <c r="S176" s="1449">
        <v>0</v>
      </c>
      <c r="T176" s="1449">
        <v>0</v>
      </c>
      <c r="U176" s="1449">
        <v>0</v>
      </c>
      <c r="V176" s="1449">
        <v>0</v>
      </c>
      <c r="W176" s="1449">
        <v>0</v>
      </c>
      <c r="X176" s="1449">
        <v>0</v>
      </c>
      <c r="Y176" s="1449">
        <v>0</v>
      </c>
      <c r="Z176" s="1449">
        <v>0</v>
      </c>
      <c r="AA176" s="1428">
        <f>SUM(C176:Z176)</f>
        <v>0</v>
      </c>
      <c r="AB176" s="1429">
        <f>AA176*$C$15</f>
        <v>0</v>
      </c>
    </row>
    <row r="177" spans="2:28" x14ac:dyDescent="0.3">
      <c r="B177" s="1441" t="s">
        <v>1463</v>
      </c>
      <c r="C177" s="1450">
        <v>0</v>
      </c>
      <c r="D177" s="1450">
        <v>0</v>
      </c>
      <c r="E177" s="1450">
        <v>0</v>
      </c>
      <c r="F177" s="1450">
        <v>0</v>
      </c>
      <c r="G177" s="1450">
        <v>0</v>
      </c>
      <c r="H177" s="1450">
        <v>0</v>
      </c>
      <c r="I177" s="1450">
        <v>0</v>
      </c>
      <c r="J177" s="1450">
        <v>0</v>
      </c>
      <c r="K177" s="1450">
        <v>0</v>
      </c>
      <c r="L177" s="1450">
        <v>0</v>
      </c>
      <c r="M177" s="1450">
        <v>0</v>
      </c>
      <c r="N177" s="1450">
        <v>0</v>
      </c>
      <c r="O177" s="1450">
        <v>0</v>
      </c>
      <c r="P177" s="1450">
        <v>0</v>
      </c>
      <c r="Q177" s="1450">
        <v>0</v>
      </c>
      <c r="R177" s="1450">
        <v>0</v>
      </c>
      <c r="S177" s="1450">
        <v>0</v>
      </c>
      <c r="T177" s="1450">
        <v>0</v>
      </c>
      <c r="U177" s="1450">
        <v>0</v>
      </c>
      <c r="V177" s="1450">
        <v>0</v>
      </c>
      <c r="W177" s="1450">
        <v>0</v>
      </c>
      <c r="X177" s="1450">
        <v>0</v>
      </c>
      <c r="Y177" s="1450">
        <v>0</v>
      </c>
      <c r="Z177" s="1450">
        <v>0</v>
      </c>
      <c r="AA177" s="1432">
        <f>SUM(C177:Z177)</f>
        <v>0</v>
      </c>
      <c r="AB177" s="1433">
        <f>AA177*SUM($C$8)</f>
        <v>0</v>
      </c>
    </row>
    <row r="178" spans="2:28" x14ac:dyDescent="0.3">
      <c r="B178" s="2102" t="s">
        <v>1468</v>
      </c>
      <c r="C178" s="2103"/>
      <c r="D178" s="2103"/>
      <c r="E178" s="2103"/>
      <c r="F178" s="2103"/>
      <c r="G178" s="2103"/>
      <c r="H178" s="2103"/>
      <c r="I178" s="2103"/>
      <c r="J178" s="2103"/>
      <c r="K178" s="2103"/>
      <c r="L178" s="2103"/>
      <c r="M178" s="2103"/>
      <c r="N178" s="2103"/>
      <c r="O178" s="2103"/>
      <c r="P178" s="2103"/>
      <c r="Q178" s="2103"/>
      <c r="R178" s="2103"/>
      <c r="S178" s="2103"/>
      <c r="T178" s="2103"/>
      <c r="U178" s="2103"/>
      <c r="V178" s="2103"/>
      <c r="W178" s="2103"/>
      <c r="X178" s="2103"/>
      <c r="Y178" s="2103"/>
      <c r="Z178" s="2103"/>
      <c r="AA178" s="2103"/>
      <c r="AB178" s="1421">
        <f>SUM(AB174:AB177)</f>
        <v>1466.0200000000002</v>
      </c>
    </row>
    <row r="179" spans="2:28" x14ac:dyDescent="0.3">
      <c r="B179" s="1395"/>
      <c r="C179" s="1395"/>
      <c r="D179" s="1395"/>
      <c r="E179" s="1395"/>
      <c r="F179" s="1395"/>
      <c r="G179" s="1395"/>
      <c r="H179" s="1395"/>
      <c r="I179" s="1395"/>
      <c r="J179" s="1395"/>
      <c r="K179" s="1395"/>
      <c r="L179" s="1395"/>
      <c r="M179" s="1395"/>
      <c r="N179" s="1395"/>
      <c r="O179" s="1395"/>
      <c r="P179" s="1395"/>
      <c r="Q179" s="1395"/>
      <c r="R179" s="1395"/>
      <c r="S179" s="1395"/>
      <c r="T179" s="1395"/>
      <c r="U179" s="1395"/>
      <c r="V179" s="1395"/>
      <c r="W179" s="1395"/>
      <c r="X179" s="1395"/>
      <c r="Y179" s="1395"/>
      <c r="Z179" s="1395"/>
      <c r="AA179" s="1395"/>
      <c r="AB179" s="1395"/>
    </row>
    <row r="180" spans="2:28" x14ac:dyDescent="0.3">
      <c r="B180" s="1405" t="s">
        <v>1625</v>
      </c>
      <c r="C180" s="1395"/>
      <c r="D180" s="1395"/>
      <c r="E180" s="1395"/>
      <c r="F180" s="1395"/>
      <c r="G180" s="1395"/>
      <c r="H180" s="1395"/>
      <c r="I180" s="1395"/>
      <c r="J180" s="1395"/>
      <c r="K180" s="1395"/>
      <c r="L180" s="1395"/>
      <c r="M180" s="1395"/>
      <c r="N180" s="1395"/>
      <c r="O180" s="1395"/>
      <c r="P180" s="1395"/>
      <c r="Q180" s="1395"/>
      <c r="R180" s="1395"/>
      <c r="S180" s="1395"/>
      <c r="T180" s="1395"/>
      <c r="U180" s="1395"/>
      <c r="V180" s="1395"/>
      <c r="W180" s="1395"/>
      <c r="X180" s="1395"/>
      <c r="Y180" s="1395"/>
      <c r="Z180" s="1395"/>
      <c r="AA180" s="1395"/>
      <c r="AB180" s="1395"/>
    </row>
    <row r="181" spans="2:28" x14ac:dyDescent="0.3">
      <c r="B181" s="1395"/>
      <c r="C181" s="1395"/>
      <c r="D181" s="1395"/>
      <c r="E181" s="1395"/>
      <c r="F181" s="1395"/>
      <c r="G181" s="1395"/>
      <c r="H181" s="1395"/>
      <c r="I181" s="1395"/>
      <c r="J181" s="1395"/>
      <c r="K181" s="1395"/>
      <c r="L181" s="1395"/>
      <c r="M181" s="1395"/>
      <c r="N181" s="1395"/>
      <c r="O181" s="1395"/>
      <c r="P181" s="1395"/>
      <c r="Q181" s="1395"/>
      <c r="R181" s="1395"/>
      <c r="S181" s="1395"/>
      <c r="T181" s="1395"/>
      <c r="U181" s="1395"/>
      <c r="V181" s="1395"/>
      <c r="W181" s="1395"/>
      <c r="X181" s="1395"/>
      <c r="Y181" s="1395"/>
      <c r="Z181" s="1395"/>
      <c r="AA181" s="1395"/>
      <c r="AB181" s="1395"/>
    </row>
    <row r="182" spans="2:28" ht="15" customHeight="1" x14ac:dyDescent="0.3">
      <c r="B182" s="1395" t="s">
        <v>1434</v>
      </c>
      <c r="C182" s="2099" t="s">
        <v>1626</v>
      </c>
      <c r="D182" s="2100"/>
      <c r="E182" s="2100"/>
      <c r="F182" s="2100"/>
      <c r="G182" s="2100"/>
      <c r="H182" s="2100"/>
      <c r="I182" s="2100"/>
      <c r="J182" s="2100"/>
      <c r="K182" s="2100"/>
      <c r="L182" s="2100"/>
      <c r="M182" s="2100"/>
      <c r="N182" s="2100"/>
      <c r="O182" s="2100"/>
      <c r="P182" s="2100"/>
      <c r="Q182" s="2100"/>
      <c r="R182" s="2100"/>
      <c r="S182" s="2100"/>
      <c r="T182" s="2100"/>
      <c r="U182" s="2100"/>
      <c r="V182" s="2100"/>
      <c r="W182" s="2100"/>
      <c r="X182" s="2100"/>
      <c r="Y182" s="2100"/>
      <c r="Z182" s="2100"/>
      <c r="AA182" s="2100"/>
      <c r="AB182" s="2101"/>
    </row>
    <row r="183" spans="2:28" x14ac:dyDescent="0.3">
      <c r="B183" s="1395"/>
      <c r="C183" s="1395"/>
      <c r="D183" s="1395"/>
      <c r="E183" s="1395"/>
      <c r="F183" s="1395"/>
      <c r="G183" s="1395"/>
      <c r="H183" s="1395"/>
      <c r="I183" s="1395"/>
      <c r="J183" s="1395"/>
      <c r="K183" s="1395"/>
      <c r="L183" s="1395"/>
      <c r="M183" s="1395"/>
      <c r="N183" s="1395"/>
      <c r="O183" s="1395"/>
      <c r="P183" s="1395"/>
      <c r="Q183" s="1395"/>
      <c r="R183" s="1395"/>
      <c r="S183" s="1395"/>
      <c r="T183" s="1395"/>
      <c r="U183" s="1395"/>
      <c r="V183" s="1395"/>
      <c r="W183" s="1395"/>
      <c r="X183" s="1395"/>
      <c r="Y183" s="1395"/>
      <c r="Z183" s="1395"/>
      <c r="AA183" s="1395"/>
      <c r="AB183" s="1395"/>
    </row>
    <row r="184" spans="2:28" s="1420" customFormat="1" ht="21" customHeight="1" x14ac:dyDescent="0.3">
      <c r="B184" s="1419"/>
      <c r="C184" s="1418" t="s">
        <v>1435</v>
      </c>
      <c r="D184" s="1419" t="s">
        <v>1436</v>
      </c>
      <c r="E184" s="1419" t="s">
        <v>1437</v>
      </c>
      <c r="F184" s="1419" t="s">
        <v>1438</v>
      </c>
      <c r="G184" s="1419" t="s">
        <v>1439</v>
      </c>
      <c r="H184" s="1419" t="s">
        <v>1440</v>
      </c>
      <c r="I184" s="1419" t="s">
        <v>1441</v>
      </c>
      <c r="J184" s="1419" t="s">
        <v>1442</v>
      </c>
      <c r="K184" s="1419" t="s">
        <v>1443</v>
      </c>
      <c r="L184" s="1419" t="s">
        <v>1444</v>
      </c>
      <c r="M184" s="1419" t="s">
        <v>1445</v>
      </c>
      <c r="N184" s="1419" t="s">
        <v>1446</v>
      </c>
      <c r="O184" s="1419" t="s">
        <v>1447</v>
      </c>
      <c r="P184" s="1419" t="s">
        <v>1448</v>
      </c>
      <c r="Q184" s="1419" t="s">
        <v>1449</v>
      </c>
      <c r="R184" s="1419" t="s">
        <v>1450</v>
      </c>
      <c r="S184" s="1419" t="s">
        <v>1451</v>
      </c>
      <c r="T184" s="1419" t="s">
        <v>1452</v>
      </c>
      <c r="U184" s="1419" t="s">
        <v>1453</v>
      </c>
      <c r="V184" s="1419" t="s">
        <v>1454</v>
      </c>
      <c r="W184" s="1419" t="s">
        <v>1455</v>
      </c>
      <c r="X184" s="1419" t="s">
        <v>1456</v>
      </c>
      <c r="Y184" s="1419" t="s">
        <v>1457</v>
      </c>
      <c r="Z184" s="1419" t="s">
        <v>1458</v>
      </c>
      <c r="AA184" s="1419" t="s">
        <v>1459</v>
      </c>
      <c r="AB184" s="1419" t="s">
        <v>1460</v>
      </c>
    </row>
    <row r="185" spans="2:28" x14ac:dyDescent="0.3">
      <c r="B185" s="1437" t="s">
        <v>1461</v>
      </c>
      <c r="C185" s="1451">
        <v>0</v>
      </c>
      <c r="D185" s="1451">
        <v>0</v>
      </c>
      <c r="E185" s="1451">
        <v>0</v>
      </c>
      <c r="F185" s="1451">
        <v>0</v>
      </c>
      <c r="G185" s="1451">
        <v>0</v>
      </c>
      <c r="H185" s="1451">
        <v>0</v>
      </c>
      <c r="I185" s="1451">
        <v>0</v>
      </c>
      <c r="J185" s="1451">
        <v>1</v>
      </c>
      <c r="K185" s="1451">
        <v>1</v>
      </c>
      <c r="L185" s="1451">
        <v>1</v>
      </c>
      <c r="M185" s="1451">
        <v>1</v>
      </c>
      <c r="N185" s="1451">
        <v>1</v>
      </c>
      <c r="O185" s="1451">
        <v>1</v>
      </c>
      <c r="P185" s="1451">
        <v>1</v>
      </c>
      <c r="Q185" s="1451">
        <v>1</v>
      </c>
      <c r="R185" s="1451">
        <v>1</v>
      </c>
      <c r="S185" s="1451">
        <v>1</v>
      </c>
      <c r="T185" s="1451">
        <v>1</v>
      </c>
      <c r="U185" s="1451">
        <v>1</v>
      </c>
      <c r="V185" s="1451">
        <v>1</v>
      </c>
      <c r="W185" s="1451">
        <v>1</v>
      </c>
      <c r="X185" s="1451">
        <v>1</v>
      </c>
      <c r="Y185" s="1451">
        <v>0</v>
      </c>
      <c r="Z185" s="1451">
        <v>0</v>
      </c>
      <c r="AA185" s="1424">
        <f>SUM(C185:Z185)</f>
        <v>15</v>
      </c>
      <c r="AB185" s="1425">
        <f>AA185*SUM($C$9:$C$13)</f>
        <v>3750</v>
      </c>
    </row>
    <row r="186" spans="2:28" x14ac:dyDescent="0.3">
      <c r="B186" s="1439" t="s">
        <v>1431</v>
      </c>
      <c r="C186" s="1452">
        <v>0</v>
      </c>
      <c r="D186" s="1452">
        <v>0</v>
      </c>
      <c r="E186" s="1452">
        <v>0</v>
      </c>
      <c r="F186" s="1452">
        <v>0</v>
      </c>
      <c r="G186" s="1452">
        <v>0</v>
      </c>
      <c r="H186" s="1452">
        <v>0</v>
      </c>
      <c r="I186" s="1452">
        <v>0</v>
      </c>
      <c r="J186" s="1452">
        <v>0</v>
      </c>
      <c r="K186" s="1452">
        <v>1</v>
      </c>
      <c r="L186" s="1452">
        <v>1</v>
      </c>
      <c r="M186" s="1452">
        <v>1</v>
      </c>
      <c r="N186" s="1452">
        <v>1</v>
      </c>
      <c r="O186" s="1452">
        <v>1</v>
      </c>
      <c r="P186" s="1452">
        <v>0</v>
      </c>
      <c r="Q186" s="1452">
        <v>0</v>
      </c>
      <c r="R186" s="1452">
        <v>0</v>
      </c>
      <c r="S186" s="1452">
        <v>0</v>
      </c>
      <c r="T186" s="1452">
        <v>0</v>
      </c>
      <c r="U186" s="1452">
        <v>0</v>
      </c>
      <c r="V186" s="1452">
        <v>0</v>
      </c>
      <c r="W186" s="1452">
        <v>0</v>
      </c>
      <c r="X186" s="1452">
        <v>0</v>
      </c>
      <c r="Y186" s="1452">
        <v>0</v>
      </c>
      <c r="Z186" s="1452">
        <v>0</v>
      </c>
      <c r="AA186" s="1428">
        <f>SUM(C186:Z186)</f>
        <v>5</v>
      </c>
      <c r="AB186" s="1429">
        <f>AA186*SUM($C$14)</f>
        <v>260</v>
      </c>
    </row>
    <row r="187" spans="2:28" x14ac:dyDescent="0.3">
      <c r="B187" s="1439" t="s">
        <v>1432</v>
      </c>
      <c r="C187" s="1452">
        <v>0</v>
      </c>
      <c r="D187" s="1452">
        <v>0</v>
      </c>
      <c r="E187" s="1452">
        <v>0</v>
      </c>
      <c r="F187" s="1452">
        <v>0</v>
      </c>
      <c r="G187" s="1452">
        <v>0</v>
      </c>
      <c r="H187" s="1452">
        <v>0</v>
      </c>
      <c r="I187" s="1452">
        <v>0</v>
      </c>
      <c r="J187" s="1452">
        <v>0</v>
      </c>
      <c r="K187" s="1452">
        <v>0</v>
      </c>
      <c r="L187" s="1452">
        <v>0</v>
      </c>
      <c r="M187" s="1452">
        <v>0</v>
      </c>
      <c r="N187" s="1452">
        <v>0</v>
      </c>
      <c r="O187" s="1452">
        <v>0</v>
      </c>
      <c r="P187" s="1452">
        <v>0</v>
      </c>
      <c r="Q187" s="1452">
        <v>0</v>
      </c>
      <c r="R187" s="1452">
        <v>0</v>
      </c>
      <c r="S187" s="1452">
        <v>0</v>
      </c>
      <c r="T187" s="1452">
        <v>0</v>
      </c>
      <c r="U187" s="1452">
        <v>0</v>
      </c>
      <c r="V187" s="1452">
        <v>0</v>
      </c>
      <c r="W187" s="1452">
        <v>0</v>
      </c>
      <c r="X187" s="1452">
        <v>0</v>
      </c>
      <c r="Y187" s="1452">
        <v>0</v>
      </c>
      <c r="Z187" s="1452">
        <v>0</v>
      </c>
      <c r="AA187" s="1428">
        <f>SUM(C187:Z187)</f>
        <v>0</v>
      </c>
      <c r="AB187" s="1429">
        <f>AA187*$C$15</f>
        <v>0</v>
      </c>
    </row>
    <row r="188" spans="2:28" x14ac:dyDescent="0.3">
      <c r="B188" s="1441" t="s">
        <v>1463</v>
      </c>
      <c r="C188" s="1453">
        <v>0</v>
      </c>
      <c r="D188" s="1453">
        <v>0</v>
      </c>
      <c r="E188" s="1453">
        <v>0</v>
      </c>
      <c r="F188" s="1453">
        <v>0</v>
      </c>
      <c r="G188" s="1453">
        <v>0</v>
      </c>
      <c r="H188" s="1453">
        <v>0</v>
      </c>
      <c r="I188" s="1453">
        <v>0</v>
      </c>
      <c r="J188" s="1453">
        <v>0</v>
      </c>
      <c r="K188" s="1453">
        <v>0</v>
      </c>
      <c r="L188" s="1453">
        <v>0</v>
      </c>
      <c r="M188" s="1453">
        <v>0</v>
      </c>
      <c r="N188" s="1453">
        <v>0</v>
      </c>
      <c r="O188" s="1453">
        <v>0</v>
      </c>
      <c r="P188" s="1453">
        <v>0</v>
      </c>
      <c r="Q188" s="1453">
        <v>0</v>
      </c>
      <c r="R188" s="1453">
        <v>0</v>
      </c>
      <c r="S188" s="1453">
        <v>0</v>
      </c>
      <c r="T188" s="1453">
        <v>0</v>
      </c>
      <c r="U188" s="1453">
        <v>0</v>
      </c>
      <c r="V188" s="1453">
        <v>0</v>
      </c>
      <c r="W188" s="1453">
        <v>0</v>
      </c>
      <c r="X188" s="1453">
        <v>0</v>
      </c>
      <c r="Y188" s="1453">
        <v>0</v>
      </c>
      <c r="Z188" s="1453">
        <v>0</v>
      </c>
      <c r="AA188" s="1432">
        <f>SUM(C188:Z188)</f>
        <v>0</v>
      </c>
      <c r="AB188" s="1433">
        <f>AA188*SUM($C$8)</f>
        <v>0</v>
      </c>
    </row>
    <row r="189" spans="2:28" x14ac:dyDescent="0.3">
      <c r="B189" s="2102" t="s">
        <v>1464</v>
      </c>
      <c r="C189" s="2103"/>
      <c r="D189" s="2103"/>
      <c r="E189" s="2103"/>
      <c r="F189" s="2103"/>
      <c r="G189" s="2103"/>
      <c r="H189" s="2103"/>
      <c r="I189" s="2103"/>
      <c r="J189" s="2103"/>
      <c r="K189" s="2103"/>
      <c r="L189" s="2103"/>
      <c r="M189" s="2103"/>
      <c r="N189" s="2103"/>
      <c r="O189" s="2103"/>
      <c r="P189" s="2103"/>
      <c r="Q189" s="2103"/>
      <c r="R189" s="2103"/>
      <c r="S189" s="2103"/>
      <c r="T189" s="2103"/>
      <c r="U189" s="2103"/>
      <c r="V189" s="2103"/>
      <c r="W189" s="2103"/>
      <c r="X189" s="2103"/>
      <c r="Y189" s="2103"/>
      <c r="Z189" s="2103"/>
      <c r="AA189" s="2103"/>
      <c r="AB189" s="1421">
        <f>SUM(AB185:AB188)</f>
        <v>4010</v>
      </c>
    </row>
    <row r="190" spans="2:28" x14ac:dyDescent="0.3">
      <c r="B190" s="1395"/>
      <c r="C190" s="1395"/>
      <c r="D190" s="1395"/>
      <c r="E190" s="1395"/>
      <c r="F190" s="1395"/>
      <c r="G190" s="1395"/>
      <c r="H190" s="1395"/>
      <c r="I190" s="1395"/>
      <c r="J190" s="1395"/>
      <c r="K190" s="1395"/>
      <c r="L190" s="1395"/>
      <c r="M190" s="1395"/>
      <c r="N190" s="1395"/>
      <c r="O190" s="1395"/>
      <c r="P190" s="1395"/>
      <c r="Q190" s="1395"/>
      <c r="R190" s="1395"/>
      <c r="S190" s="1395"/>
      <c r="T190" s="1395"/>
      <c r="U190" s="1395"/>
      <c r="V190" s="1395"/>
      <c r="W190" s="1395"/>
      <c r="X190" s="1395"/>
      <c r="Y190" s="1395"/>
      <c r="Z190" s="1395"/>
      <c r="AA190" s="1395"/>
      <c r="AB190" s="1395"/>
    </row>
    <row r="191" spans="2:28" ht="15" customHeight="1" x14ac:dyDescent="0.3">
      <c r="B191" s="1395" t="s">
        <v>1434</v>
      </c>
      <c r="C191" s="2099" t="s">
        <v>1627</v>
      </c>
      <c r="D191" s="2100"/>
      <c r="E191" s="2100"/>
      <c r="F191" s="2100"/>
      <c r="G191" s="2100"/>
      <c r="H191" s="2100"/>
      <c r="I191" s="2100"/>
      <c r="J191" s="2100"/>
      <c r="K191" s="2100"/>
      <c r="L191" s="2100"/>
      <c r="M191" s="2100"/>
      <c r="N191" s="2100"/>
      <c r="O191" s="2100"/>
      <c r="P191" s="2100"/>
      <c r="Q191" s="2100"/>
      <c r="R191" s="2100"/>
      <c r="S191" s="2100"/>
      <c r="T191" s="2100"/>
      <c r="U191" s="2100"/>
      <c r="V191" s="2100"/>
      <c r="W191" s="2100"/>
      <c r="X191" s="2100"/>
      <c r="Y191" s="2100"/>
      <c r="Z191" s="2100"/>
      <c r="AA191" s="2100"/>
      <c r="AB191" s="2101"/>
    </row>
    <row r="192" spans="2:28" x14ac:dyDescent="0.3">
      <c r="B192" s="1395"/>
      <c r="C192" s="1395"/>
      <c r="D192" s="1395"/>
      <c r="E192" s="1395"/>
      <c r="F192" s="1395"/>
      <c r="G192" s="1395"/>
      <c r="H192" s="1395"/>
      <c r="I192" s="1395"/>
      <c r="J192" s="1395"/>
      <c r="K192" s="1395"/>
      <c r="L192" s="1395"/>
      <c r="M192" s="1395"/>
      <c r="N192" s="1395"/>
      <c r="O192" s="1395"/>
      <c r="P192" s="1395"/>
      <c r="Q192" s="1395"/>
      <c r="R192" s="1395"/>
      <c r="S192" s="1395"/>
      <c r="T192" s="1395"/>
      <c r="U192" s="1395"/>
      <c r="V192" s="1395"/>
      <c r="W192" s="1395"/>
      <c r="X192" s="1395"/>
      <c r="Y192" s="1395"/>
      <c r="Z192" s="1395"/>
      <c r="AA192" s="1395"/>
      <c r="AB192" s="1395"/>
    </row>
    <row r="193" spans="2:28" s="1420" customFormat="1" ht="21" customHeight="1" x14ac:dyDescent="0.3">
      <c r="B193" s="1419"/>
      <c r="C193" s="1418" t="s">
        <v>1435</v>
      </c>
      <c r="D193" s="1419" t="s">
        <v>1436</v>
      </c>
      <c r="E193" s="1419" t="s">
        <v>1437</v>
      </c>
      <c r="F193" s="1419" t="s">
        <v>1438</v>
      </c>
      <c r="G193" s="1419" t="s">
        <v>1439</v>
      </c>
      <c r="H193" s="1419" t="s">
        <v>1440</v>
      </c>
      <c r="I193" s="1419" t="s">
        <v>1441</v>
      </c>
      <c r="J193" s="1419" t="s">
        <v>1442</v>
      </c>
      <c r="K193" s="1419" t="s">
        <v>1443</v>
      </c>
      <c r="L193" s="1419" t="s">
        <v>1444</v>
      </c>
      <c r="M193" s="1419" t="s">
        <v>1445</v>
      </c>
      <c r="N193" s="1419" t="s">
        <v>1446</v>
      </c>
      <c r="O193" s="1419" t="s">
        <v>1447</v>
      </c>
      <c r="P193" s="1419" t="s">
        <v>1448</v>
      </c>
      <c r="Q193" s="1419" t="s">
        <v>1449</v>
      </c>
      <c r="R193" s="1419" t="s">
        <v>1450</v>
      </c>
      <c r="S193" s="1419" t="s">
        <v>1451</v>
      </c>
      <c r="T193" s="1419" t="s">
        <v>1452</v>
      </c>
      <c r="U193" s="1419" t="s">
        <v>1453</v>
      </c>
      <c r="V193" s="1419" t="s">
        <v>1454</v>
      </c>
      <c r="W193" s="1419" t="s">
        <v>1455</v>
      </c>
      <c r="X193" s="1419" t="s">
        <v>1456</v>
      </c>
      <c r="Y193" s="1419" t="s">
        <v>1457</v>
      </c>
      <c r="Z193" s="1419" t="s">
        <v>1458</v>
      </c>
      <c r="AA193" s="1419" t="s">
        <v>1466</v>
      </c>
      <c r="AB193" s="1419" t="s">
        <v>1467</v>
      </c>
    </row>
    <row r="194" spans="2:28" x14ac:dyDescent="0.3">
      <c r="B194" s="1437" t="s">
        <v>1461</v>
      </c>
      <c r="C194" s="1448">
        <v>0</v>
      </c>
      <c r="D194" s="1448">
        <v>0</v>
      </c>
      <c r="E194" s="1448">
        <v>0</v>
      </c>
      <c r="F194" s="1448">
        <v>0</v>
      </c>
      <c r="G194" s="1448">
        <v>0</v>
      </c>
      <c r="H194" s="1448">
        <v>0</v>
      </c>
      <c r="I194" s="1448">
        <v>0</v>
      </c>
      <c r="J194" s="1448">
        <v>0.05</v>
      </c>
      <c r="K194" s="1448">
        <v>0.75</v>
      </c>
      <c r="L194" s="1448">
        <v>0.9</v>
      </c>
      <c r="M194" s="1448">
        <v>0.9</v>
      </c>
      <c r="N194" s="1448">
        <v>0.8</v>
      </c>
      <c r="O194" s="1448">
        <v>0.8</v>
      </c>
      <c r="P194" s="1448">
        <v>0.8</v>
      </c>
      <c r="Q194" s="1448">
        <v>0.8</v>
      </c>
      <c r="R194" s="1448">
        <v>0.45</v>
      </c>
      <c r="S194" s="1448">
        <v>0.15</v>
      </c>
      <c r="T194" s="1448">
        <v>0.05</v>
      </c>
      <c r="U194" s="1448">
        <v>0.15</v>
      </c>
      <c r="V194" s="1448">
        <v>0.2</v>
      </c>
      <c r="W194" s="1448">
        <v>0.2</v>
      </c>
      <c r="X194" s="1448">
        <v>0.1</v>
      </c>
      <c r="Y194" s="1448">
        <v>0</v>
      </c>
      <c r="Z194" s="1448">
        <v>0</v>
      </c>
      <c r="AA194" s="1424">
        <f>SUM(C194:Z194)</f>
        <v>7.1000000000000005</v>
      </c>
      <c r="AB194" s="1425">
        <f>AA194*SUM($C$9:$C$13)</f>
        <v>1775.0000000000002</v>
      </c>
    </row>
    <row r="195" spans="2:28" x14ac:dyDescent="0.3">
      <c r="B195" s="1439" t="s">
        <v>1431</v>
      </c>
      <c r="C195" s="1449">
        <v>0</v>
      </c>
      <c r="D195" s="1449">
        <v>0</v>
      </c>
      <c r="E195" s="1449">
        <v>0</v>
      </c>
      <c r="F195" s="1449">
        <v>0</v>
      </c>
      <c r="G195" s="1449">
        <v>0</v>
      </c>
      <c r="H195" s="1449">
        <v>0</v>
      </c>
      <c r="I195" s="1449">
        <v>0</v>
      </c>
      <c r="J195" s="1449">
        <v>0</v>
      </c>
      <c r="K195" s="1449">
        <v>0.1</v>
      </c>
      <c r="L195" s="1449">
        <v>0.1</v>
      </c>
      <c r="M195" s="1449">
        <v>0.1</v>
      </c>
      <c r="N195" s="1449">
        <v>0.1</v>
      </c>
      <c r="O195" s="1449">
        <v>0.1</v>
      </c>
      <c r="P195" s="1449">
        <v>0</v>
      </c>
      <c r="Q195" s="1449">
        <v>0</v>
      </c>
      <c r="R195" s="1449">
        <v>0</v>
      </c>
      <c r="S195" s="1449">
        <v>0</v>
      </c>
      <c r="T195" s="1449">
        <v>0</v>
      </c>
      <c r="U195" s="1449">
        <v>0</v>
      </c>
      <c r="V195" s="1449">
        <v>0</v>
      </c>
      <c r="W195" s="1449">
        <v>0</v>
      </c>
      <c r="X195" s="1449">
        <v>0</v>
      </c>
      <c r="Y195" s="1449">
        <v>0</v>
      </c>
      <c r="Z195" s="1449">
        <v>0</v>
      </c>
      <c r="AA195" s="1428">
        <f>SUM(C195:Z195)</f>
        <v>0.5</v>
      </c>
      <c r="AB195" s="1429">
        <f>AA195*SUM($C$14)</f>
        <v>26</v>
      </c>
    </row>
    <row r="196" spans="2:28" x14ac:dyDescent="0.3">
      <c r="B196" s="1439" t="s">
        <v>1432</v>
      </c>
      <c r="C196" s="1449">
        <v>0</v>
      </c>
      <c r="D196" s="1449">
        <v>0</v>
      </c>
      <c r="E196" s="1449">
        <v>0</v>
      </c>
      <c r="F196" s="1449">
        <v>0</v>
      </c>
      <c r="G196" s="1449">
        <v>0</v>
      </c>
      <c r="H196" s="1449">
        <v>0</v>
      </c>
      <c r="I196" s="1449">
        <v>0</v>
      </c>
      <c r="J196" s="1449">
        <v>0</v>
      </c>
      <c r="K196" s="1449">
        <v>0</v>
      </c>
      <c r="L196" s="1449">
        <v>0</v>
      </c>
      <c r="M196" s="1449">
        <v>0</v>
      </c>
      <c r="N196" s="1449">
        <v>0</v>
      </c>
      <c r="O196" s="1449">
        <v>0</v>
      </c>
      <c r="P196" s="1449">
        <v>0</v>
      </c>
      <c r="Q196" s="1449">
        <v>0</v>
      </c>
      <c r="R196" s="1449">
        <v>0</v>
      </c>
      <c r="S196" s="1449">
        <v>0</v>
      </c>
      <c r="T196" s="1449">
        <v>0</v>
      </c>
      <c r="U196" s="1449">
        <v>0</v>
      </c>
      <c r="V196" s="1449">
        <v>0</v>
      </c>
      <c r="W196" s="1449">
        <v>0</v>
      </c>
      <c r="X196" s="1449">
        <v>0</v>
      </c>
      <c r="Y196" s="1449">
        <v>0</v>
      </c>
      <c r="Z196" s="1449">
        <v>0</v>
      </c>
      <c r="AA196" s="1428">
        <f>SUM(C196:Z196)</f>
        <v>0</v>
      </c>
      <c r="AB196" s="1429">
        <f>AA196*$C$15</f>
        <v>0</v>
      </c>
    </row>
    <row r="197" spans="2:28" x14ac:dyDescent="0.3">
      <c r="B197" s="1441" t="s">
        <v>1463</v>
      </c>
      <c r="C197" s="1450">
        <v>0</v>
      </c>
      <c r="D197" s="1450">
        <v>0</v>
      </c>
      <c r="E197" s="1450">
        <v>0</v>
      </c>
      <c r="F197" s="1450">
        <v>0</v>
      </c>
      <c r="G197" s="1450">
        <v>0</v>
      </c>
      <c r="H197" s="1450">
        <v>0</v>
      </c>
      <c r="I197" s="1450">
        <v>0</v>
      </c>
      <c r="J197" s="1450">
        <v>0</v>
      </c>
      <c r="K197" s="1450">
        <v>0</v>
      </c>
      <c r="L197" s="1450">
        <v>0</v>
      </c>
      <c r="M197" s="1450">
        <v>0</v>
      </c>
      <c r="N197" s="1450">
        <v>0</v>
      </c>
      <c r="O197" s="1450">
        <v>0</v>
      </c>
      <c r="P197" s="1450">
        <v>0</v>
      </c>
      <c r="Q197" s="1450">
        <v>0</v>
      </c>
      <c r="R197" s="1450">
        <v>0</v>
      </c>
      <c r="S197" s="1450">
        <v>0</v>
      </c>
      <c r="T197" s="1450">
        <v>0</v>
      </c>
      <c r="U197" s="1450">
        <v>0</v>
      </c>
      <c r="V197" s="1450">
        <v>0</v>
      </c>
      <c r="W197" s="1450">
        <v>0</v>
      </c>
      <c r="X197" s="1450">
        <v>0</v>
      </c>
      <c r="Y197" s="1450">
        <v>0</v>
      </c>
      <c r="Z197" s="1450">
        <v>0</v>
      </c>
      <c r="AA197" s="1432">
        <f>SUM(C197:Z197)</f>
        <v>0</v>
      </c>
      <c r="AB197" s="1433">
        <f>AA197*SUM($C$8)</f>
        <v>0</v>
      </c>
    </row>
    <row r="198" spans="2:28" x14ac:dyDescent="0.3">
      <c r="B198" s="2102" t="s">
        <v>1468</v>
      </c>
      <c r="C198" s="2103"/>
      <c r="D198" s="2103"/>
      <c r="E198" s="2103"/>
      <c r="F198" s="2103"/>
      <c r="G198" s="2103"/>
      <c r="H198" s="2103"/>
      <c r="I198" s="2103"/>
      <c r="J198" s="2103"/>
      <c r="K198" s="2103"/>
      <c r="L198" s="2103"/>
      <c r="M198" s="2103"/>
      <c r="N198" s="2103"/>
      <c r="O198" s="2103"/>
      <c r="P198" s="2103"/>
      <c r="Q198" s="2103"/>
      <c r="R198" s="2103"/>
      <c r="S198" s="2103"/>
      <c r="T198" s="2103"/>
      <c r="U198" s="2103"/>
      <c r="V198" s="2103"/>
      <c r="W198" s="2103"/>
      <c r="X198" s="2103"/>
      <c r="Y198" s="2103"/>
      <c r="Z198" s="2103"/>
      <c r="AA198" s="2103"/>
      <c r="AB198" s="1421">
        <f>SUM(AB194:AB197)</f>
        <v>1801.0000000000002</v>
      </c>
    </row>
    <row r="199" spans="2:28" x14ac:dyDescent="0.3">
      <c r="B199" s="1395"/>
      <c r="C199" s="1395"/>
      <c r="D199" s="1395"/>
      <c r="E199" s="1395"/>
      <c r="F199" s="1395"/>
      <c r="G199" s="1395"/>
      <c r="H199" s="1395"/>
      <c r="I199" s="1395"/>
      <c r="J199" s="1395"/>
      <c r="K199" s="1395"/>
      <c r="L199" s="1395"/>
      <c r="M199" s="1395"/>
      <c r="N199" s="1395"/>
      <c r="O199" s="1395"/>
      <c r="P199" s="1395"/>
      <c r="Q199" s="1395"/>
      <c r="R199" s="1395"/>
      <c r="S199" s="1395"/>
      <c r="T199" s="1395"/>
      <c r="U199" s="1395"/>
      <c r="V199" s="1395"/>
      <c r="W199" s="1395"/>
      <c r="X199" s="1395"/>
      <c r="Y199" s="1395"/>
      <c r="Z199" s="1395"/>
      <c r="AA199" s="1395"/>
      <c r="AB199" s="1395"/>
    </row>
    <row r="200" spans="2:28" ht="15" customHeight="1" x14ac:dyDescent="0.3">
      <c r="B200" s="1395" t="s">
        <v>1434</v>
      </c>
      <c r="C200" s="2099" t="s">
        <v>1628</v>
      </c>
      <c r="D200" s="2100"/>
      <c r="E200" s="2100"/>
      <c r="F200" s="2100"/>
      <c r="G200" s="2100"/>
      <c r="H200" s="2100"/>
      <c r="I200" s="2100"/>
      <c r="J200" s="2100"/>
      <c r="K200" s="2100"/>
      <c r="L200" s="2100"/>
      <c r="M200" s="2100"/>
      <c r="N200" s="2100"/>
      <c r="O200" s="2100"/>
      <c r="P200" s="2100"/>
      <c r="Q200" s="2100"/>
      <c r="R200" s="2100"/>
      <c r="S200" s="2100"/>
      <c r="T200" s="2100"/>
      <c r="U200" s="2100"/>
      <c r="V200" s="2100"/>
      <c r="W200" s="2100"/>
      <c r="X200" s="2100"/>
      <c r="Y200" s="2100"/>
      <c r="Z200" s="2100"/>
      <c r="AA200" s="2100"/>
      <c r="AB200" s="2101"/>
    </row>
    <row r="201" spans="2:28" x14ac:dyDescent="0.3">
      <c r="B201" s="1395"/>
      <c r="C201" s="1395"/>
      <c r="D201" s="1395"/>
      <c r="E201" s="1395"/>
      <c r="F201" s="1395"/>
      <c r="G201" s="1395"/>
      <c r="H201" s="1395"/>
      <c r="I201" s="1395"/>
      <c r="J201" s="1395"/>
      <c r="K201" s="1395"/>
      <c r="L201" s="1395"/>
      <c r="M201" s="1395"/>
      <c r="N201" s="1395"/>
      <c r="O201" s="1395"/>
      <c r="P201" s="1395"/>
      <c r="Q201" s="1395"/>
      <c r="R201" s="1395"/>
      <c r="S201" s="1395"/>
      <c r="T201" s="1395"/>
      <c r="U201" s="1395"/>
      <c r="V201" s="1395"/>
      <c r="W201" s="1395"/>
      <c r="X201" s="1395"/>
      <c r="Y201" s="1395"/>
      <c r="Z201" s="1395"/>
      <c r="AA201" s="1395"/>
      <c r="AB201" s="1395"/>
    </row>
    <row r="202" spans="2:28" s="1420" customFormat="1" ht="21" customHeight="1" x14ac:dyDescent="0.3">
      <c r="B202" s="1419"/>
      <c r="C202" s="1418" t="s">
        <v>1435</v>
      </c>
      <c r="D202" s="1419" t="s">
        <v>1436</v>
      </c>
      <c r="E202" s="1419" t="s">
        <v>1437</v>
      </c>
      <c r="F202" s="1419" t="s">
        <v>1438</v>
      </c>
      <c r="G202" s="1419" t="s">
        <v>1439</v>
      </c>
      <c r="H202" s="1419" t="s">
        <v>1440</v>
      </c>
      <c r="I202" s="1419" t="s">
        <v>1441</v>
      </c>
      <c r="J202" s="1419" t="s">
        <v>1442</v>
      </c>
      <c r="K202" s="1419" t="s">
        <v>1443</v>
      </c>
      <c r="L202" s="1419" t="s">
        <v>1444</v>
      </c>
      <c r="M202" s="1419" t="s">
        <v>1445</v>
      </c>
      <c r="N202" s="1419" t="s">
        <v>1446</v>
      </c>
      <c r="O202" s="1419" t="s">
        <v>1447</v>
      </c>
      <c r="P202" s="1419" t="s">
        <v>1448</v>
      </c>
      <c r="Q202" s="1419" t="s">
        <v>1449</v>
      </c>
      <c r="R202" s="1419" t="s">
        <v>1450</v>
      </c>
      <c r="S202" s="1419" t="s">
        <v>1451</v>
      </c>
      <c r="T202" s="1419" t="s">
        <v>1452</v>
      </c>
      <c r="U202" s="1419" t="s">
        <v>1453</v>
      </c>
      <c r="V202" s="1419" t="s">
        <v>1454</v>
      </c>
      <c r="W202" s="1419" t="s">
        <v>1455</v>
      </c>
      <c r="X202" s="1419" t="s">
        <v>1456</v>
      </c>
      <c r="Y202" s="1419" t="s">
        <v>1457</v>
      </c>
      <c r="Z202" s="1419" t="s">
        <v>1458</v>
      </c>
      <c r="AA202" s="1419" t="s">
        <v>1466</v>
      </c>
      <c r="AB202" s="1419" t="s">
        <v>1467</v>
      </c>
    </row>
    <row r="203" spans="2:28" x14ac:dyDescent="0.3">
      <c r="B203" s="1437" t="s">
        <v>1461</v>
      </c>
      <c r="C203" s="1448">
        <v>0.05</v>
      </c>
      <c r="D203" s="1448">
        <v>0.05</v>
      </c>
      <c r="E203" s="1448">
        <v>0.05</v>
      </c>
      <c r="F203" s="1448">
        <v>0.05</v>
      </c>
      <c r="G203" s="1448">
        <v>0.05</v>
      </c>
      <c r="H203" s="1448">
        <v>0.05</v>
      </c>
      <c r="I203" s="1448">
        <v>0.05</v>
      </c>
      <c r="J203" s="1448">
        <v>0.3</v>
      </c>
      <c r="K203" s="1448">
        <v>0.6</v>
      </c>
      <c r="L203" s="1448">
        <v>0.65</v>
      </c>
      <c r="M203" s="1448">
        <v>0.65</v>
      </c>
      <c r="N203" s="1448">
        <v>0.65</v>
      </c>
      <c r="O203" s="1448">
        <v>0.55000000000000004</v>
      </c>
      <c r="P203" s="1448">
        <v>0.55000000000000004</v>
      </c>
      <c r="Q203" s="1448">
        <v>0.55000000000000004</v>
      </c>
      <c r="R203" s="1448">
        <v>0.5</v>
      </c>
      <c r="S203" s="1448">
        <v>0.35</v>
      </c>
      <c r="T203" s="1448">
        <v>0.35</v>
      </c>
      <c r="U203" s="1448">
        <v>0.35</v>
      </c>
      <c r="V203" s="1448">
        <v>0.35</v>
      </c>
      <c r="W203" s="1448">
        <v>0.35</v>
      </c>
      <c r="X203" s="1448">
        <v>0.3</v>
      </c>
      <c r="Y203" s="1448">
        <v>0.05</v>
      </c>
      <c r="Z203" s="1448">
        <v>0.05</v>
      </c>
      <c r="AA203" s="1424">
        <f>SUM(C203:Z203)</f>
        <v>7.4999999999999973</v>
      </c>
      <c r="AB203" s="1425">
        <f>AA203*SUM($C$9:$C$13)</f>
        <v>1874.9999999999993</v>
      </c>
    </row>
    <row r="204" spans="2:28" x14ac:dyDescent="0.3">
      <c r="B204" s="1439" t="s">
        <v>1431</v>
      </c>
      <c r="C204" s="1449">
        <v>0.05</v>
      </c>
      <c r="D204" s="1449">
        <v>0.05</v>
      </c>
      <c r="E204" s="1449">
        <v>0.05</v>
      </c>
      <c r="F204" s="1449">
        <v>0.05</v>
      </c>
      <c r="G204" s="1449">
        <v>0.05</v>
      </c>
      <c r="H204" s="1449">
        <v>0.05</v>
      </c>
      <c r="I204" s="1449">
        <v>0.05</v>
      </c>
      <c r="J204" s="1449">
        <v>0.05</v>
      </c>
      <c r="K204" s="1449">
        <v>0.15</v>
      </c>
      <c r="L204" s="1449">
        <v>0.15</v>
      </c>
      <c r="M204" s="1449">
        <v>0.15</v>
      </c>
      <c r="N204" s="1449">
        <v>0.15</v>
      </c>
      <c r="O204" s="1449">
        <v>0.15</v>
      </c>
      <c r="P204" s="1449">
        <v>0.05</v>
      </c>
      <c r="Q204" s="1449">
        <v>0.05</v>
      </c>
      <c r="R204" s="1449">
        <v>0.05</v>
      </c>
      <c r="S204" s="1449">
        <v>0.05</v>
      </c>
      <c r="T204" s="1449">
        <v>0.05</v>
      </c>
      <c r="U204" s="1449">
        <v>0.05</v>
      </c>
      <c r="V204" s="1449">
        <v>0.05</v>
      </c>
      <c r="W204" s="1449">
        <v>0.05</v>
      </c>
      <c r="X204" s="1449">
        <v>0.05</v>
      </c>
      <c r="Y204" s="1449">
        <v>0.05</v>
      </c>
      <c r="Z204" s="1449">
        <v>0.05</v>
      </c>
      <c r="AA204" s="1428">
        <f>SUM(C204:Z204)</f>
        <v>1.7000000000000004</v>
      </c>
      <c r="AB204" s="1429">
        <f>AA204*SUM($C$14)</f>
        <v>88.40000000000002</v>
      </c>
    </row>
    <row r="205" spans="2:28" x14ac:dyDescent="0.3">
      <c r="B205" s="1439" t="s">
        <v>1432</v>
      </c>
      <c r="C205" s="1449">
        <v>0.05</v>
      </c>
      <c r="D205" s="1449">
        <v>0.05</v>
      </c>
      <c r="E205" s="1449">
        <v>0.05</v>
      </c>
      <c r="F205" s="1449">
        <v>0.05</v>
      </c>
      <c r="G205" s="1449">
        <v>0.05</v>
      </c>
      <c r="H205" s="1449">
        <v>0.05</v>
      </c>
      <c r="I205" s="1449">
        <v>0.05</v>
      </c>
      <c r="J205" s="1449">
        <v>0.05</v>
      </c>
      <c r="K205" s="1449">
        <v>0.05</v>
      </c>
      <c r="L205" s="1449">
        <v>0.05</v>
      </c>
      <c r="M205" s="1449">
        <v>0.05</v>
      </c>
      <c r="N205" s="1449">
        <v>0.05</v>
      </c>
      <c r="O205" s="1449">
        <v>0.05</v>
      </c>
      <c r="P205" s="1449">
        <v>0.05</v>
      </c>
      <c r="Q205" s="1449">
        <v>0.05</v>
      </c>
      <c r="R205" s="1449">
        <v>0.05</v>
      </c>
      <c r="S205" s="1449">
        <v>0.05</v>
      </c>
      <c r="T205" s="1449">
        <v>0.05</v>
      </c>
      <c r="U205" s="1449">
        <v>0.05</v>
      </c>
      <c r="V205" s="1449">
        <v>0.05</v>
      </c>
      <c r="W205" s="1449">
        <v>0.05</v>
      </c>
      <c r="X205" s="1449">
        <v>0.05</v>
      </c>
      <c r="Y205" s="1449">
        <v>0.05</v>
      </c>
      <c r="Z205" s="1449">
        <v>0.05</v>
      </c>
      <c r="AA205" s="1428">
        <f>SUM(C205:Z205)</f>
        <v>1.2000000000000004</v>
      </c>
      <c r="AB205" s="1429">
        <f>AA205*$C$15</f>
        <v>62.40000000000002</v>
      </c>
    </row>
    <row r="206" spans="2:28" x14ac:dyDescent="0.3">
      <c r="B206" s="1441" t="s">
        <v>1463</v>
      </c>
      <c r="C206" s="1450">
        <v>0.05</v>
      </c>
      <c r="D206" s="1450">
        <v>0.05</v>
      </c>
      <c r="E206" s="1450">
        <v>0.05</v>
      </c>
      <c r="F206" s="1450">
        <v>0.05</v>
      </c>
      <c r="G206" s="1450">
        <v>0.05</v>
      </c>
      <c r="H206" s="1450">
        <v>0.05</v>
      </c>
      <c r="I206" s="1450">
        <v>0.05</v>
      </c>
      <c r="J206" s="1450">
        <v>0.05</v>
      </c>
      <c r="K206" s="1450">
        <v>0.05</v>
      </c>
      <c r="L206" s="1450">
        <v>0.05</v>
      </c>
      <c r="M206" s="1450">
        <v>0.05</v>
      </c>
      <c r="N206" s="1450">
        <v>0.05</v>
      </c>
      <c r="O206" s="1450">
        <v>0.05</v>
      </c>
      <c r="P206" s="1450">
        <v>0.05</v>
      </c>
      <c r="Q206" s="1450">
        <v>0.05</v>
      </c>
      <c r="R206" s="1450">
        <v>0.05</v>
      </c>
      <c r="S206" s="1450">
        <v>0.05</v>
      </c>
      <c r="T206" s="1450">
        <v>0.05</v>
      </c>
      <c r="U206" s="1450">
        <v>0.05</v>
      </c>
      <c r="V206" s="1450">
        <v>0.05</v>
      </c>
      <c r="W206" s="1450">
        <v>0.05</v>
      </c>
      <c r="X206" s="1450">
        <v>0.05</v>
      </c>
      <c r="Y206" s="1450">
        <v>0.05</v>
      </c>
      <c r="Z206" s="1450">
        <v>0.05</v>
      </c>
      <c r="AA206" s="1432">
        <f>SUM(C206:Z206)</f>
        <v>1.2000000000000004</v>
      </c>
      <c r="AB206" s="1433">
        <f>AA206*SUM($C$8)</f>
        <v>13.200000000000005</v>
      </c>
    </row>
    <row r="207" spans="2:28" x14ac:dyDescent="0.3">
      <c r="B207" s="2102" t="s">
        <v>1468</v>
      </c>
      <c r="C207" s="2103"/>
      <c r="D207" s="2103"/>
      <c r="E207" s="2103"/>
      <c r="F207" s="2103"/>
      <c r="G207" s="2103"/>
      <c r="H207" s="2103"/>
      <c r="I207" s="2103"/>
      <c r="J207" s="2103"/>
      <c r="K207" s="2103"/>
      <c r="L207" s="2103"/>
      <c r="M207" s="2103"/>
      <c r="N207" s="2103"/>
      <c r="O207" s="2103"/>
      <c r="P207" s="2103"/>
      <c r="Q207" s="2103"/>
      <c r="R207" s="2103"/>
      <c r="S207" s="2103"/>
      <c r="T207" s="2103"/>
      <c r="U207" s="2103"/>
      <c r="V207" s="2103"/>
      <c r="W207" s="2103"/>
      <c r="X207" s="2103"/>
      <c r="Y207" s="2103"/>
      <c r="Z207" s="2103"/>
      <c r="AA207" s="2103"/>
      <c r="AB207" s="1421">
        <f>SUM(AB203:AB206)</f>
        <v>2038.9999999999995</v>
      </c>
    </row>
    <row r="208" spans="2:28" x14ac:dyDescent="0.3">
      <c r="B208" s="1395"/>
      <c r="C208" s="1395"/>
      <c r="D208" s="1395"/>
      <c r="E208" s="1395"/>
      <c r="F208" s="1395"/>
      <c r="G208" s="1395"/>
      <c r="H208" s="1395"/>
      <c r="I208" s="1395"/>
      <c r="J208" s="1395"/>
      <c r="K208" s="1395"/>
      <c r="L208" s="1395"/>
      <c r="M208" s="1395"/>
      <c r="N208" s="1395"/>
      <c r="O208" s="1395"/>
      <c r="P208" s="1395"/>
      <c r="Q208" s="1395"/>
      <c r="R208" s="1395"/>
      <c r="S208" s="1395"/>
      <c r="T208" s="1395"/>
      <c r="U208" s="1395"/>
      <c r="V208" s="1395"/>
      <c r="W208" s="1395"/>
      <c r="X208" s="1395"/>
      <c r="Y208" s="1395"/>
      <c r="Z208" s="1395"/>
      <c r="AA208" s="1395"/>
      <c r="AB208" s="1395"/>
    </row>
    <row r="209" spans="2:28" ht="15" customHeight="1" x14ac:dyDescent="0.3">
      <c r="B209" s="1395" t="s">
        <v>1434</v>
      </c>
      <c r="C209" s="2099" t="s">
        <v>1629</v>
      </c>
      <c r="D209" s="2100"/>
      <c r="E209" s="2100"/>
      <c r="F209" s="2100"/>
      <c r="G209" s="2100"/>
      <c r="H209" s="2100"/>
      <c r="I209" s="2100"/>
      <c r="J209" s="2100"/>
      <c r="K209" s="2100"/>
      <c r="L209" s="2100"/>
      <c r="M209" s="2100"/>
      <c r="N209" s="2100"/>
      <c r="O209" s="2100"/>
      <c r="P209" s="2100"/>
      <c r="Q209" s="2100"/>
      <c r="R209" s="2100"/>
      <c r="S209" s="2100"/>
      <c r="T209" s="2100"/>
      <c r="U209" s="2100"/>
      <c r="V209" s="2100"/>
      <c r="W209" s="2100"/>
      <c r="X209" s="2100"/>
      <c r="Y209" s="2100"/>
      <c r="Z209" s="2100"/>
      <c r="AA209" s="2100"/>
      <c r="AB209" s="2101"/>
    </row>
    <row r="210" spans="2:28" x14ac:dyDescent="0.3">
      <c r="B210" s="1395"/>
      <c r="C210" s="1395"/>
      <c r="D210" s="1395"/>
      <c r="E210" s="1395"/>
      <c r="F210" s="1395"/>
      <c r="G210" s="1395"/>
      <c r="H210" s="1395"/>
      <c r="I210" s="1395"/>
      <c r="J210" s="1395"/>
      <c r="K210" s="1395"/>
      <c r="L210" s="1395"/>
      <c r="M210" s="1395"/>
      <c r="N210" s="1395"/>
      <c r="O210" s="1395"/>
      <c r="P210" s="1395"/>
      <c r="Q210" s="1395"/>
      <c r="R210" s="1395"/>
      <c r="S210" s="1395"/>
      <c r="T210" s="1395"/>
      <c r="U210" s="1395"/>
      <c r="V210" s="1395"/>
      <c r="W210" s="1395"/>
      <c r="X210" s="1395"/>
      <c r="Y210" s="1395"/>
      <c r="Z210" s="1395"/>
      <c r="AA210" s="1395"/>
      <c r="AB210" s="1395"/>
    </row>
    <row r="211" spans="2:28" s="1420" customFormat="1" ht="21" customHeight="1" x14ac:dyDescent="0.3">
      <c r="B211" s="1419"/>
      <c r="C211" s="1418" t="s">
        <v>1435</v>
      </c>
      <c r="D211" s="1419" t="s">
        <v>1436</v>
      </c>
      <c r="E211" s="1419" t="s">
        <v>1437</v>
      </c>
      <c r="F211" s="1419" t="s">
        <v>1438</v>
      </c>
      <c r="G211" s="1419" t="s">
        <v>1439</v>
      </c>
      <c r="H211" s="1419" t="s">
        <v>1440</v>
      </c>
      <c r="I211" s="1419" t="s">
        <v>1441</v>
      </c>
      <c r="J211" s="1419" t="s">
        <v>1442</v>
      </c>
      <c r="K211" s="1419" t="s">
        <v>1443</v>
      </c>
      <c r="L211" s="1419" t="s">
        <v>1444</v>
      </c>
      <c r="M211" s="1419" t="s">
        <v>1445</v>
      </c>
      <c r="N211" s="1419" t="s">
        <v>1446</v>
      </c>
      <c r="O211" s="1419" t="s">
        <v>1447</v>
      </c>
      <c r="P211" s="1419" t="s">
        <v>1448</v>
      </c>
      <c r="Q211" s="1419" t="s">
        <v>1449</v>
      </c>
      <c r="R211" s="1419" t="s">
        <v>1450</v>
      </c>
      <c r="S211" s="1419" t="s">
        <v>1451</v>
      </c>
      <c r="T211" s="1419" t="s">
        <v>1452</v>
      </c>
      <c r="U211" s="1419" t="s">
        <v>1453</v>
      </c>
      <c r="V211" s="1419" t="s">
        <v>1454</v>
      </c>
      <c r="W211" s="1419" t="s">
        <v>1455</v>
      </c>
      <c r="X211" s="1419" t="s">
        <v>1456</v>
      </c>
      <c r="Y211" s="1419" t="s">
        <v>1457</v>
      </c>
      <c r="Z211" s="1419" t="s">
        <v>1458</v>
      </c>
      <c r="AA211" s="1419" t="s">
        <v>1466</v>
      </c>
      <c r="AB211" s="1419" t="s">
        <v>1467</v>
      </c>
    </row>
    <row r="212" spans="2:28" x14ac:dyDescent="0.3">
      <c r="B212" s="1437" t="s">
        <v>1461</v>
      </c>
      <c r="C212" s="1448">
        <v>0.05</v>
      </c>
      <c r="D212" s="1448">
        <v>0.05</v>
      </c>
      <c r="E212" s="1448">
        <v>0.05</v>
      </c>
      <c r="F212" s="1448">
        <v>0.05</v>
      </c>
      <c r="G212" s="1448">
        <v>0.05</v>
      </c>
      <c r="H212" s="1448">
        <v>0.05</v>
      </c>
      <c r="I212" s="1448">
        <v>0.05</v>
      </c>
      <c r="J212" s="1448">
        <v>0.3</v>
      </c>
      <c r="K212" s="1448">
        <v>0.85</v>
      </c>
      <c r="L212" s="1448">
        <v>0.95</v>
      </c>
      <c r="M212" s="1448">
        <v>0.95</v>
      </c>
      <c r="N212" s="1448">
        <v>0.95</v>
      </c>
      <c r="O212" s="1448">
        <v>0.8</v>
      </c>
      <c r="P212" s="1448">
        <v>0.8</v>
      </c>
      <c r="Q212" s="1448">
        <v>0.8</v>
      </c>
      <c r="R212" s="1448">
        <v>0.7</v>
      </c>
      <c r="S212" s="1448">
        <v>0.5</v>
      </c>
      <c r="T212" s="1448">
        <v>0.5</v>
      </c>
      <c r="U212" s="1448">
        <v>0.35</v>
      </c>
      <c r="V212" s="1448">
        <v>0.35</v>
      </c>
      <c r="W212" s="1448">
        <v>0.35</v>
      </c>
      <c r="X212" s="1448">
        <v>0.3</v>
      </c>
      <c r="Y212" s="1448">
        <v>0.05</v>
      </c>
      <c r="Z212" s="1448">
        <v>0.05</v>
      </c>
      <c r="AA212" s="1424">
        <f>SUM(C212:Z212)</f>
        <v>9.9</v>
      </c>
      <c r="AB212" s="1425">
        <f>AA212*SUM($C$9:$C$13)</f>
        <v>2475</v>
      </c>
    </row>
    <row r="213" spans="2:28" x14ac:dyDescent="0.3">
      <c r="B213" s="1439" t="s">
        <v>1431</v>
      </c>
      <c r="C213" s="1449">
        <v>0.05</v>
      </c>
      <c r="D213" s="1449">
        <v>0.05</v>
      </c>
      <c r="E213" s="1449">
        <v>0.05</v>
      </c>
      <c r="F213" s="1449">
        <v>0.05</v>
      </c>
      <c r="G213" s="1449">
        <v>0.05</v>
      </c>
      <c r="H213" s="1449">
        <v>0.05</v>
      </c>
      <c r="I213" s="1449">
        <v>0.05</v>
      </c>
      <c r="J213" s="1449">
        <v>0.05</v>
      </c>
      <c r="K213" s="1449">
        <v>0.15</v>
      </c>
      <c r="L213" s="1449">
        <v>0.15</v>
      </c>
      <c r="M213" s="1449">
        <v>0.15</v>
      </c>
      <c r="N213" s="1449">
        <v>0.15</v>
      </c>
      <c r="O213" s="1449">
        <v>0.15</v>
      </c>
      <c r="P213" s="1449">
        <v>0.05</v>
      </c>
      <c r="Q213" s="1449">
        <v>0.05</v>
      </c>
      <c r="R213" s="1449">
        <v>0.05</v>
      </c>
      <c r="S213" s="1449">
        <v>0.05</v>
      </c>
      <c r="T213" s="1449">
        <v>0.05</v>
      </c>
      <c r="U213" s="1449">
        <v>0.05</v>
      </c>
      <c r="V213" s="1449">
        <v>0.05</v>
      </c>
      <c r="W213" s="1449">
        <v>0.05</v>
      </c>
      <c r="X213" s="1449">
        <v>0.05</v>
      </c>
      <c r="Y213" s="1449">
        <v>0.05</v>
      </c>
      <c r="Z213" s="1449">
        <v>0.05</v>
      </c>
      <c r="AA213" s="1428">
        <f>SUM(C213:Z213)</f>
        <v>1.7000000000000004</v>
      </c>
      <c r="AB213" s="1429">
        <f>AA213*SUM($C$14)</f>
        <v>88.40000000000002</v>
      </c>
    </row>
    <row r="214" spans="2:28" x14ac:dyDescent="0.3">
      <c r="B214" s="1439" t="s">
        <v>1432</v>
      </c>
      <c r="C214" s="1449">
        <v>0.05</v>
      </c>
      <c r="D214" s="1449">
        <v>0.05</v>
      </c>
      <c r="E214" s="1449">
        <v>0.05</v>
      </c>
      <c r="F214" s="1449">
        <v>0.05</v>
      </c>
      <c r="G214" s="1449">
        <v>0.05</v>
      </c>
      <c r="H214" s="1449">
        <v>0.05</v>
      </c>
      <c r="I214" s="1449">
        <v>0.05</v>
      </c>
      <c r="J214" s="1449">
        <v>0.05</v>
      </c>
      <c r="K214" s="1449">
        <v>0.05</v>
      </c>
      <c r="L214" s="1449">
        <v>0.05</v>
      </c>
      <c r="M214" s="1449">
        <v>0.05</v>
      </c>
      <c r="N214" s="1449">
        <v>0.05</v>
      </c>
      <c r="O214" s="1449">
        <v>0.05</v>
      </c>
      <c r="P214" s="1449">
        <v>0.05</v>
      </c>
      <c r="Q214" s="1449">
        <v>0.05</v>
      </c>
      <c r="R214" s="1449">
        <v>0.05</v>
      </c>
      <c r="S214" s="1449">
        <v>0.05</v>
      </c>
      <c r="T214" s="1449">
        <v>0.05</v>
      </c>
      <c r="U214" s="1449">
        <v>0.05</v>
      </c>
      <c r="V214" s="1449">
        <v>0.05</v>
      </c>
      <c r="W214" s="1449">
        <v>0.05</v>
      </c>
      <c r="X214" s="1449">
        <v>0.05</v>
      </c>
      <c r="Y214" s="1449">
        <v>0.05</v>
      </c>
      <c r="Z214" s="1449">
        <v>0.05</v>
      </c>
      <c r="AA214" s="1428">
        <f>SUM(C214:Z214)</f>
        <v>1.2000000000000004</v>
      </c>
      <c r="AB214" s="1429">
        <f>AA214*$C$15</f>
        <v>62.40000000000002</v>
      </c>
    </row>
    <row r="215" spans="2:28" x14ac:dyDescent="0.3">
      <c r="B215" s="1441" t="s">
        <v>1463</v>
      </c>
      <c r="C215" s="1450">
        <v>0.05</v>
      </c>
      <c r="D215" s="1450">
        <v>0.05</v>
      </c>
      <c r="E215" s="1450">
        <v>0.05</v>
      </c>
      <c r="F215" s="1450">
        <v>0.05</v>
      </c>
      <c r="G215" s="1450">
        <v>0.05</v>
      </c>
      <c r="H215" s="1450">
        <v>0.05</v>
      </c>
      <c r="I215" s="1450">
        <v>0.05</v>
      </c>
      <c r="J215" s="1450">
        <v>0.05</v>
      </c>
      <c r="K215" s="1450">
        <v>0.05</v>
      </c>
      <c r="L215" s="1450">
        <v>0.05</v>
      </c>
      <c r="M215" s="1450">
        <v>0.05</v>
      </c>
      <c r="N215" s="1450">
        <v>0.05</v>
      </c>
      <c r="O215" s="1450">
        <v>0.05</v>
      </c>
      <c r="P215" s="1450">
        <v>0.05</v>
      </c>
      <c r="Q215" s="1450">
        <v>0.05</v>
      </c>
      <c r="R215" s="1450">
        <v>0.05</v>
      </c>
      <c r="S215" s="1450">
        <v>0.05</v>
      </c>
      <c r="T215" s="1450">
        <v>0.05</v>
      </c>
      <c r="U215" s="1450">
        <v>0.05</v>
      </c>
      <c r="V215" s="1450">
        <v>0.05</v>
      </c>
      <c r="W215" s="1450">
        <v>0.05</v>
      </c>
      <c r="X215" s="1450">
        <v>0.05</v>
      </c>
      <c r="Y215" s="1450">
        <v>0.05</v>
      </c>
      <c r="Z215" s="1450">
        <v>0.05</v>
      </c>
      <c r="AA215" s="1432">
        <f>SUM(C215:Z215)</f>
        <v>1.2000000000000004</v>
      </c>
      <c r="AB215" s="1433">
        <f>AA215*SUM($C$8)</f>
        <v>13.200000000000005</v>
      </c>
    </row>
    <row r="216" spans="2:28" x14ac:dyDescent="0.3">
      <c r="B216" s="2102" t="s">
        <v>1468</v>
      </c>
      <c r="C216" s="2103"/>
      <c r="D216" s="2103"/>
      <c r="E216" s="2103"/>
      <c r="F216" s="2103"/>
      <c r="G216" s="2103"/>
      <c r="H216" s="2103"/>
      <c r="I216" s="2103"/>
      <c r="J216" s="2103"/>
      <c r="K216" s="2103"/>
      <c r="L216" s="2103"/>
      <c r="M216" s="2103"/>
      <c r="N216" s="2103"/>
      <c r="O216" s="2103"/>
      <c r="P216" s="2103"/>
      <c r="Q216" s="2103"/>
      <c r="R216" s="2103"/>
      <c r="S216" s="2103"/>
      <c r="T216" s="2103"/>
      <c r="U216" s="2103"/>
      <c r="V216" s="2103"/>
      <c r="W216" s="2103"/>
      <c r="X216" s="2103"/>
      <c r="Y216" s="2103"/>
      <c r="Z216" s="2103"/>
      <c r="AA216" s="2103"/>
      <c r="AB216" s="1421">
        <f>SUM(AB212:AB215)</f>
        <v>2639</v>
      </c>
    </row>
    <row r="217" spans="2:28" x14ac:dyDescent="0.3">
      <c r="B217" s="1395"/>
      <c r="C217" s="1395"/>
      <c r="D217" s="1395"/>
      <c r="E217" s="1395"/>
      <c r="F217" s="1395"/>
      <c r="G217" s="1395"/>
      <c r="H217" s="1395"/>
      <c r="I217" s="1395"/>
      <c r="J217" s="1395"/>
      <c r="K217" s="1395"/>
      <c r="L217" s="1395"/>
      <c r="M217" s="1395"/>
      <c r="N217" s="1395"/>
      <c r="O217" s="1395"/>
      <c r="P217" s="1395"/>
      <c r="Q217" s="1395"/>
      <c r="R217" s="1395"/>
      <c r="S217" s="1395"/>
      <c r="T217" s="1395"/>
      <c r="U217" s="1395"/>
      <c r="V217" s="1395"/>
      <c r="W217" s="1395"/>
      <c r="X217" s="1395"/>
      <c r="Y217" s="1395"/>
      <c r="Z217" s="1395"/>
      <c r="AA217" s="1395"/>
      <c r="AB217" s="1395"/>
    </row>
    <row r="218" spans="2:28" ht="15" customHeight="1" x14ac:dyDescent="0.3">
      <c r="B218" s="1395" t="s">
        <v>1434</v>
      </c>
      <c r="C218" s="2099" t="s">
        <v>1630</v>
      </c>
      <c r="D218" s="2100"/>
      <c r="E218" s="2100"/>
      <c r="F218" s="2100"/>
      <c r="G218" s="2100"/>
      <c r="H218" s="2100"/>
      <c r="I218" s="2100"/>
      <c r="J218" s="2100"/>
      <c r="K218" s="2100"/>
      <c r="L218" s="2100"/>
      <c r="M218" s="2100"/>
      <c r="N218" s="2100"/>
      <c r="O218" s="2100"/>
      <c r="P218" s="2100"/>
      <c r="Q218" s="2100"/>
      <c r="R218" s="2100"/>
      <c r="S218" s="2100"/>
      <c r="T218" s="2100"/>
      <c r="U218" s="2100"/>
      <c r="V218" s="2100"/>
      <c r="W218" s="2100"/>
      <c r="X218" s="2100"/>
      <c r="Y218" s="2100"/>
      <c r="Z218" s="2100"/>
      <c r="AA218" s="2100"/>
      <c r="AB218" s="2101"/>
    </row>
    <row r="219" spans="2:28" x14ac:dyDescent="0.3">
      <c r="B219" s="1395"/>
      <c r="C219" s="1395"/>
      <c r="D219" s="1395"/>
      <c r="E219" s="1395"/>
      <c r="F219" s="1395"/>
      <c r="G219" s="1395"/>
      <c r="H219" s="1395"/>
      <c r="I219" s="1395"/>
      <c r="J219" s="1395"/>
      <c r="K219" s="1395"/>
      <c r="L219" s="1395"/>
      <c r="M219" s="1395"/>
      <c r="N219" s="1395"/>
      <c r="O219" s="1395"/>
      <c r="P219" s="1395"/>
      <c r="Q219" s="1395"/>
      <c r="R219" s="1395"/>
      <c r="S219" s="1395"/>
      <c r="T219" s="1395"/>
      <c r="U219" s="1395"/>
      <c r="V219" s="1395"/>
      <c r="W219" s="1395"/>
      <c r="X219" s="1395"/>
      <c r="Y219" s="1395"/>
      <c r="Z219" s="1395"/>
      <c r="AA219" s="1395"/>
      <c r="AB219" s="1395"/>
    </row>
    <row r="220" spans="2:28" s="1420" customFormat="1" ht="21" customHeight="1" x14ac:dyDescent="0.3">
      <c r="B220" s="1419"/>
      <c r="C220" s="1418" t="s">
        <v>1435</v>
      </c>
      <c r="D220" s="1419" t="s">
        <v>1436</v>
      </c>
      <c r="E220" s="1419" t="s">
        <v>1437</v>
      </c>
      <c r="F220" s="1419" t="s">
        <v>1438</v>
      </c>
      <c r="G220" s="1419" t="s">
        <v>1439</v>
      </c>
      <c r="H220" s="1419" t="s">
        <v>1440</v>
      </c>
      <c r="I220" s="1419" t="s">
        <v>1441</v>
      </c>
      <c r="J220" s="1419" t="s">
        <v>1442</v>
      </c>
      <c r="K220" s="1419" t="s">
        <v>1443</v>
      </c>
      <c r="L220" s="1419" t="s">
        <v>1444</v>
      </c>
      <c r="M220" s="1419" t="s">
        <v>1445</v>
      </c>
      <c r="N220" s="1419" t="s">
        <v>1446</v>
      </c>
      <c r="O220" s="1419" t="s">
        <v>1447</v>
      </c>
      <c r="P220" s="1419" t="s">
        <v>1448</v>
      </c>
      <c r="Q220" s="1419" t="s">
        <v>1449</v>
      </c>
      <c r="R220" s="1419" t="s">
        <v>1450</v>
      </c>
      <c r="S220" s="1419" t="s">
        <v>1451</v>
      </c>
      <c r="T220" s="1419" t="s">
        <v>1452</v>
      </c>
      <c r="U220" s="1419" t="s">
        <v>1453</v>
      </c>
      <c r="V220" s="1419" t="s">
        <v>1454</v>
      </c>
      <c r="W220" s="1419" t="s">
        <v>1455</v>
      </c>
      <c r="X220" s="1419" t="s">
        <v>1456</v>
      </c>
      <c r="Y220" s="1419" t="s">
        <v>1457</v>
      </c>
      <c r="Z220" s="1419" t="s">
        <v>1458</v>
      </c>
      <c r="AA220" s="1419" t="s">
        <v>1466</v>
      </c>
      <c r="AB220" s="1419" t="s">
        <v>1467</v>
      </c>
    </row>
    <row r="221" spans="2:28" x14ac:dyDescent="0.3">
      <c r="B221" s="1437" t="s">
        <v>1461</v>
      </c>
      <c r="C221" s="1448">
        <v>0.05</v>
      </c>
      <c r="D221" s="1448">
        <v>0.05</v>
      </c>
      <c r="E221" s="1448">
        <v>0.05</v>
      </c>
      <c r="F221" s="1448">
        <v>0.05</v>
      </c>
      <c r="G221" s="1448">
        <v>0.05</v>
      </c>
      <c r="H221" s="1448">
        <v>0.05</v>
      </c>
      <c r="I221" s="1448">
        <v>0.05</v>
      </c>
      <c r="J221" s="1448">
        <v>0.1</v>
      </c>
      <c r="K221" s="1448">
        <v>0.34</v>
      </c>
      <c r="L221" s="1448">
        <v>0.6</v>
      </c>
      <c r="M221" s="1448">
        <v>0.63</v>
      </c>
      <c r="N221" s="1448">
        <v>0.72</v>
      </c>
      <c r="O221" s="1448">
        <v>0.79</v>
      </c>
      <c r="P221" s="1448">
        <v>0.83</v>
      </c>
      <c r="Q221" s="1448">
        <v>0.61</v>
      </c>
      <c r="R221" s="1448">
        <v>0.65</v>
      </c>
      <c r="S221" s="1448">
        <v>0.1</v>
      </c>
      <c r="T221" s="1448">
        <v>0.1</v>
      </c>
      <c r="U221" s="1448">
        <v>0.19</v>
      </c>
      <c r="V221" s="1448">
        <v>0.25</v>
      </c>
      <c r="W221" s="1448">
        <v>0.22</v>
      </c>
      <c r="X221" s="1448">
        <v>0.22</v>
      </c>
      <c r="Y221" s="1448">
        <v>0.12</v>
      </c>
      <c r="Z221" s="1448">
        <v>0.09</v>
      </c>
      <c r="AA221" s="1424">
        <f>SUM(C221:Z221)</f>
        <v>6.91</v>
      </c>
      <c r="AB221" s="1425">
        <f>AA221*SUM($C$9:$C$13)</f>
        <v>1727.5</v>
      </c>
    </row>
    <row r="222" spans="2:28" x14ac:dyDescent="0.3">
      <c r="B222" s="1439" t="s">
        <v>1431</v>
      </c>
      <c r="C222" s="1449">
        <v>0.03</v>
      </c>
      <c r="D222" s="1449">
        <v>0.03</v>
      </c>
      <c r="E222" s="1449">
        <v>0.03</v>
      </c>
      <c r="F222" s="1449">
        <v>0.03</v>
      </c>
      <c r="G222" s="1449">
        <v>0.03</v>
      </c>
      <c r="H222" s="1449">
        <v>0.03</v>
      </c>
      <c r="I222" s="1449">
        <v>0.03</v>
      </c>
      <c r="J222" s="1449">
        <v>0.03</v>
      </c>
      <c r="K222" s="1449">
        <v>0.03</v>
      </c>
      <c r="L222" s="1449">
        <v>0.05</v>
      </c>
      <c r="M222" s="1449">
        <v>0.05</v>
      </c>
      <c r="N222" s="1449">
        <v>0.05</v>
      </c>
      <c r="O222" s="1449">
        <v>0.05</v>
      </c>
      <c r="P222" s="1449">
        <v>0.03</v>
      </c>
      <c r="Q222" s="1449">
        <v>0.03</v>
      </c>
      <c r="R222" s="1449">
        <v>0.03</v>
      </c>
      <c r="S222" s="1449">
        <v>0.03</v>
      </c>
      <c r="T222" s="1449">
        <v>0.03</v>
      </c>
      <c r="U222" s="1449">
        <v>0.03</v>
      </c>
      <c r="V222" s="1449">
        <v>0.03</v>
      </c>
      <c r="W222" s="1449">
        <v>0.03</v>
      </c>
      <c r="X222" s="1449">
        <v>0.03</v>
      </c>
      <c r="Y222" s="1449">
        <v>0.03</v>
      </c>
      <c r="Z222" s="1449">
        <v>0.03</v>
      </c>
      <c r="AA222" s="1428">
        <f>SUM(C222:Z222)</f>
        <v>0.80000000000000027</v>
      </c>
      <c r="AB222" s="1429">
        <f>AA222*SUM($C$14)</f>
        <v>41.600000000000016</v>
      </c>
    </row>
    <row r="223" spans="2:28" x14ac:dyDescent="0.3">
      <c r="B223" s="1439" t="s">
        <v>1432</v>
      </c>
      <c r="C223" s="1449">
        <v>0.03</v>
      </c>
      <c r="D223" s="1449">
        <v>0.03</v>
      </c>
      <c r="E223" s="1449">
        <v>0.03</v>
      </c>
      <c r="F223" s="1449">
        <v>0.03</v>
      </c>
      <c r="G223" s="1449">
        <v>0.03</v>
      </c>
      <c r="H223" s="1449">
        <v>0.03</v>
      </c>
      <c r="I223" s="1449">
        <v>0.03</v>
      </c>
      <c r="J223" s="1449">
        <v>0.03</v>
      </c>
      <c r="K223" s="1449">
        <v>0.03</v>
      </c>
      <c r="L223" s="1449">
        <v>0.05</v>
      </c>
      <c r="M223" s="1449">
        <v>0.05</v>
      </c>
      <c r="N223" s="1449">
        <v>0.05</v>
      </c>
      <c r="O223" s="1449">
        <v>0.05</v>
      </c>
      <c r="P223" s="1449">
        <v>0.05</v>
      </c>
      <c r="Q223" s="1449">
        <v>0.05</v>
      </c>
      <c r="R223" s="1449">
        <v>0.03</v>
      </c>
      <c r="S223" s="1449">
        <v>0.03</v>
      </c>
      <c r="T223" s="1449">
        <v>0.03</v>
      </c>
      <c r="U223" s="1449">
        <v>0.03</v>
      </c>
      <c r="V223" s="1449">
        <v>0.03</v>
      </c>
      <c r="W223" s="1449">
        <v>0.03</v>
      </c>
      <c r="X223" s="1449">
        <v>0.03</v>
      </c>
      <c r="Y223" s="1449">
        <v>0.03</v>
      </c>
      <c r="Z223" s="1449">
        <v>0.03</v>
      </c>
      <c r="AA223" s="1428">
        <f>SUM(C223:Z223)</f>
        <v>0.8400000000000003</v>
      </c>
      <c r="AB223" s="1429">
        <f>AA223*$C$15</f>
        <v>43.680000000000014</v>
      </c>
    </row>
    <row r="224" spans="2:28" x14ac:dyDescent="0.3">
      <c r="B224" s="1441" t="s">
        <v>1463</v>
      </c>
      <c r="C224" s="1450">
        <v>0.03</v>
      </c>
      <c r="D224" s="1450">
        <v>0.03</v>
      </c>
      <c r="E224" s="1450">
        <v>0.03</v>
      </c>
      <c r="F224" s="1450">
        <v>0.03</v>
      </c>
      <c r="G224" s="1450">
        <v>0.03</v>
      </c>
      <c r="H224" s="1450">
        <v>0.03</v>
      </c>
      <c r="I224" s="1450">
        <v>0.03</v>
      </c>
      <c r="J224" s="1450">
        <v>0.03</v>
      </c>
      <c r="K224" s="1450">
        <v>0.03</v>
      </c>
      <c r="L224" s="1450">
        <v>0.05</v>
      </c>
      <c r="M224" s="1450">
        <v>0.05</v>
      </c>
      <c r="N224" s="1450">
        <v>0.05</v>
      </c>
      <c r="O224" s="1450">
        <v>0.05</v>
      </c>
      <c r="P224" s="1450">
        <v>0.05</v>
      </c>
      <c r="Q224" s="1450">
        <v>0.05</v>
      </c>
      <c r="R224" s="1450">
        <v>0.03</v>
      </c>
      <c r="S224" s="1450">
        <v>0.03</v>
      </c>
      <c r="T224" s="1450">
        <v>0.03</v>
      </c>
      <c r="U224" s="1450">
        <v>0.03</v>
      </c>
      <c r="V224" s="1450">
        <v>0.03</v>
      </c>
      <c r="W224" s="1450">
        <v>0.03</v>
      </c>
      <c r="X224" s="1450">
        <v>0.03</v>
      </c>
      <c r="Y224" s="1450">
        <v>0.03</v>
      </c>
      <c r="Z224" s="1450">
        <v>0.03</v>
      </c>
      <c r="AA224" s="1432">
        <f>SUM(C224:Z224)</f>
        <v>0.8400000000000003</v>
      </c>
      <c r="AB224" s="1433">
        <f>AA224*SUM($C$8)</f>
        <v>9.2400000000000038</v>
      </c>
    </row>
    <row r="225" spans="2:28" x14ac:dyDescent="0.3">
      <c r="B225" s="2102" t="s">
        <v>1468</v>
      </c>
      <c r="C225" s="2103"/>
      <c r="D225" s="2103"/>
      <c r="E225" s="2103"/>
      <c r="F225" s="2103"/>
      <c r="G225" s="2103"/>
      <c r="H225" s="2103"/>
      <c r="I225" s="2103"/>
      <c r="J225" s="2103"/>
      <c r="K225" s="2103"/>
      <c r="L225" s="2103"/>
      <c r="M225" s="2103"/>
      <c r="N225" s="2103"/>
      <c r="O225" s="2103"/>
      <c r="P225" s="2103"/>
      <c r="Q225" s="2103"/>
      <c r="R225" s="2103"/>
      <c r="S225" s="2103"/>
      <c r="T225" s="2103"/>
      <c r="U225" s="2103"/>
      <c r="V225" s="2103"/>
      <c r="W225" s="2103"/>
      <c r="X225" s="2103"/>
      <c r="Y225" s="2103"/>
      <c r="Z225" s="2103"/>
      <c r="AA225" s="2103"/>
      <c r="AB225" s="1421">
        <f>SUM(AB221:AB224)</f>
        <v>1822.02</v>
      </c>
    </row>
    <row r="226" spans="2:28" x14ac:dyDescent="0.3">
      <c r="B226" s="1395"/>
      <c r="C226" s="1395"/>
      <c r="D226" s="1395"/>
      <c r="E226" s="1395"/>
      <c r="F226" s="1395"/>
      <c r="G226" s="1395"/>
      <c r="H226" s="1395"/>
      <c r="I226" s="1395"/>
      <c r="J226" s="1395"/>
      <c r="K226" s="1395"/>
      <c r="L226" s="1395"/>
      <c r="M226" s="1395"/>
      <c r="N226" s="1395"/>
      <c r="O226" s="1395"/>
      <c r="P226" s="1395"/>
      <c r="Q226" s="1395"/>
      <c r="R226" s="1395"/>
      <c r="S226" s="1395"/>
      <c r="T226" s="1395"/>
      <c r="U226" s="1395"/>
      <c r="V226" s="1395"/>
      <c r="W226" s="1395"/>
      <c r="X226" s="1395"/>
      <c r="Y226" s="1395"/>
      <c r="Z226" s="1395"/>
      <c r="AA226" s="1395"/>
      <c r="AB226" s="1395"/>
    </row>
    <row r="227" spans="2:28" ht="15" customHeight="1" x14ac:dyDescent="0.3">
      <c r="B227" s="1395" t="s">
        <v>1434</v>
      </c>
      <c r="C227" s="2099" t="s">
        <v>1631</v>
      </c>
      <c r="D227" s="2100"/>
      <c r="E227" s="2100"/>
      <c r="F227" s="2100"/>
      <c r="G227" s="2100"/>
      <c r="H227" s="2100"/>
      <c r="I227" s="2100"/>
      <c r="J227" s="2100"/>
      <c r="K227" s="2100"/>
      <c r="L227" s="2100"/>
      <c r="M227" s="2100"/>
      <c r="N227" s="2100"/>
      <c r="O227" s="2100"/>
      <c r="P227" s="2100"/>
      <c r="Q227" s="2100"/>
      <c r="R227" s="2100"/>
      <c r="S227" s="2100"/>
      <c r="T227" s="2100"/>
      <c r="U227" s="2100"/>
      <c r="V227" s="2100"/>
      <c r="W227" s="2100"/>
      <c r="X227" s="2100"/>
      <c r="Y227" s="2100"/>
      <c r="Z227" s="2100"/>
      <c r="AA227" s="2100"/>
      <c r="AB227" s="2101"/>
    </row>
    <row r="228" spans="2:28" x14ac:dyDescent="0.3">
      <c r="B228" s="1395"/>
      <c r="C228" s="1395"/>
      <c r="D228" s="1395"/>
      <c r="E228" s="1395"/>
      <c r="F228" s="1395"/>
      <c r="G228" s="1395"/>
      <c r="H228" s="1395"/>
      <c r="I228" s="1395"/>
      <c r="J228" s="1395"/>
      <c r="K228" s="1395"/>
      <c r="L228" s="1395"/>
      <c r="M228" s="1395"/>
      <c r="N228" s="1395"/>
      <c r="O228" s="1395"/>
      <c r="P228" s="1395"/>
      <c r="Q228" s="1395"/>
      <c r="R228" s="1395"/>
      <c r="S228" s="1395"/>
      <c r="T228" s="1395"/>
      <c r="U228" s="1395"/>
      <c r="V228" s="1395"/>
      <c r="W228" s="1395"/>
      <c r="X228" s="1395"/>
      <c r="Y228" s="1395"/>
      <c r="Z228" s="1395"/>
      <c r="AA228" s="1395"/>
      <c r="AB228" s="1395"/>
    </row>
    <row r="229" spans="2:28" s="1420" customFormat="1" ht="21" customHeight="1" x14ac:dyDescent="0.3">
      <c r="B229" s="1419"/>
      <c r="C229" s="1418" t="s">
        <v>1435</v>
      </c>
      <c r="D229" s="1419" t="s">
        <v>1436</v>
      </c>
      <c r="E229" s="1419" t="s">
        <v>1437</v>
      </c>
      <c r="F229" s="1419" t="s">
        <v>1438</v>
      </c>
      <c r="G229" s="1419" t="s">
        <v>1439</v>
      </c>
      <c r="H229" s="1419" t="s">
        <v>1440</v>
      </c>
      <c r="I229" s="1419" t="s">
        <v>1441</v>
      </c>
      <c r="J229" s="1419" t="s">
        <v>1442</v>
      </c>
      <c r="K229" s="1419" t="s">
        <v>1443</v>
      </c>
      <c r="L229" s="1419" t="s">
        <v>1444</v>
      </c>
      <c r="M229" s="1419" t="s">
        <v>1445</v>
      </c>
      <c r="N229" s="1419" t="s">
        <v>1446</v>
      </c>
      <c r="O229" s="1419" t="s">
        <v>1447</v>
      </c>
      <c r="P229" s="1419" t="s">
        <v>1448</v>
      </c>
      <c r="Q229" s="1419" t="s">
        <v>1449</v>
      </c>
      <c r="R229" s="1419" t="s">
        <v>1450</v>
      </c>
      <c r="S229" s="1419" t="s">
        <v>1451</v>
      </c>
      <c r="T229" s="1419" t="s">
        <v>1452</v>
      </c>
      <c r="U229" s="1419" t="s">
        <v>1453</v>
      </c>
      <c r="V229" s="1419" t="s">
        <v>1454</v>
      </c>
      <c r="W229" s="1419" t="s">
        <v>1455</v>
      </c>
      <c r="X229" s="1419" t="s">
        <v>1456</v>
      </c>
      <c r="Y229" s="1419" t="s">
        <v>1457</v>
      </c>
      <c r="Z229" s="1419" t="s">
        <v>1458</v>
      </c>
      <c r="AA229" s="1419" t="s">
        <v>1466</v>
      </c>
      <c r="AB229" s="1419" t="s">
        <v>1467</v>
      </c>
    </row>
    <row r="230" spans="2:28" x14ac:dyDescent="0.3">
      <c r="B230" s="1437" t="s">
        <v>1461</v>
      </c>
      <c r="C230" s="1448">
        <v>0</v>
      </c>
      <c r="D230" s="1448">
        <v>0</v>
      </c>
      <c r="E230" s="1448">
        <v>0</v>
      </c>
      <c r="F230" s="1448">
        <v>0</v>
      </c>
      <c r="G230" s="1448">
        <v>0</v>
      </c>
      <c r="H230" s="1448">
        <v>0</v>
      </c>
      <c r="I230" s="1448">
        <v>0</v>
      </c>
      <c r="J230" s="1448">
        <v>0</v>
      </c>
      <c r="K230" s="1448">
        <v>0.3</v>
      </c>
      <c r="L230" s="1448">
        <v>0.3</v>
      </c>
      <c r="M230" s="1448">
        <v>0.3</v>
      </c>
      <c r="N230" s="1448">
        <v>0.3</v>
      </c>
      <c r="O230" s="1448">
        <v>0.3</v>
      </c>
      <c r="P230" s="1448">
        <v>0.3</v>
      </c>
      <c r="Q230" s="1448">
        <v>0.3</v>
      </c>
      <c r="R230" s="1448">
        <v>0.15</v>
      </c>
      <c r="S230" s="1448">
        <v>0</v>
      </c>
      <c r="T230" s="1448">
        <v>0</v>
      </c>
      <c r="U230" s="1448">
        <v>0</v>
      </c>
      <c r="V230" s="1448">
        <v>0</v>
      </c>
      <c r="W230" s="1448">
        <v>0</v>
      </c>
      <c r="X230" s="1448">
        <v>0</v>
      </c>
      <c r="Y230" s="1448">
        <v>0</v>
      </c>
      <c r="Z230" s="1448">
        <v>0</v>
      </c>
      <c r="AA230" s="1424">
        <f>SUM(C230:Z230)</f>
        <v>2.25</v>
      </c>
      <c r="AB230" s="1425">
        <f>AA230*SUM($C$9:$C$13)</f>
        <v>562.5</v>
      </c>
    </row>
    <row r="231" spans="2:28" x14ac:dyDescent="0.3">
      <c r="B231" s="1439" t="s">
        <v>1431</v>
      </c>
      <c r="C231" s="1449">
        <v>0</v>
      </c>
      <c r="D231" s="1449">
        <v>0</v>
      </c>
      <c r="E231" s="1449">
        <v>0</v>
      </c>
      <c r="F231" s="1449">
        <v>0</v>
      </c>
      <c r="G231" s="1449">
        <v>0</v>
      </c>
      <c r="H231" s="1449">
        <v>0</v>
      </c>
      <c r="I231" s="1449">
        <v>0</v>
      </c>
      <c r="J231" s="1449">
        <v>0</v>
      </c>
      <c r="K231" s="1449">
        <v>0</v>
      </c>
      <c r="L231" s="1449">
        <v>0</v>
      </c>
      <c r="M231" s="1449">
        <v>0</v>
      </c>
      <c r="N231" s="1449">
        <v>0</v>
      </c>
      <c r="O231" s="1449">
        <v>0</v>
      </c>
      <c r="P231" s="1449">
        <v>0</v>
      </c>
      <c r="Q231" s="1449">
        <v>0</v>
      </c>
      <c r="R231" s="1449">
        <v>0</v>
      </c>
      <c r="S231" s="1449">
        <v>0</v>
      </c>
      <c r="T231" s="1449">
        <v>0</v>
      </c>
      <c r="U231" s="1449">
        <v>0</v>
      </c>
      <c r="V231" s="1449">
        <v>0</v>
      </c>
      <c r="W231" s="1449">
        <v>0</v>
      </c>
      <c r="X231" s="1449">
        <v>0</v>
      </c>
      <c r="Y231" s="1449">
        <v>0</v>
      </c>
      <c r="Z231" s="1449">
        <v>0</v>
      </c>
      <c r="AA231" s="1428">
        <f>SUM(C231:Z231)</f>
        <v>0</v>
      </c>
      <c r="AB231" s="1429">
        <f>AA231*SUM($C$14)</f>
        <v>0</v>
      </c>
    </row>
    <row r="232" spans="2:28" x14ac:dyDescent="0.3">
      <c r="B232" s="1439" t="s">
        <v>1432</v>
      </c>
      <c r="C232" s="1449">
        <v>0</v>
      </c>
      <c r="D232" s="1449">
        <v>0</v>
      </c>
      <c r="E232" s="1449">
        <v>0</v>
      </c>
      <c r="F232" s="1449">
        <v>0</v>
      </c>
      <c r="G232" s="1449">
        <v>0</v>
      </c>
      <c r="H232" s="1449">
        <v>0</v>
      </c>
      <c r="I232" s="1449">
        <v>0</v>
      </c>
      <c r="J232" s="1449">
        <v>0</v>
      </c>
      <c r="K232" s="1449">
        <v>0</v>
      </c>
      <c r="L232" s="1449">
        <v>0</v>
      </c>
      <c r="M232" s="1449">
        <v>0</v>
      </c>
      <c r="N232" s="1449">
        <v>0</v>
      </c>
      <c r="O232" s="1449">
        <v>0</v>
      </c>
      <c r="P232" s="1449">
        <v>0</v>
      </c>
      <c r="Q232" s="1449">
        <v>0</v>
      </c>
      <c r="R232" s="1449">
        <v>0</v>
      </c>
      <c r="S232" s="1449">
        <v>0</v>
      </c>
      <c r="T232" s="1449">
        <v>0</v>
      </c>
      <c r="U232" s="1449">
        <v>0</v>
      </c>
      <c r="V232" s="1449">
        <v>0</v>
      </c>
      <c r="W232" s="1449">
        <v>0</v>
      </c>
      <c r="X232" s="1449">
        <v>0</v>
      </c>
      <c r="Y232" s="1449">
        <v>0</v>
      </c>
      <c r="Z232" s="1449">
        <v>0</v>
      </c>
      <c r="AA232" s="1428">
        <f>SUM(C232:Z232)</f>
        <v>0</v>
      </c>
      <c r="AB232" s="1429">
        <f>AA232*$C$15</f>
        <v>0</v>
      </c>
    </row>
    <row r="233" spans="2:28" x14ac:dyDescent="0.3">
      <c r="B233" s="1441" t="s">
        <v>1463</v>
      </c>
      <c r="C233" s="1450">
        <v>0</v>
      </c>
      <c r="D233" s="1450">
        <v>0</v>
      </c>
      <c r="E233" s="1450">
        <v>0</v>
      </c>
      <c r="F233" s="1450">
        <v>0</v>
      </c>
      <c r="G233" s="1450">
        <v>0</v>
      </c>
      <c r="H233" s="1450">
        <v>0</v>
      </c>
      <c r="I233" s="1450">
        <v>0</v>
      </c>
      <c r="J233" s="1450">
        <v>0</v>
      </c>
      <c r="K233" s="1450">
        <v>0</v>
      </c>
      <c r="L233" s="1450">
        <v>0</v>
      </c>
      <c r="M233" s="1450">
        <v>0</v>
      </c>
      <c r="N233" s="1450">
        <v>0</v>
      </c>
      <c r="O233" s="1450">
        <v>0</v>
      </c>
      <c r="P233" s="1450">
        <v>0</v>
      </c>
      <c r="Q233" s="1450">
        <v>0</v>
      </c>
      <c r="R233" s="1450">
        <v>0</v>
      </c>
      <c r="S233" s="1450">
        <v>0</v>
      </c>
      <c r="T233" s="1450">
        <v>0</v>
      </c>
      <c r="U233" s="1450">
        <v>0</v>
      </c>
      <c r="V233" s="1450">
        <v>0</v>
      </c>
      <c r="W233" s="1450">
        <v>0</v>
      </c>
      <c r="X233" s="1450">
        <v>0</v>
      </c>
      <c r="Y233" s="1450">
        <v>0</v>
      </c>
      <c r="Z233" s="1450">
        <v>0</v>
      </c>
      <c r="AA233" s="1432">
        <f>SUM(C233:Z233)</f>
        <v>0</v>
      </c>
      <c r="AB233" s="1433">
        <f>AA233*SUM($C$8)</f>
        <v>0</v>
      </c>
    </row>
    <row r="234" spans="2:28" x14ac:dyDescent="0.3">
      <c r="B234" s="2102" t="s">
        <v>1468</v>
      </c>
      <c r="C234" s="2103"/>
      <c r="D234" s="2103"/>
      <c r="E234" s="2103"/>
      <c r="F234" s="2103"/>
      <c r="G234" s="2103"/>
      <c r="H234" s="2103"/>
      <c r="I234" s="2103"/>
      <c r="J234" s="2103"/>
      <c r="K234" s="2103"/>
      <c r="L234" s="2103"/>
      <c r="M234" s="2103"/>
      <c r="N234" s="2103"/>
      <c r="O234" s="2103"/>
      <c r="P234" s="2103"/>
      <c r="Q234" s="2103"/>
      <c r="R234" s="2103"/>
      <c r="S234" s="2103"/>
      <c r="T234" s="2103"/>
      <c r="U234" s="2103"/>
      <c r="V234" s="2103"/>
      <c r="W234" s="2103"/>
      <c r="X234" s="2103"/>
      <c r="Y234" s="2103"/>
      <c r="Z234" s="2103"/>
      <c r="AA234" s="2103"/>
      <c r="AB234" s="1421">
        <f>SUM(AB230:AB233)</f>
        <v>562.5</v>
      </c>
    </row>
    <row r="235" spans="2:28" x14ac:dyDescent="0.3">
      <c r="B235" s="1395"/>
      <c r="C235" s="1395"/>
      <c r="D235" s="1395"/>
      <c r="E235" s="1395"/>
      <c r="F235" s="1395"/>
      <c r="G235" s="1395"/>
      <c r="H235" s="1395"/>
      <c r="I235" s="1395"/>
      <c r="J235" s="1395"/>
      <c r="K235" s="1395"/>
      <c r="L235" s="1395"/>
      <c r="M235" s="1395"/>
      <c r="N235" s="1395"/>
      <c r="O235" s="1395"/>
      <c r="P235" s="1395"/>
      <c r="Q235" s="1395"/>
      <c r="R235" s="1395"/>
      <c r="S235" s="1395"/>
      <c r="T235" s="1395"/>
      <c r="U235" s="1395"/>
      <c r="V235" s="1395"/>
      <c r="W235" s="1395"/>
      <c r="X235" s="1395"/>
      <c r="Y235" s="1395"/>
      <c r="Z235" s="1395"/>
      <c r="AA235" s="1395"/>
      <c r="AB235" s="1395"/>
    </row>
    <row r="236" spans="2:28" x14ac:dyDescent="0.3">
      <c r="B236" s="1405" t="s">
        <v>1632</v>
      </c>
      <c r="C236" s="1395"/>
      <c r="D236" s="1395"/>
      <c r="E236" s="1395"/>
      <c r="F236" s="1395"/>
      <c r="G236" s="1395"/>
      <c r="H236" s="1395"/>
      <c r="I236" s="1395"/>
      <c r="J236" s="1395"/>
      <c r="K236" s="1395"/>
      <c r="L236" s="1395"/>
      <c r="M236" s="1395"/>
      <c r="N236" s="1395"/>
      <c r="O236" s="1395"/>
      <c r="P236" s="1395"/>
      <c r="Q236" s="1395"/>
      <c r="R236" s="1395"/>
      <c r="S236" s="1395"/>
      <c r="T236" s="1395"/>
      <c r="U236" s="1395"/>
      <c r="V236" s="1395"/>
      <c r="W236" s="1395"/>
      <c r="X236" s="1395"/>
      <c r="Y236" s="1395"/>
      <c r="Z236" s="1395"/>
      <c r="AA236" s="1395"/>
      <c r="AB236" s="1395"/>
    </row>
    <row r="237" spans="2:28" x14ac:dyDescent="0.3">
      <c r="B237" s="1395"/>
      <c r="C237" s="1395"/>
      <c r="D237" s="1395"/>
      <c r="E237" s="1395"/>
      <c r="F237" s="1395"/>
      <c r="G237" s="1395"/>
      <c r="H237" s="1395"/>
      <c r="I237" s="1395"/>
      <c r="J237" s="1395"/>
      <c r="K237" s="1395"/>
      <c r="L237" s="1395"/>
      <c r="M237" s="1395"/>
      <c r="N237" s="1395"/>
      <c r="O237" s="1395"/>
      <c r="P237" s="1395"/>
      <c r="Q237" s="1395"/>
      <c r="R237" s="1395"/>
      <c r="S237" s="1395"/>
      <c r="T237" s="1395"/>
      <c r="U237" s="1395"/>
      <c r="V237" s="1395"/>
      <c r="W237" s="1395"/>
      <c r="X237" s="1395"/>
      <c r="Y237" s="1395"/>
      <c r="Z237" s="1395"/>
      <c r="AA237" s="1395"/>
      <c r="AB237" s="1395"/>
    </row>
    <row r="238" spans="2:28" ht="15" customHeight="1" x14ac:dyDescent="0.3">
      <c r="B238" s="1395" t="s">
        <v>1434</v>
      </c>
      <c r="C238" s="2099" t="s">
        <v>1633</v>
      </c>
      <c r="D238" s="2100"/>
      <c r="E238" s="2100"/>
      <c r="F238" s="2100"/>
      <c r="G238" s="2100"/>
      <c r="H238" s="2100"/>
      <c r="I238" s="2100"/>
      <c r="J238" s="2100"/>
      <c r="K238" s="2100"/>
      <c r="L238" s="2100"/>
      <c r="M238" s="2100"/>
      <c r="N238" s="2100"/>
      <c r="O238" s="2100"/>
      <c r="P238" s="2100"/>
      <c r="Q238" s="2100"/>
      <c r="R238" s="2100"/>
      <c r="S238" s="2100"/>
      <c r="T238" s="2100"/>
      <c r="U238" s="2100"/>
      <c r="V238" s="2100"/>
      <c r="W238" s="2100"/>
      <c r="X238" s="2100"/>
      <c r="Y238" s="2100"/>
      <c r="Z238" s="2100"/>
      <c r="AA238" s="2100"/>
      <c r="AB238" s="2101"/>
    </row>
    <row r="239" spans="2:28" x14ac:dyDescent="0.3">
      <c r="B239" s="1395"/>
      <c r="C239" s="1395"/>
      <c r="D239" s="1395"/>
      <c r="E239" s="1395"/>
      <c r="F239" s="1395"/>
      <c r="G239" s="1395"/>
      <c r="H239" s="1395"/>
      <c r="I239" s="1395"/>
      <c r="J239" s="1395"/>
      <c r="K239" s="1395"/>
      <c r="L239" s="1395"/>
      <c r="M239" s="1395"/>
      <c r="N239" s="1395"/>
      <c r="O239" s="1395"/>
      <c r="P239" s="1395"/>
      <c r="Q239" s="1395"/>
      <c r="R239" s="1395"/>
      <c r="S239" s="1395"/>
      <c r="T239" s="1395"/>
      <c r="U239" s="1395"/>
      <c r="V239" s="1395"/>
      <c r="W239" s="1395"/>
      <c r="X239" s="1395"/>
      <c r="Y239" s="1395"/>
      <c r="Z239" s="1395"/>
      <c r="AA239" s="1395"/>
      <c r="AB239" s="1395"/>
    </row>
    <row r="240" spans="2:28" s="1420" customFormat="1" ht="21" customHeight="1" x14ac:dyDescent="0.3">
      <c r="B240" s="1419"/>
      <c r="C240" s="1418" t="s">
        <v>1435</v>
      </c>
      <c r="D240" s="1419" t="s">
        <v>1436</v>
      </c>
      <c r="E240" s="1419" t="s">
        <v>1437</v>
      </c>
      <c r="F240" s="1419" t="s">
        <v>1438</v>
      </c>
      <c r="G240" s="1419" t="s">
        <v>1439</v>
      </c>
      <c r="H240" s="1419" t="s">
        <v>1440</v>
      </c>
      <c r="I240" s="1419" t="s">
        <v>1441</v>
      </c>
      <c r="J240" s="1419" t="s">
        <v>1442</v>
      </c>
      <c r="K240" s="1419" t="s">
        <v>1443</v>
      </c>
      <c r="L240" s="1419" t="s">
        <v>1444</v>
      </c>
      <c r="M240" s="1419" t="s">
        <v>1445</v>
      </c>
      <c r="N240" s="1419" t="s">
        <v>1446</v>
      </c>
      <c r="O240" s="1419" t="s">
        <v>1447</v>
      </c>
      <c r="P240" s="1419" t="s">
        <v>1448</v>
      </c>
      <c r="Q240" s="1419" t="s">
        <v>1449</v>
      </c>
      <c r="R240" s="1419" t="s">
        <v>1450</v>
      </c>
      <c r="S240" s="1419" t="s">
        <v>1451</v>
      </c>
      <c r="T240" s="1419" t="s">
        <v>1452</v>
      </c>
      <c r="U240" s="1419" t="s">
        <v>1453</v>
      </c>
      <c r="V240" s="1419" t="s">
        <v>1454</v>
      </c>
      <c r="W240" s="1419" t="s">
        <v>1455</v>
      </c>
      <c r="X240" s="1419" t="s">
        <v>1456</v>
      </c>
      <c r="Y240" s="1419" t="s">
        <v>1457</v>
      </c>
      <c r="Z240" s="1419" t="s">
        <v>1458</v>
      </c>
      <c r="AA240" s="1419" t="s">
        <v>1459</v>
      </c>
      <c r="AB240" s="1419" t="s">
        <v>1460</v>
      </c>
    </row>
    <row r="241" spans="2:28" x14ac:dyDescent="0.3">
      <c r="B241" s="1437" t="s">
        <v>1461</v>
      </c>
      <c r="C241" s="1451">
        <v>1</v>
      </c>
      <c r="D241" s="1451">
        <v>1</v>
      </c>
      <c r="E241" s="1451">
        <v>1</v>
      </c>
      <c r="F241" s="1451">
        <v>1</v>
      </c>
      <c r="G241" s="1451">
        <v>1</v>
      </c>
      <c r="H241" s="1451">
        <v>1</v>
      </c>
      <c r="I241" s="1451">
        <v>1</v>
      </c>
      <c r="J241" s="1451">
        <v>1</v>
      </c>
      <c r="K241" s="1451">
        <v>1</v>
      </c>
      <c r="L241" s="1451">
        <v>1</v>
      </c>
      <c r="M241" s="1451">
        <v>1</v>
      </c>
      <c r="N241" s="1451">
        <v>1</v>
      </c>
      <c r="O241" s="1451">
        <v>1</v>
      </c>
      <c r="P241" s="1451">
        <v>1</v>
      </c>
      <c r="Q241" s="1451">
        <v>1</v>
      </c>
      <c r="R241" s="1451">
        <v>1</v>
      </c>
      <c r="S241" s="1451">
        <v>1</v>
      </c>
      <c r="T241" s="1451">
        <v>1</v>
      </c>
      <c r="U241" s="1451">
        <v>1</v>
      </c>
      <c r="V241" s="1451">
        <v>1</v>
      </c>
      <c r="W241" s="1451">
        <v>1</v>
      </c>
      <c r="X241" s="1451">
        <v>1</v>
      </c>
      <c r="Y241" s="1451">
        <v>1</v>
      </c>
      <c r="Z241" s="1451">
        <v>1</v>
      </c>
      <c r="AA241" s="1424">
        <f>SUM(C241:Z241)</f>
        <v>24</v>
      </c>
      <c r="AB241" s="1425">
        <f>AA241*SUM($C$9:$C$13)</f>
        <v>6000</v>
      </c>
    </row>
    <row r="242" spans="2:28" x14ac:dyDescent="0.3">
      <c r="B242" s="1439" t="s">
        <v>1431</v>
      </c>
      <c r="C242" s="1452">
        <v>1</v>
      </c>
      <c r="D242" s="1452">
        <v>1</v>
      </c>
      <c r="E242" s="1452">
        <v>1</v>
      </c>
      <c r="F242" s="1452">
        <v>1</v>
      </c>
      <c r="G242" s="1452">
        <v>1</v>
      </c>
      <c r="H242" s="1452">
        <v>1</v>
      </c>
      <c r="I242" s="1452">
        <v>1</v>
      </c>
      <c r="J242" s="1452">
        <v>1</v>
      </c>
      <c r="K242" s="1452">
        <v>1</v>
      </c>
      <c r="L242" s="1452">
        <v>1</v>
      </c>
      <c r="M242" s="1452">
        <v>1</v>
      </c>
      <c r="N242" s="1452">
        <v>1</v>
      </c>
      <c r="O242" s="1452">
        <v>1</v>
      </c>
      <c r="P242" s="1452">
        <v>1</v>
      </c>
      <c r="Q242" s="1452">
        <v>1</v>
      </c>
      <c r="R242" s="1452">
        <v>1</v>
      </c>
      <c r="S242" s="1452">
        <v>1</v>
      </c>
      <c r="T242" s="1452">
        <v>1</v>
      </c>
      <c r="U242" s="1452">
        <v>1</v>
      </c>
      <c r="V242" s="1452">
        <v>1</v>
      </c>
      <c r="W242" s="1452">
        <v>1</v>
      </c>
      <c r="X242" s="1452">
        <v>1</v>
      </c>
      <c r="Y242" s="1452">
        <v>1</v>
      </c>
      <c r="Z242" s="1452">
        <v>1</v>
      </c>
      <c r="AA242" s="1428">
        <f>SUM(C242:Z242)</f>
        <v>24</v>
      </c>
      <c r="AB242" s="1429">
        <f>AA242*SUM($C$14)</f>
        <v>1248</v>
      </c>
    </row>
    <row r="243" spans="2:28" x14ac:dyDescent="0.3">
      <c r="B243" s="1439" t="s">
        <v>1432</v>
      </c>
      <c r="C243" s="1452">
        <v>1</v>
      </c>
      <c r="D243" s="1452">
        <v>1</v>
      </c>
      <c r="E243" s="1452">
        <v>1</v>
      </c>
      <c r="F243" s="1452">
        <v>1</v>
      </c>
      <c r="G243" s="1452">
        <v>1</v>
      </c>
      <c r="H243" s="1452">
        <v>1</v>
      </c>
      <c r="I243" s="1452">
        <v>1</v>
      </c>
      <c r="J243" s="1452">
        <v>1</v>
      </c>
      <c r="K243" s="1452">
        <v>1</v>
      </c>
      <c r="L243" s="1452">
        <v>1</v>
      </c>
      <c r="M243" s="1452">
        <v>1</v>
      </c>
      <c r="N243" s="1452">
        <v>1</v>
      </c>
      <c r="O243" s="1452">
        <v>1</v>
      </c>
      <c r="P243" s="1452">
        <v>1</v>
      </c>
      <c r="Q243" s="1452">
        <v>1</v>
      </c>
      <c r="R243" s="1452">
        <v>1</v>
      </c>
      <c r="S243" s="1452">
        <v>1</v>
      </c>
      <c r="T243" s="1452">
        <v>1</v>
      </c>
      <c r="U243" s="1452">
        <v>1</v>
      </c>
      <c r="V243" s="1452">
        <v>1</v>
      </c>
      <c r="W243" s="1452">
        <v>1</v>
      </c>
      <c r="X243" s="1452">
        <v>1</v>
      </c>
      <c r="Y243" s="1452">
        <v>1</v>
      </c>
      <c r="Z243" s="1452">
        <v>1</v>
      </c>
      <c r="AA243" s="1428">
        <f>SUM(C243:Z243)</f>
        <v>24</v>
      </c>
      <c r="AB243" s="1429">
        <f>AA243*$C$15</f>
        <v>1248</v>
      </c>
    </row>
    <row r="244" spans="2:28" x14ac:dyDescent="0.3">
      <c r="B244" s="1441" t="s">
        <v>1463</v>
      </c>
      <c r="C244" s="1453">
        <v>1</v>
      </c>
      <c r="D244" s="1453">
        <v>1</v>
      </c>
      <c r="E244" s="1453">
        <v>1</v>
      </c>
      <c r="F244" s="1453">
        <v>1</v>
      </c>
      <c r="G244" s="1453">
        <v>1</v>
      </c>
      <c r="H244" s="1453">
        <v>1</v>
      </c>
      <c r="I244" s="1453">
        <v>1</v>
      </c>
      <c r="J244" s="1453">
        <v>1</v>
      </c>
      <c r="K244" s="1453">
        <v>1</v>
      </c>
      <c r="L244" s="1453">
        <v>1</v>
      </c>
      <c r="M244" s="1453">
        <v>1</v>
      </c>
      <c r="N244" s="1453">
        <v>1</v>
      </c>
      <c r="O244" s="1453">
        <v>1</v>
      </c>
      <c r="P244" s="1453">
        <v>1</v>
      </c>
      <c r="Q244" s="1453">
        <v>1</v>
      </c>
      <c r="R244" s="1453">
        <v>1</v>
      </c>
      <c r="S244" s="1453">
        <v>1</v>
      </c>
      <c r="T244" s="1453">
        <v>1</v>
      </c>
      <c r="U244" s="1453">
        <v>1</v>
      </c>
      <c r="V244" s="1453">
        <v>1</v>
      </c>
      <c r="W244" s="1453">
        <v>1</v>
      </c>
      <c r="X244" s="1453">
        <v>1</v>
      </c>
      <c r="Y244" s="1453">
        <v>1</v>
      </c>
      <c r="Z244" s="1453">
        <v>1</v>
      </c>
      <c r="AA244" s="1432">
        <f>SUM(C244:Z244)</f>
        <v>24</v>
      </c>
      <c r="AB244" s="1433">
        <f>AA244*SUM($C$8)</f>
        <v>264</v>
      </c>
    </row>
    <row r="245" spans="2:28" x14ac:dyDescent="0.3">
      <c r="B245" s="2102" t="s">
        <v>1464</v>
      </c>
      <c r="C245" s="2103"/>
      <c r="D245" s="2103"/>
      <c r="E245" s="2103"/>
      <c r="F245" s="2103"/>
      <c r="G245" s="2103"/>
      <c r="H245" s="2103"/>
      <c r="I245" s="2103"/>
      <c r="J245" s="2103"/>
      <c r="K245" s="2103"/>
      <c r="L245" s="2103"/>
      <c r="M245" s="2103"/>
      <c r="N245" s="2103"/>
      <c r="O245" s="2103"/>
      <c r="P245" s="2103"/>
      <c r="Q245" s="2103"/>
      <c r="R245" s="2103"/>
      <c r="S245" s="2103"/>
      <c r="T245" s="2103"/>
      <c r="U245" s="2103"/>
      <c r="V245" s="2103"/>
      <c r="W245" s="2103"/>
      <c r="X245" s="2103"/>
      <c r="Y245" s="2103"/>
      <c r="Z245" s="2103"/>
      <c r="AA245" s="2103"/>
      <c r="AB245" s="1421">
        <f>SUM(AB241:AB244)</f>
        <v>8760</v>
      </c>
    </row>
    <row r="246" spans="2:28" x14ac:dyDescent="0.3">
      <c r="B246" s="1395"/>
      <c r="C246" s="1395"/>
      <c r="D246" s="1395"/>
      <c r="E246" s="1395"/>
      <c r="F246" s="1395"/>
      <c r="G246" s="1395"/>
      <c r="H246" s="1395"/>
      <c r="I246" s="1395"/>
      <c r="J246" s="1395"/>
      <c r="K246" s="1395"/>
      <c r="L246" s="1395"/>
      <c r="M246" s="1395"/>
      <c r="N246" s="1395"/>
      <c r="O246" s="1395"/>
      <c r="P246" s="1395"/>
      <c r="Q246" s="1395"/>
      <c r="R246" s="1395"/>
      <c r="S246" s="1395"/>
      <c r="T246" s="1395"/>
      <c r="U246" s="1395"/>
      <c r="V246" s="1395"/>
      <c r="W246" s="1395"/>
      <c r="X246" s="1395"/>
      <c r="Y246" s="1395"/>
      <c r="Z246" s="1395"/>
      <c r="AA246" s="1395"/>
      <c r="AB246" s="1395"/>
    </row>
    <row r="247" spans="2:28" ht="15" customHeight="1" x14ac:dyDescent="0.3">
      <c r="B247" s="1395" t="s">
        <v>1434</v>
      </c>
      <c r="C247" s="2099" t="s">
        <v>1634</v>
      </c>
      <c r="D247" s="2100"/>
      <c r="E247" s="2100"/>
      <c r="F247" s="2100"/>
      <c r="G247" s="2100"/>
      <c r="H247" s="2100"/>
      <c r="I247" s="2100"/>
      <c r="J247" s="2100"/>
      <c r="K247" s="2100"/>
      <c r="L247" s="2100"/>
      <c r="M247" s="2100"/>
      <c r="N247" s="2100"/>
      <c r="O247" s="2100"/>
      <c r="P247" s="2100"/>
      <c r="Q247" s="2100"/>
      <c r="R247" s="2100"/>
      <c r="S247" s="2100"/>
      <c r="T247" s="2100"/>
      <c r="U247" s="2100"/>
      <c r="V247" s="2100"/>
      <c r="W247" s="2100"/>
      <c r="X247" s="2100"/>
      <c r="Y247" s="2100"/>
      <c r="Z247" s="2100"/>
      <c r="AA247" s="2100"/>
      <c r="AB247" s="2101"/>
    </row>
    <row r="248" spans="2:28" x14ac:dyDescent="0.3">
      <c r="B248" s="1395"/>
      <c r="C248" s="1395"/>
      <c r="D248" s="1395"/>
      <c r="E248" s="1395"/>
      <c r="F248" s="1395"/>
      <c r="G248" s="1395"/>
      <c r="H248" s="1395"/>
      <c r="I248" s="1395"/>
      <c r="J248" s="1395"/>
      <c r="K248" s="1395"/>
      <c r="L248" s="1395"/>
      <c r="M248" s="1395"/>
      <c r="N248" s="1395"/>
      <c r="O248" s="1395"/>
      <c r="P248" s="1395"/>
      <c r="Q248" s="1395"/>
      <c r="R248" s="1395"/>
      <c r="S248" s="1395"/>
      <c r="T248" s="1395"/>
      <c r="U248" s="1395"/>
      <c r="V248" s="1395"/>
      <c r="W248" s="1395"/>
      <c r="X248" s="1395"/>
      <c r="Y248" s="1395"/>
      <c r="Z248" s="1395"/>
      <c r="AA248" s="1395"/>
      <c r="AB248" s="1395"/>
    </row>
    <row r="249" spans="2:28" s="1420" customFormat="1" ht="21" customHeight="1" x14ac:dyDescent="0.3">
      <c r="B249" s="1419"/>
      <c r="C249" s="1418" t="s">
        <v>1435</v>
      </c>
      <c r="D249" s="1419" t="s">
        <v>1436</v>
      </c>
      <c r="E249" s="1419" t="s">
        <v>1437</v>
      </c>
      <c r="F249" s="1419" t="s">
        <v>1438</v>
      </c>
      <c r="G249" s="1419" t="s">
        <v>1439</v>
      </c>
      <c r="H249" s="1419" t="s">
        <v>1440</v>
      </c>
      <c r="I249" s="1419" t="s">
        <v>1441</v>
      </c>
      <c r="J249" s="1419" t="s">
        <v>1442</v>
      </c>
      <c r="K249" s="1419" t="s">
        <v>1443</v>
      </c>
      <c r="L249" s="1419" t="s">
        <v>1444</v>
      </c>
      <c r="M249" s="1419" t="s">
        <v>1445</v>
      </c>
      <c r="N249" s="1419" t="s">
        <v>1446</v>
      </c>
      <c r="O249" s="1419" t="s">
        <v>1447</v>
      </c>
      <c r="P249" s="1419" t="s">
        <v>1448</v>
      </c>
      <c r="Q249" s="1419" t="s">
        <v>1449</v>
      </c>
      <c r="R249" s="1419" t="s">
        <v>1450</v>
      </c>
      <c r="S249" s="1419" t="s">
        <v>1451</v>
      </c>
      <c r="T249" s="1419" t="s">
        <v>1452</v>
      </c>
      <c r="U249" s="1419" t="s">
        <v>1453</v>
      </c>
      <c r="V249" s="1419" t="s">
        <v>1454</v>
      </c>
      <c r="W249" s="1419" t="s">
        <v>1455</v>
      </c>
      <c r="X249" s="1419" t="s">
        <v>1456</v>
      </c>
      <c r="Y249" s="1419" t="s">
        <v>1457</v>
      </c>
      <c r="Z249" s="1419" t="s">
        <v>1458</v>
      </c>
      <c r="AA249" s="1419" t="s">
        <v>1466</v>
      </c>
      <c r="AB249" s="1419" t="s">
        <v>1467</v>
      </c>
    </row>
    <row r="250" spans="2:28" x14ac:dyDescent="0.3">
      <c r="B250" s="1437" t="s">
        <v>1461</v>
      </c>
      <c r="C250" s="1448">
        <v>0</v>
      </c>
      <c r="D250" s="1448">
        <v>0</v>
      </c>
      <c r="E250" s="1448">
        <v>0</v>
      </c>
      <c r="F250" s="1448">
        <v>0</v>
      </c>
      <c r="G250" s="1448">
        <v>0</v>
      </c>
      <c r="H250" s="1448">
        <v>0</v>
      </c>
      <c r="I250" s="1448">
        <v>0</v>
      </c>
      <c r="J250" s="1448">
        <v>0.1</v>
      </c>
      <c r="K250" s="1448">
        <v>0.5</v>
      </c>
      <c r="L250" s="1448">
        <v>0.8</v>
      </c>
      <c r="M250" s="1448">
        <v>0.8</v>
      </c>
      <c r="N250" s="1448">
        <v>0.8</v>
      </c>
      <c r="O250" s="1448">
        <v>0.8</v>
      </c>
      <c r="P250" s="1448">
        <v>0.8</v>
      </c>
      <c r="Q250" s="1448">
        <v>0.8</v>
      </c>
      <c r="R250" s="1448">
        <v>0.8</v>
      </c>
      <c r="S250" s="1448">
        <v>0.8</v>
      </c>
      <c r="T250" s="1448">
        <v>0.5</v>
      </c>
      <c r="U250" s="1448">
        <v>0.3</v>
      </c>
      <c r="V250" s="1448">
        <v>0.3</v>
      </c>
      <c r="W250" s="1448">
        <v>0.2</v>
      </c>
      <c r="X250" s="1448">
        <v>0.2</v>
      </c>
      <c r="Y250" s="1448">
        <v>0</v>
      </c>
      <c r="Z250" s="1448">
        <v>0</v>
      </c>
      <c r="AA250" s="1424">
        <f>SUM(C250:Z250)</f>
        <v>8.4999999999999982</v>
      </c>
      <c r="AB250" s="1425">
        <f>AA250*SUM($C$9:$C$13)</f>
        <v>2124.9999999999995</v>
      </c>
    </row>
    <row r="251" spans="2:28" x14ac:dyDescent="0.3">
      <c r="B251" s="1439" t="s">
        <v>1431</v>
      </c>
      <c r="C251" s="1449">
        <v>0</v>
      </c>
      <c r="D251" s="1449">
        <v>0</v>
      </c>
      <c r="E251" s="1449">
        <v>0</v>
      </c>
      <c r="F251" s="1449">
        <v>0</v>
      </c>
      <c r="G251" s="1449">
        <v>0</v>
      </c>
      <c r="H251" s="1449">
        <v>0</v>
      </c>
      <c r="I251" s="1449">
        <v>0</v>
      </c>
      <c r="J251" s="1449">
        <v>0.1</v>
      </c>
      <c r="K251" s="1449">
        <v>0.3</v>
      </c>
      <c r="L251" s="1449">
        <v>0.4</v>
      </c>
      <c r="M251" s="1449">
        <v>0.4</v>
      </c>
      <c r="N251" s="1449">
        <v>0.4</v>
      </c>
      <c r="O251" s="1449">
        <v>0.4</v>
      </c>
      <c r="P251" s="1449">
        <v>0.4</v>
      </c>
      <c r="Q251" s="1449">
        <v>0.4</v>
      </c>
      <c r="R251" s="1449">
        <v>0.4</v>
      </c>
      <c r="S251" s="1449">
        <v>0.4</v>
      </c>
      <c r="T251" s="1449">
        <v>0.1</v>
      </c>
      <c r="U251" s="1449">
        <v>0.1</v>
      </c>
      <c r="V251" s="1449">
        <v>0</v>
      </c>
      <c r="W251" s="1449">
        <v>0</v>
      </c>
      <c r="X251" s="1449">
        <v>0</v>
      </c>
      <c r="Y251" s="1449">
        <v>0</v>
      </c>
      <c r="Z251" s="1449">
        <v>0</v>
      </c>
      <c r="AA251" s="1428">
        <f>SUM(C251:Z251)</f>
        <v>3.8</v>
      </c>
      <c r="AB251" s="1429">
        <f>AA251*SUM($C$14)</f>
        <v>197.6</v>
      </c>
    </row>
    <row r="252" spans="2:28" x14ac:dyDescent="0.3">
      <c r="B252" s="1439" t="s">
        <v>1432</v>
      </c>
      <c r="C252" s="1449">
        <v>0</v>
      </c>
      <c r="D252" s="1449">
        <v>0</v>
      </c>
      <c r="E252" s="1449">
        <v>0</v>
      </c>
      <c r="F252" s="1449">
        <v>0</v>
      </c>
      <c r="G252" s="1449">
        <v>0</v>
      </c>
      <c r="H252" s="1449">
        <v>0</v>
      </c>
      <c r="I252" s="1449">
        <v>0</v>
      </c>
      <c r="J252" s="1449">
        <v>0</v>
      </c>
      <c r="K252" s="1449">
        <v>0.05</v>
      </c>
      <c r="L252" s="1449">
        <v>0.05</v>
      </c>
      <c r="M252" s="1449">
        <v>0.05</v>
      </c>
      <c r="N252" s="1449">
        <v>0.05</v>
      </c>
      <c r="O252" s="1449">
        <v>0.05</v>
      </c>
      <c r="P252" s="1449">
        <v>0.05</v>
      </c>
      <c r="Q252" s="1449">
        <v>0.05</v>
      </c>
      <c r="R252" s="1449">
        <v>0.05</v>
      </c>
      <c r="S252" s="1449">
        <v>0</v>
      </c>
      <c r="T252" s="1449">
        <v>0</v>
      </c>
      <c r="U252" s="1449">
        <v>0</v>
      </c>
      <c r="V252" s="1449">
        <v>0</v>
      </c>
      <c r="W252" s="1449">
        <v>0</v>
      </c>
      <c r="X252" s="1449">
        <v>0</v>
      </c>
      <c r="Y252" s="1449">
        <v>0</v>
      </c>
      <c r="Z252" s="1449">
        <v>0</v>
      </c>
      <c r="AA252" s="1428">
        <f>SUM(C252:Z252)</f>
        <v>0.39999999999999997</v>
      </c>
      <c r="AB252" s="1429">
        <f>AA252*$C$15</f>
        <v>20.799999999999997</v>
      </c>
    </row>
    <row r="253" spans="2:28" x14ac:dyDescent="0.3">
      <c r="B253" s="1441" t="s">
        <v>1463</v>
      </c>
      <c r="C253" s="1450">
        <v>0</v>
      </c>
      <c r="D253" s="1450">
        <v>0</v>
      </c>
      <c r="E253" s="1450">
        <v>0</v>
      </c>
      <c r="F253" s="1450">
        <v>0</v>
      </c>
      <c r="G253" s="1450">
        <v>0</v>
      </c>
      <c r="H253" s="1450">
        <v>0</v>
      </c>
      <c r="I253" s="1450">
        <v>0</v>
      </c>
      <c r="J253" s="1450">
        <v>0</v>
      </c>
      <c r="K253" s="1450">
        <v>0.05</v>
      </c>
      <c r="L253" s="1450">
        <v>0.05</v>
      </c>
      <c r="M253" s="1450">
        <v>0.05</v>
      </c>
      <c r="N253" s="1450">
        <v>0.05</v>
      </c>
      <c r="O253" s="1450">
        <v>0.05</v>
      </c>
      <c r="P253" s="1450">
        <v>0.05</v>
      </c>
      <c r="Q253" s="1450">
        <v>0.05</v>
      </c>
      <c r="R253" s="1450">
        <v>0.05</v>
      </c>
      <c r="S253" s="1450">
        <v>0</v>
      </c>
      <c r="T253" s="1450">
        <v>0</v>
      </c>
      <c r="U253" s="1450">
        <v>0</v>
      </c>
      <c r="V253" s="1450">
        <v>0</v>
      </c>
      <c r="W253" s="1450">
        <v>0</v>
      </c>
      <c r="X253" s="1450">
        <v>0</v>
      </c>
      <c r="Y253" s="1450">
        <v>0</v>
      </c>
      <c r="Z253" s="1450">
        <v>0</v>
      </c>
      <c r="AA253" s="1432">
        <f>SUM(C253:Z253)</f>
        <v>0.39999999999999997</v>
      </c>
      <c r="AB253" s="1433">
        <f>AA253*SUM($C$8)</f>
        <v>4.3999999999999995</v>
      </c>
    </row>
    <row r="254" spans="2:28" x14ac:dyDescent="0.3">
      <c r="B254" s="2102" t="s">
        <v>1468</v>
      </c>
      <c r="C254" s="2103"/>
      <c r="D254" s="2103"/>
      <c r="E254" s="2103"/>
      <c r="F254" s="2103"/>
      <c r="G254" s="2103"/>
      <c r="H254" s="2103"/>
      <c r="I254" s="2103"/>
      <c r="J254" s="2103"/>
      <c r="K254" s="2103"/>
      <c r="L254" s="2103"/>
      <c r="M254" s="2103"/>
      <c r="N254" s="2103"/>
      <c r="O254" s="2103"/>
      <c r="P254" s="2103"/>
      <c r="Q254" s="2103"/>
      <c r="R254" s="2103"/>
      <c r="S254" s="2103"/>
      <c r="T254" s="2103"/>
      <c r="U254" s="2103"/>
      <c r="V254" s="2103"/>
      <c r="W254" s="2103"/>
      <c r="X254" s="2103"/>
      <c r="Y254" s="2103"/>
      <c r="Z254" s="2103"/>
      <c r="AA254" s="2103"/>
      <c r="AB254" s="1421">
        <f>SUM(AB250:AB253)</f>
        <v>2347.7999999999997</v>
      </c>
    </row>
    <row r="255" spans="2:28" x14ac:dyDescent="0.3">
      <c r="B255" s="1395"/>
      <c r="C255" s="1395"/>
      <c r="D255" s="1395"/>
      <c r="E255" s="1395"/>
      <c r="F255" s="1395"/>
      <c r="G255" s="1395"/>
      <c r="H255" s="1395"/>
      <c r="I255" s="1395"/>
      <c r="J255" s="1395"/>
      <c r="K255" s="1395"/>
      <c r="L255" s="1395"/>
      <c r="M255" s="1395"/>
      <c r="N255" s="1395"/>
      <c r="O255" s="1395"/>
      <c r="P255" s="1395"/>
      <c r="Q255" s="1395"/>
      <c r="R255" s="1395"/>
      <c r="S255" s="1395"/>
      <c r="T255" s="1395"/>
      <c r="U255" s="1395"/>
      <c r="V255" s="1395"/>
      <c r="W255" s="1395"/>
      <c r="X255" s="1395"/>
      <c r="Y255" s="1395"/>
      <c r="Z255" s="1395"/>
      <c r="AA255" s="1395"/>
      <c r="AB255" s="1395"/>
    </row>
    <row r="256" spans="2:28" ht="15" customHeight="1" x14ac:dyDescent="0.3">
      <c r="B256" s="1395" t="s">
        <v>1434</v>
      </c>
      <c r="C256" s="2099" t="s">
        <v>1635</v>
      </c>
      <c r="D256" s="2100"/>
      <c r="E256" s="2100"/>
      <c r="F256" s="2100"/>
      <c r="G256" s="2100"/>
      <c r="H256" s="2100"/>
      <c r="I256" s="2100"/>
      <c r="J256" s="2100"/>
      <c r="K256" s="2100"/>
      <c r="L256" s="2100"/>
      <c r="M256" s="2100"/>
      <c r="N256" s="2100"/>
      <c r="O256" s="2100"/>
      <c r="P256" s="2100"/>
      <c r="Q256" s="2100"/>
      <c r="R256" s="2100"/>
      <c r="S256" s="2100"/>
      <c r="T256" s="2100"/>
      <c r="U256" s="2100"/>
      <c r="V256" s="2100"/>
      <c r="W256" s="2100"/>
      <c r="X256" s="2100"/>
      <c r="Y256" s="2100"/>
      <c r="Z256" s="2100"/>
      <c r="AA256" s="2100"/>
      <c r="AB256" s="2101"/>
    </row>
    <row r="257" spans="2:28" x14ac:dyDescent="0.3">
      <c r="B257" s="1395"/>
      <c r="C257" s="1395"/>
      <c r="D257" s="1395"/>
      <c r="E257" s="1395"/>
      <c r="F257" s="1395"/>
      <c r="G257" s="1395"/>
      <c r="H257" s="1395"/>
      <c r="I257" s="1395"/>
      <c r="J257" s="1395"/>
      <c r="K257" s="1395"/>
      <c r="L257" s="1395"/>
      <c r="M257" s="1395"/>
      <c r="N257" s="1395"/>
      <c r="O257" s="1395"/>
      <c r="P257" s="1395"/>
      <c r="Q257" s="1395"/>
      <c r="R257" s="1395"/>
      <c r="S257" s="1395"/>
      <c r="T257" s="1395"/>
      <c r="U257" s="1395"/>
      <c r="V257" s="1395"/>
      <c r="W257" s="1395"/>
      <c r="X257" s="1395"/>
      <c r="Y257" s="1395"/>
      <c r="Z257" s="1395"/>
      <c r="AA257" s="1395"/>
      <c r="AB257" s="1395"/>
    </row>
    <row r="258" spans="2:28" s="1420" customFormat="1" ht="21" customHeight="1" x14ac:dyDescent="0.3">
      <c r="B258" s="1419"/>
      <c r="C258" s="1418" t="s">
        <v>1435</v>
      </c>
      <c r="D258" s="1419" t="s">
        <v>1436</v>
      </c>
      <c r="E258" s="1419" t="s">
        <v>1437</v>
      </c>
      <c r="F258" s="1419" t="s">
        <v>1438</v>
      </c>
      <c r="G258" s="1419" t="s">
        <v>1439</v>
      </c>
      <c r="H258" s="1419" t="s">
        <v>1440</v>
      </c>
      <c r="I258" s="1419" t="s">
        <v>1441</v>
      </c>
      <c r="J258" s="1419" t="s">
        <v>1442</v>
      </c>
      <c r="K258" s="1419" t="s">
        <v>1443</v>
      </c>
      <c r="L258" s="1419" t="s">
        <v>1444</v>
      </c>
      <c r="M258" s="1419" t="s">
        <v>1445</v>
      </c>
      <c r="N258" s="1419" t="s">
        <v>1446</v>
      </c>
      <c r="O258" s="1419" t="s">
        <v>1447</v>
      </c>
      <c r="P258" s="1419" t="s">
        <v>1448</v>
      </c>
      <c r="Q258" s="1419" t="s">
        <v>1449</v>
      </c>
      <c r="R258" s="1419" t="s">
        <v>1450</v>
      </c>
      <c r="S258" s="1419" t="s">
        <v>1451</v>
      </c>
      <c r="T258" s="1419" t="s">
        <v>1452</v>
      </c>
      <c r="U258" s="1419" t="s">
        <v>1453</v>
      </c>
      <c r="V258" s="1419" t="s">
        <v>1454</v>
      </c>
      <c r="W258" s="1419" t="s">
        <v>1455</v>
      </c>
      <c r="X258" s="1419" t="s">
        <v>1456</v>
      </c>
      <c r="Y258" s="1419" t="s">
        <v>1457</v>
      </c>
      <c r="Z258" s="1419" t="s">
        <v>1458</v>
      </c>
      <c r="AA258" s="1419" t="s">
        <v>1466</v>
      </c>
      <c r="AB258" s="1419" t="s">
        <v>1467</v>
      </c>
    </row>
    <row r="259" spans="2:28" x14ac:dyDescent="0.3">
      <c r="B259" s="1437" t="s">
        <v>1461</v>
      </c>
      <c r="C259" s="1448">
        <v>0.1</v>
      </c>
      <c r="D259" s="1448">
        <v>0.1</v>
      </c>
      <c r="E259" s="1448">
        <v>0.1</v>
      </c>
      <c r="F259" s="1448">
        <v>0.1</v>
      </c>
      <c r="G259" s="1448">
        <v>0.1</v>
      </c>
      <c r="H259" s="1448">
        <v>0.1</v>
      </c>
      <c r="I259" s="1448">
        <v>0.1</v>
      </c>
      <c r="J259" s="1448">
        <v>0.45</v>
      </c>
      <c r="K259" s="1448">
        <v>0.8</v>
      </c>
      <c r="L259" s="1448">
        <v>0.8</v>
      </c>
      <c r="M259" s="1448">
        <v>0.8</v>
      </c>
      <c r="N259" s="1448">
        <v>0.8</v>
      </c>
      <c r="O259" s="1448">
        <v>0.8</v>
      </c>
      <c r="P259" s="1448">
        <v>0.8</v>
      </c>
      <c r="Q259" s="1448">
        <v>0.8</v>
      </c>
      <c r="R259" s="1448">
        <v>0.8</v>
      </c>
      <c r="S259" s="1448">
        <v>0.3</v>
      </c>
      <c r="T259" s="1448">
        <v>0.3</v>
      </c>
      <c r="U259" s="1448">
        <v>0.3</v>
      </c>
      <c r="V259" s="1448">
        <v>0.3</v>
      </c>
      <c r="W259" s="1448">
        <v>0.3</v>
      </c>
      <c r="X259" s="1448">
        <v>0.3</v>
      </c>
      <c r="Y259" s="1448">
        <v>0.3</v>
      </c>
      <c r="Z259" s="1448">
        <v>0.1</v>
      </c>
      <c r="AA259" s="1424">
        <f>SUM(C259:Z259)</f>
        <v>9.7500000000000018</v>
      </c>
      <c r="AB259" s="1425">
        <f>AA259*SUM($C$9:$C$13)</f>
        <v>2437.5000000000005</v>
      </c>
    </row>
    <row r="260" spans="2:28" x14ac:dyDescent="0.3">
      <c r="B260" s="1439" t="s">
        <v>1431</v>
      </c>
      <c r="C260" s="1449">
        <v>0.1</v>
      </c>
      <c r="D260" s="1449">
        <v>0.1</v>
      </c>
      <c r="E260" s="1449">
        <v>0.1</v>
      </c>
      <c r="F260" s="1449">
        <v>0.1</v>
      </c>
      <c r="G260" s="1449">
        <v>0.1</v>
      </c>
      <c r="H260" s="1449">
        <v>0.1</v>
      </c>
      <c r="I260" s="1449">
        <v>0.1</v>
      </c>
      <c r="J260" s="1449">
        <v>0.2</v>
      </c>
      <c r="K260" s="1449">
        <v>0.35</v>
      </c>
      <c r="L260" s="1449">
        <v>0.35</v>
      </c>
      <c r="M260" s="1449">
        <v>0.35</v>
      </c>
      <c r="N260" s="1449">
        <v>0.35</v>
      </c>
      <c r="O260" s="1449">
        <v>0.35</v>
      </c>
      <c r="P260" s="1449">
        <v>0.35</v>
      </c>
      <c r="Q260" s="1449">
        <v>0.35</v>
      </c>
      <c r="R260" s="1449">
        <v>0.35</v>
      </c>
      <c r="S260" s="1449">
        <v>0.35</v>
      </c>
      <c r="T260" s="1449">
        <v>0.35</v>
      </c>
      <c r="U260" s="1449">
        <v>0.1</v>
      </c>
      <c r="V260" s="1449">
        <v>0.1</v>
      </c>
      <c r="W260" s="1449">
        <v>0.1</v>
      </c>
      <c r="X260" s="1449">
        <v>0.1</v>
      </c>
      <c r="Y260" s="1449">
        <v>0.1</v>
      </c>
      <c r="Z260" s="1449">
        <v>0.1</v>
      </c>
      <c r="AA260" s="1428">
        <f>SUM(C260:Z260)</f>
        <v>4.9999999999999982</v>
      </c>
      <c r="AB260" s="1429">
        <f>AA260*SUM($C$14)</f>
        <v>259.99999999999989</v>
      </c>
    </row>
    <row r="261" spans="2:28" x14ac:dyDescent="0.3">
      <c r="B261" s="1439" t="s">
        <v>1432</v>
      </c>
      <c r="C261" s="1449">
        <v>0.05</v>
      </c>
      <c r="D261" s="1449">
        <v>0.05</v>
      </c>
      <c r="E261" s="1449">
        <v>0.05</v>
      </c>
      <c r="F261" s="1449">
        <v>0.05</v>
      </c>
      <c r="G261" s="1449">
        <v>0.05</v>
      </c>
      <c r="H261" s="1449">
        <v>0.05</v>
      </c>
      <c r="I261" s="1449">
        <v>0.05</v>
      </c>
      <c r="J261" s="1449">
        <v>0.05</v>
      </c>
      <c r="K261" s="1449">
        <v>0.1</v>
      </c>
      <c r="L261" s="1449">
        <v>0.1</v>
      </c>
      <c r="M261" s="1449">
        <v>0.1</v>
      </c>
      <c r="N261" s="1449">
        <v>0.1</v>
      </c>
      <c r="O261" s="1449">
        <v>0.1</v>
      </c>
      <c r="P261" s="1449">
        <v>0.1</v>
      </c>
      <c r="Q261" s="1449">
        <v>0.1</v>
      </c>
      <c r="R261" s="1449">
        <v>0.1</v>
      </c>
      <c r="S261" s="1449">
        <v>0.05</v>
      </c>
      <c r="T261" s="1449">
        <v>0.05</v>
      </c>
      <c r="U261" s="1449">
        <v>0.05</v>
      </c>
      <c r="V261" s="1449">
        <v>0.05</v>
      </c>
      <c r="W261" s="1449">
        <v>0.05</v>
      </c>
      <c r="X261" s="1449">
        <v>0.05</v>
      </c>
      <c r="Y261" s="1449">
        <v>0.05</v>
      </c>
      <c r="Z261" s="1449">
        <v>0.05</v>
      </c>
      <c r="AA261" s="1428">
        <f>SUM(C261:Z261)</f>
        <v>1.6000000000000003</v>
      </c>
      <c r="AB261" s="1429">
        <f>AA261*$C$15</f>
        <v>83.200000000000017</v>
      </c>
    </row>
    <row r="262" spans="2:28" x14ac:dyDescent="0.3">
      <c r="B262" s="1441" t="s">
        <v>1463</v>
      </c>
      <c r="C262" s="1450">
        <v>0.05</v>
      </c>
      <c r="D262" s="1450">
        <v>0.05</v>
      </c>
      <c r="E262" s="1450">
        <v>0.05</v>
      </c>
      <c r="F262" s="1450">
        <v>0.05</v>
      </c>
      <c r="G262" s="1450">
        <v>0.05</v>
      </c>
      <c r="H262" s="1450">
        <v>0.05</v>
      </c>
      <c r="I262" s="1450">
        <v>0.05</v>
      </c>
      <c r="J262" s="1450">
        <v>0.05</v>
      </c>
      <c r="K262" s="1450">
        <v>0.1</v>
      </c>
      <c r="L262" s="1450">
        <v>0.1</v>
      </c>
      <c r="M262" s="1450">
        <v>0.1</v>
      </c>
      <c r="N262" s="1450">
        <v>0.1</v>
      </c>
      <c r="O262" s="1450">
        <v>0.1</v>
      </c>
      <c r="P262" s="1450">
        <v>0.1</v>
      </c>
      <c r="Q262" s="1450">
        <v>0.1</v>
      </c>
      <c r="R262" s="1450">
        <v>0.1</v>
      </c>
      <c r="S262" s="1450">
        <v>0.05</v>
      </c>
      <c r="T262" s="1450">
        <v>0.05</v>
      </c>
      <c r="U262" s="1450">
        <v>0.05</v>
      </c>
      <c r="V262" s="1450">
        <v>0.05</v>
      </c>
      <c r="W262" s="1450">
        <v>0.05</v>
      </c>
      <c r="X262" s="1450">
        <v>0.05</v>
      </c>
      <c r="Y262" s="1450">
        <v>0.05</v>
      </c>
      <c r="Z262" s="1450">
        <v>0.05</v>
      </c>
      <c r="AA262" s="1432">
        <f>SUM(C262:Z262)</f>
        <v>1.6000000000000003</v>
      </c>
      <c r="AB262" s="1433">
        <f>AA262*SUM($C$8)</f>
        <v>17.600000000000005</v>
      </c>
    </row>
    <row r="263" spans="2:28" x14ac:dyDescent="0.3">
      <c r="B263" s="2102" t="s">
        <v>1468</v>
      </c>
      <c r="C263" s="2103"/>
      <c r="D263" s="2103"/>
      <c r="E263" s="2103"/>
      <c r="F263" s="2103"/>
      <c r="G263" s="2103"/>
      <c r="H263" s="2103"/>
      <c r="I263" s="2103"/>
      <c r="J263" s="2103"/>
      <c r="K263" s="2103"/>
      <c r="L263" s="2103"/>
      <c r="M263" s="2103"/>
      <c r="N263" s="2103"/>
      <c r="O263" s="2103"/>
      <c r="P263" s="2103"/>
      <c r="Q263" s="2103"/>
      <c r="R263" s="2103"/>
      <c r="S263" s="2103"/>
      <c r="T263" s="2103"/>
      <c r="U263" s="2103"/>
      <c r="V263" s="2103"/>
      <c r="W263" s="2103"/>
      <c r="X263" s="2103"/>
      <c r="Y263" s="2103"/>
      <c r="Z263" s="2103"/>
      <c r="AA263" s="2103"/>
      <c r="AB263" s="1421">
        <f>SUM(AB259:AB262)</f>
        <v>2798.3</v>
      </c>
    </row>
    <row r="264" spans="2:28" x14ac:dyDescent="0.3">
      <c r="B264" s="1395"/>
      <c r="C264" s="1395"/>
      <c r="D264" s="1395"/>
      <c r="E264" s="1395"/>
      <c r="F264" s="1395"/>
      <c r="G264" s="1395"/>
      <c r="H264" s="1395"/>
      <c r="I264" s="1395"/>
      <c r="J264" s="1395"/>
      <c r="K264" s="1395"/>
      <c r="L264" s="1395"/>
      <c r="M264" s="1395"/>
      <c r="N264" s="1395"/>
      <c r="O264" s="1395"/>
      <c r="P264" s="1395"/>
      <c r="Q264" s="1395"/>
      <c r="R264" s="1395"/>
      <c r="S264" s="1395"/>
      <c r="T264" s="1395"/>
      <c r="U264" s="1395"/>
      <c r="V264" s="1395"/>
      <c r="W264" s="1395"/>
      <c r="X264" s="1395"/>
      <c r="Y264" s="1395"/>
      <c r="Z264" s="1395"/>
      <c r="AA264" s="1395"/>
      <c r="AB264" s="1395"/>
    </row>
    <row r="265" spans="2:28" ht="15" customHeight="1" x14ac:dyDescent="0.3">
      <c r="B265" s="1395" t="s">
        <v>1434</v>
      </c>
      <c r="C265" s="2099" t="s">
        <v>1636</v>
      </c>
      <c r="D265" s="2100"/>
      <c r="E265" s="2100"/>
      <c r="F265" s="2100"/>
      <c r="G265" s="2100"/>
      <c r="H265" s="2100"/>
      <c r="I265" s="2100"/>
      <c r="J265" s="2100"/>
      <c r="K265" s="2100"/>
      <c r="L265" s="2100"/>
      <c r="M265" s="2100"/>
      <c r="N265" s="2100"/>
      <c r="O265" s="2100"/>
      <c r="P265" s="2100"/>
      <c r="Q265" s="2100"/>
      <c r="R265" s="2100"/>
      <c r="S265" s="2100"/>
      <c r="T265" s="2100"/>
      <c r="U265" s="2100"/>
      <c r="V265" s="2100"/>
      <c r="W265" s="2100"/>
      <c r="X265" s="2100"/>
      <c r="Y265" s="2100"/>
      <c r="Z265" s="2100"/>
      <c r="AA265" s="2100"/>
      <c r="AB265" s="2101"/>
    </row>
    <row r="266" spans="2:28" x14ac:dyDescent="0.3">
      <c r="B266" s="1395"/>
      <c r="C266" s="1395"/>
      <c r="D266" s="1395"/>
      <c r="E266" s="1395"/>
      <c r="F266" s="1395"/>
      <c r="G266" s="1395"/>
      <c r="H266" s="1395"/>
      <c r="I266" s="1395"/>
      <c r="J266" s="1395"/>
      <c r="K266" s="1395"/>
      <c r="L266" s="1395"/>
      <c r="M266" s="1395"/>
      <c r="N266" s="1395"/>
      <c r="O266" s="1395"/>
      <c r="P266" s="1395"/>
      <c r="Q266" s="1395"/>
      <c r="R266" s="1395"/>
      <c r="S266" s="1395"/>
      <c r="T266" s="1395"/>
      <c r="U266" s="1395"/>
      <c r="V266" s="1395"/>
      <c r="W266" s="1395"/>
      <c r="X266" s="1395"/>
      <c r="Y266" s="1395"/>
      <c r="Z266" s="1395"/>
      <c r="AA266" s="1395"/>
      <c r="AB266" s="1395"/>
    </row>
    <row r="267" spans="2:28" s="1420" customFormat="1" ht="21" customHeight="1" x14ac:dyDescent="0.3">
      <c r="B267" s="1419"/>
      <c r="C267" s="1418" t="s">
        <v>1435</v>
      </c>
      <c r="D267" s="1419" t="s">
        <v>1436</v>
      </c>
      <c r="E267" s="1419" t="s">
        <v>1437</v>
      </c>
      <c r="F267" s="1419" t="s">
        <v>1438</v>
      </c>
      <c r="G267" s="1419" t="s">
        <v>1439</v>
      </c>
      <c r="H267" s="1419" t="s">
        <v>1440</v>
      </c>
      <c r="I267" s="1419" t="s">
        <v>1441</v>
      </c>
      <c r="J267" s="1419" t="s">
        <v>1442</v>
      </c>
      <c r="K267" s="1419" t="s">
        <v>1443</v>
      </c>
      <c r="L267" s="1419" t="s">
        <v>1444</v>
      </c>
      <c r="M267" s="1419" t="s">
        <v>1445</v>
      </c>
      <c r="N267" s="1419" t="s">
        <v>1446</v>
      </c>
      <c r="O267" s="1419" t="s">
        <v>1447</v>
      </c>
      <c r="P267" s="1419" t="s">
        <v>1448</v>
      </c>
      <c r="Q267" s="1419" t="s">
        <v>1449</v>
      </c>
      <c r="R267" s="1419" t="s">
        <v>1450</v>
      </c>
      <c r="S267" s="1419" t="s">
        <v>1451</v>
      </c>
      <c r="T267" s="1419" t="s">
        <v>1452</v>
      </c>
      <c r="U267" s="1419" t="s">
        <v>1453</v>
      </c>
      <c r="V267" s="1419" t="s">
        <v>1454</v>
      </c>
      <c r="W267" s="1419" t="s">
        <v>1455</v>
      </c>
      <c r="X267" s="1419" t="s">
        <v>1456</v>
      </c>
      <c r="Y267" s="1419" t="s">
        <v>1457</v>
      </c>
      <c r="Z267" s="1419" t="s">
        <v>1458</v>
      </c>
      <c r="AA267" s="1419" t="s">
        <v>1466</v>
      </c>
      <c r="AB267" s="1419" t="s">
        <v>1467</v>
      </c>
    </row>
    <row r="268" spans="2:28" x14ac:dyDescent="0.3">
      <c r="B268" s="1437" t="s">
        <v>1461</v>
      </c>
      <c r="C268" s="1448">
        <v>0.1</v>
      </c>
      <c r="D268" s="1448">
        <v>0.1</v>
      </c>
      <c r="E268" s="1448">
        <v>0.1</v>
      </c>
      <c r="F268" s="1448">
        <v>0.1</v>
      </c>
      <c r="G268" s="1448">
        <v>0.1</v>
      </c>
      <c r="H268" s="1448">
        <v>0.1</v>
      </c>
      <c r="I268" s="1448">
        <v>0.1</v>
      </c>
      <c r="J268" s="1448">
        <v>0.5</v>
      </c>
      <c r="K268" s="1448">
        <v>0.9</v>
      </c>
      <c r="L268" s="1448">
        <v>0.9</v>
      </c>
      <c r="M268" s="1448">
        <v>0.9</v>
      </c>
      <c r="N268" s="1448">
        <v>0.9</v>
      </c>
      <c r="O268" s="1448">
        <v>0.9</v>
      </c>
      <c r="P268" s="1448">
        <v>0.9</v>
      </c>
      <c r="Q268" s="1448">
        <v>0.9</v>
      </c>
      <c r="R268" s="1448">
        <v>0.9</v>
      </c>
      <c r="S268" s="1448">
        <v>0.3</v>
      </c>
      <c r="T268" s="1448">
        <v>0.3</v>
      </c>
      <c r="U268" s="1448">
        <v>0.3</v>
      </c>
      <c r="V268" s="1448">
        <v>0.3</v>
      </c>
      <c r="W268" s="1448">
        <v>0.3</v>
      </c>
      <c r="X268" s="1448">
        <v>0.3</v>
      </c>
      <c r="Y268" s="1448">
        <v>0.3</v>
      </c>
      <c r="Z268" s="1448">
        <v>0.1</v>
      </c>
      <c r="AA268" s="1424">
        <f>SUM(C268:Z268)</f>
        <v>10.600000000000005</v>
      </c>
      <c r="AB268" s="1425">
        <f>AA268*SUM($C$9:$C$13)</f>
        <v>2650.0000000000014</v>
      </c>
    </row>
    <row r="269" spans="2:28" x14ac:dyDescent="0.3">
      <c r="B269" s="1439" t="s">
        <v>1431</v>
      </c>
      <c r="C269" s="1449">
        <v>0.1</v>
      </c>
      <c r="D269" s="1449">
        <v>0.1</v>
      </c>
      <c r="E269" s="1449">
        <v>0.1</v>
      </c>
      <c r="F269" s="1449">
        <v>0.1</v>
      </c>
      <c r="G269" s="1449">
        <v>0.1</v>
      </c>
      <c r="H269" s="1449">
        <v>0.1</v>
      </c>
      <c r="I269" s="1449">
        <v>0.1</v>
      </c>
      <c r="J269" s="1449">
        <v>0.2</v>
      </c>
      <c r="K269" s="1449">
        <v>0.4</v>
      </c>
      <c r="L269" s="1449">
        <v>0.4</v>
      </c>
      <c r="M269" s="1449">
        <v>0.4</v>
      </c>
      <c r="N269" s="1449">
        <v>0.4</v>
      </c>
      <c r="O269" s="1449">
        <v>0.4</v>
      </c>
      <c r="P269" s="1449">
        <v>0.4</v>
      </c>
      <c r="Q269" s="1449">
        <v>0.4</v>
      </c>
      <c r="R269" s="1449">
        <v>0.4</v>
      </c>
      <c r="S269" s="1449">
        <v>0.4</v>
      </c>
      <c r="T269" s="1449">
        <v>0.4</v>
      </c>
      <c r="U269" s="1449">
        <v>0.1</v>
      </c>
      <c r="V269" s="1449">
        <v>0.1</v>
      </c>
      <c r="W269" s="1449">
        <v>0.1</v>
      </c>
      <c r="X269" s="1449">
        <v>0.1</v>
      </c>
      <c r="Y269" s="1449">
        <v>0.1</v>
      </c>
      <c r="Z269" s="1449">
        <v>0.1</v>
      </c>
      <c r="AA269" s="1428">
        <f>SUM(C269:Z269)</f>
        <v>5.4999999999999982</v>
      </c>
      <c r="AB269" s="1429">
        <f>AA269*SUM($C$14)</f>
        <v>285.99999999999989</v>
      </c>
    </row>
    <row r="270" spans="2:28" x14ac:dyDescent="0.3">
      <c r="B270" s="1439" t="s">
        <v>1432</v>
      </c>
      <c r="C270" s="1449">
        <v>0.05</v>
      </c>
      <c r="D270" s="1449">
        <v>0.05</v>
      </c>
      <c r="E270" s="1449">
        <v>0.05</v>
      </c>
      <c r="F270" s="1449">
        <v>0.05</v>
      </c>
      <c r="G270" s="1449">
        <v>0.05</v>
      </c>
      <c r="H270" s="1449">
        <v>0.05</v>
      </c>
      <c r="I270" s="1449">
        <v>0.05</v>
      </c>
      <c r="J270" s="1449">
        <v>0.05</v>
      </c>
      <c r="K270" s="1449">
        <v>0.1</v>
      </c>
      <c r="L270" s="1449">
        <v>0.1</v>
      </c>
      <c r="M270" s="1449">
        <v>0.1</v>
      </c>
      <c r="N270" s="1449">
        <v>0.1</v>
      </c>
      <c r="O270" s="1449">
        <v>0.1</v>
      </c>
      <c r="P270" s="1449">
        <v>0.1</v>
      </c>
      <c r="Q270" s="1449">
        <v>0.1</v>
      </c>
      <c r="R270" s="1449">
        <v>0.1</v>
      </c>
      <c r="S270" s="1449">
        <v>0.05</v>
      </c>
      <c r="T270" s="1449">
        <v>0.05</v>
      </c>
      <c r="U270" s="1449">
        <v>0.05</v>
      </c>
      <c r="V270" s="1449">
        <v>0.05</v>
      </c>
      <c r="W270" s="1449">
        <v>0.05</v>
      </c>
      <c r="X270" s="1449">
        <v>0.05</v>
      </c>
      <c r="Y270" s="1449">
        <v>0.05</v>
      </c>
      <c r="Z270" s="1449">
        <v>0.05</v>
      </c>
      <c r="AA270" s="1428">
        <f>SUM(C270:Z270)</f>
        <v>1.6000000000000003</v>
      </c>
      <c r="AB270" s="1429">
        <f>AA270*$C$15</f>
        <v>83.200000000000017</v>
      </c>
    </row>
    <row r="271" spans="2:28" x14ac:dyDescent="0.3">
      <c r="B271" s="1441" t="s">
        <v>1463</v>
      </c>
      <c r="C271" s="1450">
        <v>0.05</v>
      </c>
      <c r="D271" s="1450">
        <v>0.05</v>
      </c>
      <c r="E271" s="1450">
        <v>0.05</v>
      </c>
      <c r="F271" s="1450">
        <v>0.05</v>
      </c>
      <c r="G271" s="1450">
        <v>0.05</v>
      </c>
      <c r="H271" s="1450">
        <v>0.05</v>
      </c>
      <c r="I271" s="1450">
        <v>0.05</v>
      </c>
      <c r="J271" s="1450">
        <v>0.05</v>
      </c>
      <c r="K271" s="1450">
        <v>0.1</v>
      </c>
      <c r="L271" s="1450">
        <v>0.1</v>
      </c>
      <c r="M271" s="1450">
        <v>0.1</v>
      </c>
      <c r="N271" s="1450">
        <v>0.1</v>
      </c>
      <c r="O271" s="1450">
        <v>0.1</v>
      </c>
      <c r="P271" s="1450">
        <v>0.1</v>
      </c>
      <c r="Q271" s="1450">
        <v>0.1</v>
      </c>
      <c r="R271" s="1450">
        <v>0.1</v>
      </c>
      <c r="S271" s="1450">
        <v>0.05</v>
      </c>
      <c r="T271" s="1450">
        <v>0.05</v>
      </c>
      <c r="U271" s="1450">
        <v>0.05</v>
      </c>
      <c r="V271" s="1450">
        <v>0.05</v>
      </c>
      <c r="W271" s="1450">
        <v>0.05</v>
      </c>
      <c r="X271" s="1450">
        <v>0.05</v>
      </c>
      <c r="Y271" s="1450">
        <v>0.05</v>
      </c>
      <c r="Z271" s="1450">
        <v>0.05</v>
      </c>
      <c r="AA271" s="1432">
        <f>SUM(C271:Z271)</f>
        <v>1.6000000000000003</v>
      </c>
      <c r="AB271" s="1433">
        <f>AA271*SUM($C$8)</f>
        <v>17.600000000000005</v>
      </c>
    </row>
    <row r="272" spans="2:28" x14ac:dyDescent="0.3">
      <c r="B272" s="2102" t="s">
        <v>1468</v>
      </c>
      <c r="C272" s="2103"/>
      <c r="D272" s="2103"/>
      <c r="E272" s="2103"/>
      <c r="F272" s="2103"/>
      <c r="G272" s="2103"/>
      <c r="H272" s="2103"/>
      <c r="I272" s="2103"/>
      <c r="J272" s="2103"/>
      <c r="K272" s="2103"/>
      <c r="L272" s="2103"/>
      <c r="M272" s="2103"/>
      <c r="N272" s="2103"/>
      <c r="O272" s="2103"/>
      <c r="P272" s="2103"/>
      <c r="Q272" s="2103"/>
      <c r="R272" s="2103"/>
      <c r="S272" s="2103"/>
      <c r="T272" s="2103"/>
      <c r="U272" s="2103"/>
      <c r="V272" s="2103"/>
      <c r="W272" s="2103"/>
      <c r="X272" s="2103"/>
      <c r="Y272" s="2103"/>
      <c r="Z272" s="2103"/>
      <c r="AA272" s="2103"/>
      <c r="AB272" s="1421">
        <f>SUM(AB268:AB271)</f>
        <v>3036.8000000000011</v>
      </c>
    </row>
    <row r="273" spans="2:28" x14ac:dyDescent="0.3">
      <c r="B273" s="1395"/>
      <c r="C273" s="1395"/>
      <c r="D273" s="1395"/>
      <c r="E273" s="1395"/>
      <c r="F273" s="1395"/>
      <c r="G273" s="1395"/>
      <c r="H273" s="1395"/>
      <c r="I273" s="1395"/>
      <c r="J273" s="1395"/>
      <c r="K273" s="1395"/>
      <c r="L273" s="1395"/>
      <c r="M273" s="1395"/>
      <c r="N273" s="1395"/>
      <c r="O273" s="1395"/>
      <c r="P273" s="1395"/>
      <c r="Q273" s="1395"/>
      <c r="R273" s="1395"/>
      <c r="S273" s="1395"/>
      <c r="T273" s="1395"/>
      <c r="U273" s="1395"/>
      <c r="V273" s="1395"/>
      <c r="W273" s="1395"/>
      <c r="X273" s="1395"/>
      <c r="Y273" s="1395"/>
      <c r="Z273" s="1395"/>
      <c r="AA273" s="1395"/>
      <c r="AB273" s="1395"/>
    </row>
    <row r="274" spans="2:28" ht="15" customHeight="1" x14ac:dyDescent="0.3">
      <c r="B274" s="1395" t="s">
        <v>1434</v>
      </c>
      <c r="C274" s="2099" t="s">
        <v>1637</v>
      </c>
      <c r="D274" s="2100"/>
      <c r="E274" s="2100"/>
      <c r="F274" s="2100"/>
      <c r="G274" s="2100"/>
      <c r="H274" s="2100"/>
      <c r="I274" s="2100"/>
      <c r="J274" s="2100"/>
      <c r="K274" s="2100"/>
      <c r="L274" s="2100"/>
      <c r="M274" s="2100"/>
      <c r="N274" s="2100"/>
      <c r="O274" s="2100"/>
      <c r="P274" s="2100"/>
      <c r="Q274" s="2100"/>
      <c r="R274" s="2100"/>
      <c r="S274" s="2100"/>
      <c r="T274" s="2100"/>
      <c r="U274" s="2100"/>
      <c r="V274" s="2100"/>
      <c r="W274" s="2100"/>
      <c r="X274" s="2100"/>
      <c r="Y274" s="2100"/>
      <c r="Z274" s="2100"/>
      <c r="AA274" s="2100"/>
      <c r="AB274" s="2101"/>
    </row>
    <row r="275" spans="2:28" x14ac:dyDescent="0.3">
      <c r="B275" s="1395"/>
      <c r="C275" s="1395"/>
      <c r="D275" s="1395"/>
      <c r="E275" s="1395"/>
      <c r="F275" s="1395"/>
      <c r="G275" s="1395"/>
      <c r="H275" s="1395"/>
      <c r="I275" s="1395"/>
      <c r="J275" s="1395"/>
      <c r="K275" s="1395"/>
      <c r="L275" s="1395"/>
      <c r="M275" s="1395"/>
      <c r="N275" s="1395"/>
      <c r="O275" s="1395"/>
      <c r="P275" s="1395"/>
      <c r="Q275" s="1395"/>
      <c r="R275" s="1395"/>
      <c r="S275" s="1395"/>
      <c r="T275" s="1395"/>
      <c r="U275" s="1395"/>
      <c r="V275" s="1395"/>
      <c r="W275" s="1395"/>
      <c r="X275" s="1395"/>
      <c r="Y275" s="1395"/>
      <c r="Z275" s="1395"/>
      <c r="AA275" s="1395"/>
      <c r="AB275" s="1395"/>
    </row>
    <row r="276" spans="2:28" s="1420" customFormat="1" ht="21" customHeight="1" x14ac:dyDescent="0.3">
      <c r="B276" s="1419"/>
      <c r="C276" s="1418" t="s">
        <v>1435</v>
      </c>
      <c r="D276" s="1419" t="s">
        <v>1436</v>
      </c>
      <c r="E276" s="1419" t="s">
        <v>1437</v>
      </c>
      <c r="F276" s="1419" t="s">
        <v>1438</v>
      </c>
      <c r="G276" s="1419" t="s">
        <v>1439</v>
      </c>
      <c r="H276" s="1419" t="s">
        <v>1440</v>
      </c>
      <c r="I276" s="1419" t="s">
        <v>1441</v>
      </c>
      <c r="J276" s="1419" t="s">
        <v>1442</v>
      </c>
      <c r="K276" s="1419" t="s">
        <v>1443</v>
      </c>
      <c r="L276" s="1419" t="s">
        <v>1444</v>
      </c>
      <c r="M276" s="1419" t="s">
        <v>1445</v>
      </c>
      <c r="N276" s="1419" t="s">
        <v>1446</v>
      </c>
      <c r="O276" s="1419" t="s">
        <v>1447</v>
      </c>
      <c r="P276" s="1419" t="s">
        <v>1448</v>
      </c>
      <c r="Q276" s="1419" t="s">
        <v>1449</v>
      </c>
      <c r="R276" s="1419" t="s">
        <v>1450</v>
      </c>
      <c r="S276" s="1419" t="s">
        <v>1451</v>
      </c>
      <c r="T276" s="1419" t="s">
        <v>1452</v>
      </c>
      <c r="U276" s="1419" t="s">
        <v>1453</v>
      </c>
      <c r="V276" s="1419" t="s">
        <v>1454</v>
      </c>
      <c r="W276" s="1419" t="s">
        <v>1455</v>
      </c>
      <c r="X276" s="1419" t="s">
        <v>1456</v>
      </c>
      <c r="Y276" s="1419" t="s">
        <v>1457</v>
      </c>
      <c r="Z276" s="1419" t="s">
        <v>1458</v>
      </c>
      <c r="AA276" s="1419" t="s">
        <v>1466</v>
      </c>
      <c r="AB276" s="1419" t="s">
        <v>1467</v>
      </c>
    </row>
    <row r="277" spans="2:28" x14ac:dyDescent="0.3">
      <c r="B277" s="1437" t="s">
        <v>1461</v>
      </c>
      <c r="C277" s="1448">
        <v>0.01</v>
      </c>
      <c r="D277" s="1448">
        <v>0.01</v>
      </c>
      <c r="E277" s="1448">
        <v>0.01</v>
      </c>
      <c r="F277" s="1448">
        <v>0.01</v>
      </c>
      <c r="G277" s="1448">
        <v>0.01</v>
      </c>
      <c r="H277" s="1448">
        <v>0.01</v>
      </c>
      <c r="I277" s="1448">
        <v>0.01</v>
      </c>
      <c r="J277" s="1448">
        <v>0.17</v>
      </c>
      <c r="K277" s="1448">
        <v>0.57999999999999996</v>
      </c>
      <c r="L277" s="1448">
        <v>0.66</v>
      </c>
      <c r="M277" s="1448">
        <v>0.78</v>
      </c>
      <c r="N277" s="1448">
        <v>0.82</v>
      </c>
      <c r="O277" s="1448">
        <v>0.71</v>
      </c>
      <c r="P277" s="1448">
        <v>0.82</v>
      </c>
      <c r="Q277" s="1448">
        <v>0.78</v>
      </c>
      <c r="R277" s="1448">
        <v>0.74</v>
      </c>
      <c r="S277" s="1448">
        <v>0.63</v>
      </c>
      <c r="T277" s="1448">
        <v>0.41</v>
      </c>
      <c r="U277" s="1448">
        <v>0.18</v>
      </c>
      <c r="V277" s="1448">
        <v>0.18</v>
      </c>
      <c r="W277" s="1448">
        <v>0.18</v>
      </c>
      <c r="X277" s="1448">
        <v>0.1</v>
      </c>
      <c r="Y277" s="1448">
        <v>0.01</v>
      </c>
      <c r="Z277" s="1448">
        <v>0.01</v>
      </c>
      <c r="AA277" s="1424">
        <f>SUM(C277:Z277)</f>
        <v>7.8299999999999983</v>
      </c>
      <c r="AB277" s="1425">
        <f>AA277*SUM($C$9:$C$13)</f>
        <v>1957.4999999999995</v>
      </c>
    </row>
    <row r="278" spans="2:28" x14ac:dyDescent="0.3">
      <c r="B278" s="1439" t="s">
        <v>1431</v>
      </c>
      <c r="C278" s="1449">
        <v>0.01</v>
      </c>
      <c r="D278" s="1449">
        <v>0.01</v>
      </c>
      <c r="E278" s="1449">
        <v>0.01</v>
      </c>
      <c r="F278" s="1449">
        <v>0.01</v>
      </c>
      <c r="G278" s="1449">
        <v>0.01</v>
      </c>
      <c r="H278" s="1449">
        <v>0.01</v>
      </c>
      <c r="I278" s="1449">
        <v>0.01</v>
      </c>
      <c r="J278" s="1449">
        <v>0.01</v>
      </c>
      <c r="K278" s="1449">
        <v>0.2</v>
      </c>
      <c r="L278" s="1449">
        <v>0.28000000000000003</v>
      </c>
      <c r="M278" s="1449">
        <v>0.3</v>
      </c>
      <c r="N278" s="1449">
        <v>0.3</v>
      </c>
      <c r="O278" s="1449">
        <v>0.24</v>
      </c>
      <c r="P278" s="1449">
        <v>0.24</v>
      </c>
      <c r="Q278" s="1449">
        <v>0.23</v>
      </c>
      <c r="R278" s="1449">
        <v>0.23</v>
      </c>
      <c r="S278" s="1449">
        <v>0.23</v>
      </c>
      <c r="T278" s="1449">
        <v>0.1</v>
      </c>
      <c r="U278" s="1449">
        <v>0.01</v>
      </c>
      <c r="V278" s="1449">
        <v>0.01</v>
      </c>
      <c r="W278" s="1449">
        <v>0.01</v>
      </c>
      <c r="X278" s="1449">
        <v>0.01</v>
      </c>
      <c r="Y278" s="1449">
        <v>0.01</v>
      </c>
      <c r="Z278" s="1449">
        <v>0.01</v>
      </c>
      <c r="AA278" s="1428">
        <f>SUM(C278:Z278)</f>
        <v>2.4899999999999989</v>
      </c>
      <c r="AB278" s="1429">
        <f>AA278*SUM($C$14)</f>
        <v>129.47999999999993</v>
      </c>
    </row>
    <row r="279" spans="2:28" x14ac:dyDescent="0.3">
      <c r="B279" s="1439" t="s">
        <v>1432</v>
      </c>
      <c r="C279" s="1449">
        <v>0.01</v>
      </c>
      <c r="D279" s="1449">
        <v>0.01</v>
      </c>
      <c r="E279" s="1449">
        <v>0.01</v>
      </c>
      <c r="F279" s="1449">
        <v>0.01</v>
      </c>
      <c r="G279" s="1449">
        <v>0.01</v>
      </c>
      <c r="H279" s="1449">
        <v>0.01</v>
      </c>
      <c r="I279" s="1449">
        <v>0.01</v>
      </c>
      <c r="J279" s="1449">
        <v>0.01</v>
      </c>
      <c r="K279" s="1449">
        <v>0.01</v>
      </c>
      <c r="L279" s="1449">
        <v>0.01</v>
      </c>
      <c r="M279" s="1449">
        <v>0.01</v>
      </c>
      <c r="N279" s="1449">
        <v>0.01</v>
      </c>
      <c r="O279" s="1449">
        <v>0.01</v>
      </c>
      <c r="P279" s="1449">
        <v>0.01</v>
      </c>
      <c r="Q279" s="1449">
        <v>0.01</v>
      </c>
      <c r="R279" s="1449">
        <v>0.01</v>
      </c>
      <c r="S279" s="1449">
        <v>0.01</v>
      </c>
      <c r="T279" s="1449">
        <v>0.01</v>
      </c>
      <c r="U279" s="1449">
        <v>0.01</v>
      </c>
      <c r="V279" s="1449">
        <v>0.01</v>
      </c>
      <c r="W279" s="1449">
        <v>0.01</v>
      </c>
      <c r="X279" s="1449">
        <v>0.01</v>
      </c>
      <c r="Y279" s="1449">
        <v>0.01</v>
      </c>
      <c r="Z279" s="1449">
        <v>0.01</v>
      </c>
      <c r="AA279" s="1428">
        <f>SUM(C279:Z279)</f>
        <v>0.24000000000000007</v>
      </c>
      <c r="AB279" s="1429">
        <f>AA279*$C$15</f>
        <v>12.480000000000004</v>
      </c>
    </row>
    <row r="280" spans="2:28" x14ac:dyDescent="0.3">
      <c r="B280" s="1441" t="s">
        <v>1463</v>
      </c>
      <c r="C280" s="1450">
        <v>0.01</v>
      </c>
      <c r="D280" s="1450">
        <v>0.01</v>
      </c>
      <c r="E280" s="1450">
        <v>0.01</v>
      </c>
      <c r="F280" s="1450">
        <v>0.01</v>
      </c>
      <c r="G280" s="1450">
        <v>0.01</v>
      </c>
      <c r="H280" s="1450">
        <v>0.01</v>
      </c>
      <c r="I280" s="1450">
        <v>0.01</v>
      </c>
      <c r="J280" s="1450">
        <v>0.01</v>
      </c>
      <c r="K280" s="1450">
        <v>0.01</v>
      </c>
      <c r="L280" s="1450">
        <v>0.01</v>
      </c>
      <c r="M280" s="1450">
        <v>0.01</v>
      </c>
      <c r="N280" s="1450">
        <v>0.01</v>
      </c>
      <c r="O280" s="1450">
        <v>0.01</v>
      </c>
      <c r="P280" s="1450">
        <v>0.01</v>
      </c>
      <c r="Q280" s="1450">
        <v>0.01</v>
      </c>
      <c r="R280" s="1450">
        <v>0.01</v>
      </c>
      <c r="S280" s="1450">
        <v>0.01</v>
      </c>
      <c r="T280" s="1450">
        <v>0.01</v>
      </c>
      <c r="U280" s="1450">
        <v>0.01</v>
      </c>
      <c r="V280" s="1450">
        <v>0.01</v>
      </c>
      <c r="W280" s="1450">
        <v>0.01</v>
      </c>
      <c r="X280" s="1450">
        <v>0.01</v>
      </c>
      <c r="Y280" s="1450">
        <v>0.01</v>
      </c>
      <c r="Z280" s="1450">
        <v>0.01</v>
      </c>
      <c r="AA280" s="1432">
        <f>SUM(C280:Z280)</f>
        <v>0.24000000000000007</v>
      </c>
      <c r="AB280" s="1433">
        <f>AA280*SUM($C$8)</f>
        <v>2.640000000000001</v>
      </c>
    </row>
    <row r="281" spans="2:28" x14ac:dyDescent="0.3">
      <c r="B281" s="2102" t="s">
        <v>1468</v>
      </c>
      <c r="C281" s="2103"/>
      <c r="D281" s="2103"/>
      <c r="E281" s="2103"/>
      <c r="F281" s="2103"/>
      <c r="G281" s="2103"/>
      <c r="H281" s="2103"/>
      <c r="I281" s="2103"/>
      <c r="J281" s="2103"/>
      <c r="K281" s="2103"/>
      <c r="L281" s="2103"/>
      <c r="M281" s="2103"/>
      <c r="N281" s="2103"/>
      <c r="O281" s="2103"/>
      <c r="P281" s="2103"/>
      <c r="Q281" s="2103"/>
      <c r="R281" s="2103"/>
      <c r="S281" s="2103"/>
      <c r="T281" s="2103"/>
      <c r="U281" s="2103"/>
      <c r="V281" s="2103"/>
      <c r="W281" s="2103"/>
      <c r="X281" s="2103"/>
      <c r="Y281" s="2103"/>
      <c r="Z281" s="2103"/>
      <c r="AA281" s="2103"/>
      <c r="AB281" s="1421">
        <f>SUM(AB277:AB280)</f>
        <v>2102.0999999999995</v>
      </c>
    </row>
    <row r="282" spans="2:28" x14ac:dyDescent="0.3">
      <c r="B282" s="1395"/>
      <c r="C282" s="1395"/>
      <c r="D282" s="1395"/>
      <c r="E282" s="1395"/>
      <c r="F282" s="1395"/>
      <c r="G282" s="1395"/>
      <c r="H282" s="1395"/>
      <c r="I282" s="1395"/>
      <c r="J282" s="1395"/>
      <c r="K282" s="1395"/>
      <c r="L282" s="1395"/>
      <c r="M282" s="1395"/>
      <c r="N282" s="1395"/>
      <c r="O282" s="1395"/>
      <c r="P282" s="1395"/>
      <c r="Q282" s="1395"/>
      <c r="R282" s="1395"/>
      <c r="S282" s="1395"/>
      <c r="T282" s="1395"/>
      <c r="U282" s="1395"/>
      <c r="V282" s="1395"/>
      <c r="W282" s="1395"/>
      <c r="X282" s="1395"/>
      <c r="Y282" s="1395"/>
      <c r="Z282" s="1395"/>
      <c r="AA282" s="1395"/>
      <c r="AB282" s="1395"/>
    </row>
    <row r="283" spans="2:28" ht="15" customHeight="1" x14ac:dyDescent="0.3">
      <c r="B283" s="1395" t="s">
        <v>1434</v>
      </c>
      <c r="C283" s="2099" t="s">
        <v>1638</v>
      </c>
      <c r="D283" s="2100"/>
      <c r="E283" s="2100"/>
      <c r="F283" s="2100"/>
      <c r="G283" s="2100"/>
      <c r="H283" s="2100"/>
      <c r="I283" s="2100"/>
      <c r="J283" s="2100"/>
      <c r="K283" s="2100"/>
      <c r="L283" s="2100"/>
      <c r="M283" s="2100"/>
      <c r="N283" s="2100"/>
      <c r="O283" s="2100"/>
      <c r="P283" s="2100"/>
      <c r="Q283" s="2100"/>
      <c r="R283" s="2100"/>
      <c r="S283" s="2100"/>
      <c r="T283" s="2100"/>
      <c r="U283" s="2100"/>
      <c r="V283" s="2100"/>
      <c r="W283" s="2100"/>
      <c r="X283" s="2100"/>
      <c r="Y283" s="2100"/>
      <c r="Z283" s="2100"/>
      <c r="AA283" s="2100"/>
      <c r="AB283" s="2101"/>
    </row>
    <row r="284" spans="2:28" x14ac:dyDescent="0.3">
      <c r="B284" s="1395"/>
      <c r="C284" s="1395"/>
      <c r="D284" s="1395"/>
      <c r="E284" s="1395"/>
      <c r="F284" s="1395"/>
      <c r="G284" s="1395"/>
      <c r="H284" s="1395"/>
      <c r="I284" s="1395"/>
      <c r="J284" s="1395"/>
      <c r="K284" s="1395"/>
      <c r="L284" s="1395"/>
      <c r="M284" s="1395"/>
      <c r="N284" s="1395"/>
      <c r="O284" s="1395"/>
      <c r="P284" s="1395"/>
      <c r="Q284" s="1395"/>
      <c r="R284" s="1395"/>
      <c r="S284" s="1395"/>
      <c r="T284" s="1395"/>
      <c r="U284" s="1395"/>
      <c r="V284" s="1395"/>
      <c r="W284" s="1395"/>
      <c r="X284" s="1395"/>
      <c r="Y284" s="1395"/>
      <c r="Z284" s="1395"/>
      <c r="AA284" s="1395"/>
      <c r="AB284" s="1395"/>
    </row>
    <row r="285" spans="2:28" s="1420" customFormat="1" ht="21" customHeight="1" x14ac:dyDescent="0.3">
      <c r="B285" s="1419"/>
      <c r="C285" s="1418" t="s">
        <v>1435</v>
      </c>
      <c r="D285" s="1419" t="s">
        <v>1436</v>
      </c>
      <c r="E285" s="1419" t="s">
        <v>1437</v>
      </c>
      <c r="F285" s="1419" t="s">
        <v>1438</v>
      </c>
      <c r="G285" s="1419" t="s">
        <v>1439</v>
      </c>
      <c r="H285" s="1419" t="s">
        <v>1440</v>
      </c>
      <c r="I285" s="1419" t="s">
        <v>1441</v>
      </c>
      <c r="J285" s="1419" t="s">
        <v>1442</v>
      </c>
      <c r="K285" s="1419" t="s">
        <v>1443</v>
      </c>
      <c r="L285" s="1419" t="s">
        <v>1444</v>
      </c>
      <c r="M285" s="1419" t="s">
        <v>1445</v>
      </c>
      <c r="N285" s="1419" t="s">
        <v>1446</v>
      </c>
      <c r="O285" s="1419" t="s">
        <v>1447</v>
      </c>
      <c r="P285" s="1419" t="s">
        <v>1448</v>
      </c>
      <c r="Q285" s="1419" t="s">
        <v>1449</v>
      </c>
      <c r="R285" s="1419" t="s">
        <v>1450</v>
      </c>
      <c r="S285" s="1419" t="s">
        <v>1451</v>
      </c>
      <c r="T285" s="1419" t="s">
        <v>1452</v>
      </c>
      <c r="U285" s="1419" t="s">
        <v>1453</v>
      </c>
      <c r="V285" s="1419" t="s">
        <v>1454</v>
      </c>
      <c r="W285" s="1419" t="s">
        <v>1455</v>
      </c>
      <c r="X285" s="1419" t="s">
        <v>1456</v>
      </c>
      <c r="Y285" s="1419" t="s">
        <v>1457</v>
      </c>
      <c r="Z285" s="1419" t="s">
        <v>1458</v>
      </c>
      <c r="AA285" s="1419" t="s">
        <v>1466</v>
      </c>
      <c r="AB285" s="1419" t="s">
        <v>1467</v>
      </c>
    </row>
    <row r="286" spans="2:28" x14ac:dyDescent="0.3">
      <c r="B286" s="1437" t="s">
        <v>1461</v>
      </c>
      <c r="C286" s="1448">
        <v>0</v>
      </c>
      <c r="D286" s="1448">
        <v>0</v>
      </c>
      <c r="E286" s="1448">
        <v>0</v>
      </c>
      <c r="F286" s="1448">
        <v>0</v>
      </c>
      <c r="G286" s="1448">
        <v>0</v>
      </c>
      <c r="H286" s="1448">
        <v>0</v>
      </c>
      <c r="I286" s="1448">
        <v>0</v>
      </c>
      <c r="J286" s="1448">
        <v>0.02</v>
      </c>
      <c r="K286" s="1448">
        <v>0.75</v>
      </c>
      <c r="L286" s="1448">
        <v>1</v>
      </c>
      <c r="M286" s="1448">
        <v>1</v>
      </c>
      <c r="N286" s="1448">
        <v>1</v>
      </c>
      <c r="O286" s="1448">
        <v>0.75</v>
      </c>
      <c r="P286" s="1448">
        <v>1</v>
      </c>
      <c r="Q286" s="1448">
        <v>1</v>
      </c>
      <c r="R286" s="1448">
        <v>1</v>
      </c>
      <c r="S286" s="1448">
        <v>1</v>
      </c>
      <c r="T286" s="1448">
        <v>1</v>
      </c>
      <c r="U286" s="1448">
        <v>0.52</v>
      </c>
      <c r="V286" s="1448">
        <v>0.52</v>
      </c>
      <c r="W286" s="1448">
        <v>0.52</v>
      </c>
      <c r="X286" s="1448">
        <v>0.28000000000000003</v>
      </c>
      <c r="Y286" s="1448">
        <v>0</v>
      </c>
      <c r="Z286" s="1448">
        <v>0</v>
      </c>
      <c r="AA286" s="1424">
        <f>SUM(C286:Z286)</f>
        <v>11.359999999999998</v>
      </c>
      <c r="AB286" s="1425">
        <f>AA286*SUM($C$9:$C$13)</f>
        <v>2839.9999999999995</v>
      </c>
    </row>
    <row r="287" spans="2:28" x14ac:dyDescent="0.3">
      <c r="B287" s="1439" t="s">
        <v>1431</v>
      </c>
      <c r="C287" s="1449">
        <v>0</v>
      </c>
      <c r="D287" s="1449">
        <v>0</v>
      </c>
      <c r="E287" s="1449">
        <v>0</v>
      </c>
      <c r="F287" s="1449">
        <v>0</v>
      </c>
      <c r="G287" s="1449">
        <v>0</v>
      </c>
      <c r="H287" s="1449">
        <v>0</v>
      </c>
      <c r="I287" s="1449">
        <v>0</v>
      </c>
      <c r="J287" s="1449">
        <v>0.02</v>
      </c>
      <c r="K287" s="1449">
        <v>0.46</v>
      </c>
      <c r="L287" s="1449">
        <v>0.7</v>
      </c>
      <c r="M287" s="1449">
        <v>0.7</v>
      </c>
      <c r="N287" s="1449">
        <v>0.7</v>
      </c>
      <c r="O287" s="1449">
        <v>0.51</v>
      </c>
      <c r="P287" s="1449">
        <v>0.51</v>
      </c>
      <c r="Q287" s="1449">
        <v>0.51</v>
      </c>
      <c r="R287" s="1449">
        <v>0.51</v>
      </c>
      <c r="S287" s="1449">
        <v>0.51</v>
      </c>
      <c r="T287" s="1449">
        <v>0.25</v>
      </c>
      <c r="U287" s="1449">
        <v>0.02</v>
      </c>
      <c r="V287" s="1449">
        <v>0</v>
      </c>
      <c r="W287" s="1449">
        <v>0</v>
      </c>
      <c r="X287" s="1449">
        <v>0</v>
      </c>
      <c r="Y287" s="1449">
        <v>0</v>
      </c>
      <c r="Z287" s="1449">
        <v>0</v>
      </c>
      <c r="AA287" s="1428">
        <f>SUM(C287:Z287)</f>
        <v>5.3999999999999986</v>
      </c>
      <c r="AB287" s="1429">
        <f>AA287*SUM($C$14)</f>
        <v>280.79999999999995</v>
      </c>
    </row>
    <row r="288" spans="2:28" x14ac:dyDescent="0.3">
      <c r="B288" s="1439" t="s">
        <v>1432</v>
      </c>
      <c r="C288" s="1449">
        <v>0</v>
      </c>
      <c r="D288" s="1449">
        <v>0</v>
      </c>
      <c r="E288" s="1449">
        <v>0</v>
      </c>
      <c r="F288" s="1449">
        <v>0</v>
      </c>
      <c r="G288" s="1449">
        <v>0</v>
      </c>
      <c r="H288" s="1449">
        <v>0</v>
      </c>
      <c r="I288" s="1449">
        <v>0</v>
      </c>
      <c r="J288" s="1449">
        <v>0</v>
      </c>
      <c r="K288" s="1449">
        <v>0.02</v>
      </c>
      <c r="L288" s="1449">
        <v>0.02</v>
      </c>
      <c r="M288" s="1449">
        <v>0.02</v>
      </c>
      <c r="N288" s="1449">
        <v>0.02</v>
      </c>
      <c r="O288" s="1449">
        <v>0.02</v>
      </c>
      <c r="P288" s="1449">
        <v>0.02</v>
      </c>
      <c r="Q288" s="1449">
        <v>0.02</v>
      </c>
      <c r="R288" s="1449">
        <v>0.02</v>
      </c>
      <c r="S288" s="1449">
        <v>0</v>
      </c>
      <c r="T288" s="1449">
        <v>0</v>
      </c>
      <c r="U288" s="1449">
        <v>0</v>
      </c>
      <c r="V288" s="1449">
        <v>0</v>
      </c>
      <c r="W288" s="1449">
        <v>0</v>
      </c>
      <c r="X288" s="1449">
        <v>0</v>
      </c>
      <c r="Y288" s="1449">
        <v>0</v>
      </c>
      <c r="Z288" s="1449">
        <v>0</v>
      </c>
      <c r="AA288" s="1428">
        <f>SUM(C288:Z288)</f>
        <v>0.16</v>
      </c>
      <c r="AB288" s="1429">
        <f>AA288*$C$15</f>
        <v>8.32</v>
      </c>
    </row>
    <row r="289" spans="2:28" x14ac:dyDescent="0.3">
      <c r="B289" s="1441" t="s">
        <v>1463</v>
      </c>
      <c r="C289" s="1450">
        <v>0</v>
      </c>
      <c r="D289" s="1450">
        <v>0</v>
      </c>
      <c r="E289" s="1450">
        <v>0</v>
      </c>
      <c r="F289" s="1450">
        <v>0</v>
      </c>
      <c r="G289" s="1450">
        <v>0</v>
      </c>
      <c r="H289" s="1450">
        <v>0</v>
      </c>
      <c r="I289" s="1450">
        <v>0</v>
      </c>
      <c r="J289" s="1450">
        <v>0</v>
      </c>
      <c r="K289" s="1450">
        <v>0.02</v>
      </c>
      <c r="L289" s="1450">
        <v>0.02</v>
      </c>
      <c r="M289" s="1450">
        <v>0.02</v>
      </c>
      <c r="N289" s="1450">
        <v>0.02</v>
      </c>
      <c r="O289" s="1450">
        <v>0.02</v>
      </c>
      <c r="P289" s="1450">
        <v>0.02</v>
      </c>
      <c r="Q289" s="1450">
        <v>0.02</v>
      </c>
      <c r="R289" s="1450">
        <v>0.02</v>
      </c>
      <c r="S289" s="1450">
        <v>0</v>
      </c>
      <c r="T289" s="1450">
        <v>0</v>
      </c>
      <c r="U289" s="1450">
        <v>0</v>
      </c>
      <c r="V289" s="1450">
        <v>0</v>
      </c>
      <c r="W289" s="1450">
        <v>0</v>
      </c>
      <c r="X289" s="1450">
        <v>0</v>
      </c>
      <c r="Y289" s="1450">
        <v>0</v>
      </c>
      <c r="Z289" s="1450">
        <v>0</v>
      </c>
      <c r="AA289" s="1432">
        <f>SUM(C289:Z289)</f>
        <v>0.16</v>
      </c>
      <c r="AB289" s="1433">
        <f>AA289*SUM($C$8)</f>
        <v>1.76</v>
      </c>
    </row>
    <row r="290" spans="2:28" x14ac:dyDescent="0.3">
      <c r="B290" s="2102" t="s">
        <v>1468</v>
      </c>
      <c r="C290" s="2103"/>
      <c r="D290" s="2103"/>
      <c r="E290" s="2103"/>
      <c r="F290" s="2103"/>
      <c r="G290" s="2103"/>
      <c r="H290" s="2103"/>
      <c r="I290" s="2103"/>
      <c r="J290" s="2103"/>
      <c r="K290" s="2103"/>
      <c r="L290" s="2103"/>
      <c r="M290" s="2103"/>
      <c r="N290" s="2103"/>
      <c r="O290" s="2103"/>
      <c r="P290" s="2103"/>
      <c r="Q290" s="2103"/>
      <c r="R290" s="2103"/>
      <c r="S290" s="2103"/>
      <c r="T290" s="2103"/>
      <c r="U290" s="2103"/>
      <c r="V290" s="2103"/>
      <c r="W290" s="2103"/>
      <c r="X290" s="2103"/>
      <c r="Y290" s="2103"/>
      <c r="Z290" s="2103"/>
      <c r="AA290" s="2103"/>
      <c r="AB290" s="1421">
        <f>SUM(AB286:AB289)</f>
        <v>3130.8799999999997</v>
      </c>
    </row>
    <row r="291" spans="2:28" x14ac:dyDescent="0.3">
      <c r="B291" s="1395"/>
      <c r="C291" s="1395"/>
      <c r="D291" s="1395"/>
      <c r="E291" s="1395"/>
      <c r="F291" s="1395"/>
      <c r="G291" s="1395"/>
      <c r="H291" s="1395"/>
      <c r="I291" s="1395"/>
      <c r="J291" s="1395"/>
      <c r="K291" s="1395"/>
      <c r="L291" s="1395"/>
      <c r="M291" s="1395"/>
      <c r="N291" s="1395"/>
      <c r="O291" s="1395"/>
      <c r="P291" s="1395"/>
      <c r="Q291" s="1395"/>
      <c r="R291" s="1395"/>
      <c r="S291" s="1395"/>
      <c r="T291" s="1395"/>
      <c r="U291" s="1395"/>
      <c r="V291" s="1395"/>
      <c r="W291" s="1395"/>
      <c r="X291" s="1395"/>
      <c r="Y291" s="1395"/>
      <c r="Z291" s="1395"/>
      <c r="AA291" s="1395"/>
      <c r="AB291" s="1395"/>
    </row>
    <row r="292" spans="2:28" x14ac:dyDescent="0.3">
      <c r="B292" s="1405" t="s">
        <v>1639</v>
      </c>
      <c r="C292" s="1395"/>
      <c r="D292" s="1395"/>
      <c r="E292" s="1395"/>
      <c r="F292" s="1395"/>
      <c r="G292" s="1395"/>
      <c r="H292" s="1395"/>
      <c r="I292" s="1395"/>
      <c r="J292" s="1395"/>
      <c r="K292" s="1395"/>
      <c r="L292" s="1395"/>
      <c r="M292" s="1395"/>
      <c r="N292" s="1395"/>
      <c r="O292" s="1395"/>
      <c r="P292" s="1395"/>
      <c r="Q292" s="1395"/>
      <c r="R292" s="1395"/>
      <c r="S292" s="1395"/>
      <c r="T292" s="1395"/>
      <c r="U292" s="1395"/>
      <c r="V292" s="1395"/>
      <c r="W292" s="1395"/>
      <c r="X292" s="1395"/>
      <c r="Y292" s="1395"/>
      <c r="Z292" s="1395"/>
      <c r="AA292" s="1395"/>
      <c r="AB292" s="1395"/>
    </row>
    <row r="293" spans="2:28" x14ac:dyDescent="0.3">
      <c r="B293" s="1395"/>
      <c r="C293" s="1395"/>
      <c r="D293" s="1395"/>
      <c r="E293" s="1395"/>
      <c r="F293" s="1395"/>
      <c r="G293" s="1395"/>
      <c r="H293" s="1395"/>
      <c r="I293" s="1395"/>
      <c r="J293" s="1395"/>
      <c r="K293" s="1395"/>
      <c r="L293" s="1395"/>
      <c r="M293" s="1395"/>
      <c r="N293" s="1395"/>
      <c r="O293" s="1395"/>
      <c r="P293" s="1395"/>
      <c r="Q293" s="1395"/>
      <c r="R293" s="1395"/>
      <c r="S293" s="1395"/>
      <c r="T293" s="1395"/>
      <c r="U293" s="1395"/>
      <c r="V293" s="1395"/>
      <c r="W293" s="1395"/>
      <c r="X293" s="1395"/>
      <c r="Y293" s="1395"/>
      <c r="Z293" s="1395"/>
      <c r="AA293" s="1395"/>
      <c r="AB293" s="1395"/>
    </row>
    <row r="294" spans="2:28" ht="15" customHeight="1" x14ac:dyDescent="0.3">
      <c r="B294" s="1395" t="s">
        <v>1434</v>
      </c>
      <c r="C294" s="2099" t="s">
        <v>1640</v>
      </c>
      <c r="D294" s="2100"/>
      <c r="E294" s="2100"/>
      <c r="F294" s="2100"/>
      <c r="G294" s="2100"/>
      <c r="H294" s="2100"/>
      <c r="I294" s="2100"/>
      <c r="J294" s="2100"/>
      <c r="K294" s="2100"/>
      <c r="L294" s="2100"/>
      <c r="M294" s="2100"/>
      <c r="N294" s="2100"/>
      <c r="O294" s="2100"/>
      <c r="P294" s="2100"/>
      <c r="Q294" s="2100"/>
      <c r="R294" s="2100"/>
      <c r="S294" s="2100"/>
      <c r="T294" s="2100"/>
      <c r="U294" s="2100"/>
      <c r="V294" s="2100"/>
      <c r="W294" s="2100"/>
      <c r="X294" s="2100"/>
      <c r="Y294" s="2100"/>
      <c r="Z294" s="2100"/>
      <c r="AA294" s="2100"/>
      <c r="AB294" s="2101"/>
    </row>
    <row r="295" spans="2:28" x14ac:dyDescent="0.3">
      <c r="B295" s="1395"/>
      <c r="C295" s="1395"/>
      <c r="D295" s="1395"/>
      <c r="E295" s="1395"/>
      <c r="F295" s="1395"/>
      <c r="G295" s="1395"/>
      <c r="H295" s="1395"/>
      <c r="I295" s="1395"/>
      <c r="J295" s="1395"/>
      <c r="K295" s="1395"/>
      <c r="L295" s="1395"/>
      <c r="M295" s="1395"/>
      <c r="N295" s="1395"/>
      <c r="O295" s="1395"/>
      <c r="P295" s="1395"/>
      <c r="Q295" s="1395"/>
      <c r="R295" s="1395"/>
      <c r="S295" s="1395"/>
      <c r="T295" s="1395"/>
      <c r="U295" s="1395"/>
      <c r="V295" s="1395"/>
      <c r="W295" s="1395"/>
      <c r="X295" s="1395"/>
      <c r="Y295" s="1395"/>
      <c r="Z295" s="1395"/>
      <c r="AA295" s="1395"/>
      <c r="AB295" s="1395"/>
    </row>
    <row r="296" spans="2:28" s="1420" customFormat="1" ht="21" customHeight="1" x14ac:dyDescent="0.3">
      <c r="B296" s="1419"/>
      <c r="C296" s="1418" t="s">
        <v>1435</v>
      </c>
      <c r="D296" s="1419" t="s">
        <v>1436</v>
      </c>
      <c r="E296" s="1419" t="s">
        <v>1437</v>
      </c>
      <c r="F296" s="1419" t="s">
        <v>1438</v>
      </c>
      <c r="G296" s="1419" t="s">
        <v>1439</v>
      </c>
      <c r="H296" s="1419" t="s">
        <v>1440</v>
      </c>
      <c r="I296" s="1419" t="s">
        <v>1441</v>
      </c>
      <c r="J296" s="1419" t="s">
        <v>1442</v>
      </c>
      <c r="K296" s="1419" t="s">
        <v>1443</v>
      </c>
      <c r="L296" s="1419" t="s">
        <v>1444</v>
      </c>
      <c r="M296" s="1419" t="s">
        <v>1445</v>
      </c>
      <c r="N296" s="1419" t="s">
        <v>1446</v>
      </c>
      <c r="O296" s="1419" t="s">
        <v>1447</v>
      </c>
      <c r="P296" s="1419" t="s">
        <v>1448</v>
      </c>
      <c r="Q296" s="1419" t="s">
        <v>1449</v>
      </c>
      <c r="R296" s="1419" t="s">
        <v>1450</v>
      </c>
      <c r="S296" s="1419" t="s">
        <v>1451</v>
      </c>
      <c r="T296" s="1419" t="s">
        <v>1452</v>
      </c>
      <c r="U296" s="1419" t="s">
        <v>1453</v>
      </c>
      <c r="V296" s="1419" t="s">
        <v>1454</v>
      </c>
      <c r="W296" s="1419" t="s">
        <v>1455</v>
      </c>
      <c r="X296" s="1419" t="s">
        <v>1456</v>
      </c>
      <c r="Y296" s="1419" t="s">
        <v>1457</v>
      </c>
      <c r="Z296" s="1419" t="s">
        <v>1458</v>
      </c>
      <c r="AA296" s="1419" t="s">
        <v>1459</v>
      </c>
      <c r="AB296" s="1419" t="s">
        <v>1460</v>
      </c>
    </row>
    <row r="297" spans="2:28" x14ac:dyDescent="0.3">
      <c r="B297" s="1437" t="s">
        <v>1461</v>
      </c>
      <c r="C297" s="1451">
        <v>0</v>
      </c>
      <c r="D297" s="1451">
        <v>0</v>
      </c>
      <c r="E297" s="1451">
        <v>0</v>
      </c>
      <c r="F297" s="1451">
        <v>0</v>
      </c>
      <c r="G297" s="1451">
        <v>0</v>
      </c>
      <c r="H297" s="1451">
        <v>0</v>
      </c>
      <c r="I297" s="1451">
        <v>1</v>
      </c>
      <c r="J297" s="1451">
        <v>1</v>
      </c>
      <c r="K297" s="1451">
        <v>1</v>
      </c>
      <c r="L297" s="1451">
        <v>1</v>
      </c>
      <c r="M297" s="1451">
        <v>1</v>
      </c>
      <c r="N297" s="1451">
        <v>1</v>
      </c>
      <c r="O297" s="1451">
        <v>1</v>
      </c>
      <c r="P297" s="1451">
        <v>1</v>
      </c>
      <c r="Q297" s="1451">
        <v>1</v>
      </c>
      <c r="R297" s="1451">
        <v>1</v>
      </c>
      <c r="S297" s="1451">
        <v>1</v>
      </c>
      <c r="T297" s="1451">
        <v>1</v>
      </c>
      <c r="U297" s="1451">
        <v>1</v>
      </c>
      <c r="V297" s="1451">
        <v>1</v>
      </c>
      <c r="W297" s="1451">
        <v>1</v>
      </c>
      <c r="X297" s="1451">
        <v>0</v>
      </c>
      <c r="Y297" s="1451">
        <v>0</v>
      </c>
      <c r="Z297" s="1451">
        <v>0</v>
      </c>
      <c r="AA297" s="1424">
        <f>SUM(C297:Z297)</f>
        <v>15</v>
      </c>
      <c r="AB297" s="1425">
        <f>AA297*SUM($C$9:$C$13)</f>
        <v>3750</v>
      </c>
    </row>
    <row r="298" spans="2:28" x14ac:dyDescent="0.3">
      <c r="B298" s="1439" t="s">
        <v>1431</v>
      </c>
      <c r="C298" s="1452">
        <v>0</v>
      </c>
      <c r="D298" s="1452">
        <v>0</v>
      </c>
      <c r="E298" s="1452">
        <v>0</v>
      </c>
      <c r="F298" s="1452">
        <v>0</v>
      </c>
      <c r="G298" s="1452">
        <v>0</v>
      </c>
      <c r="H298" s="1452">
        <v>0</v>
      </c>
      <c r="I298" s="1452">
        <v>1</v>
      </c>
      <c r="J298" s="1452">
        <v>1</v>
      </c>
      <c r="K298" s="1452">
        <v>1</v>
      </c>
      <c r="L298" s="1452">
        <v>1</v>
      </c>
      <c r="M298" s="1452">
        <v>1</v>
      </c>
      <c r="N298" s="1452">
        <v>1</v>
      </c>
      <c r="O298" s="1452">
        <v>1</v>
      </c>
      <c r="P298" s="1452">
        <v>1</v>
      </c>
      <c r="Q298" s="1452">
        <v>1</v>
      </c>
      <c r="R298" s="1452">
        <v>1</v>
      </c>
      <c r="S298" s="1452">
        <v>1</v>
      </c>
      <c r="T298" s="1452">
        <v>1</v>
      </c>
      <c r="U298" s="1452">
        <v>1</v>
      </c>
      <c r="V298" s="1452">
        <v>1</v>
      </c>
      <c r="W298" s="1452">
        <v>1</v>
      </c>
      <c r="X298" s="1452">
        <v>1</v>
      </c>
      <c r="Y298" s="1452">
        <v>0</v>
      </c>
      <c r="Z298" s="1452">
        <v>0</v>
      </c>
      <c r="AA298" s="1428">
        <f>SUM(C298:Z298)</f>
        <v>16</v>
      </c>
      <c r="AB298" s="1429">
        <f>AA298*SUM($C$14)</f>
        <v>832</v>
      </c>
    </row>
    <row r="299" spans="2:28" x14ac:dyDescent="0.3">
      <c r="B299" s="1439" t="s">
        <v>1432</v>
      </c>
      <c r="C299" s="1452">
        <v>0</v>
      </c>
      <c r="D299" s="1452">
        <v>0</v>
      </c>
      <c r="E299" s="1452">
        <v>0</v>
      </c>
      <c r="F299" s="1452">
        <v>0</v>
      </c>
      <c r="G299" s="1452">
        <v>0</v>
      </c>
      <c r="H299" s="1452">
        <v>0</v>
      </c>
      <c r="I299" s="1452">
        <v>0</v>
      </c>
      <c r="J299" s="1452">
        <v>0</v>
      </c>
      <c r="K299" s="1452">
        <v>1</v>
      </c>
      <c r="L299" s="1452">
        <v>1</v>
      </c>
      <c r="M299" s="1452">
        <v>1</v>
      </c>
      <c r="N299" s="1452">
        <v>1</v>
      </c>
      <c r="O299" s="1452">
        <v>1</v>
      </c>
      <c r="P299" s="1452">
        <v>1</v>
      </c>
      <c r="Q299" s="1452">
        <v>1</v>
      </c>
      <c r="R299" s="1452">
        <v>1</v>
      </c>
      <c r="S299" s="1452">
        <v>1</v>
      </c>
      <c r="T299" s="1452">
        <v>0</v>
      </c>
      <c r="U299" s="1452">
        <v>0</v>
      </c>
      <c r="V299" s="1452">
        <v>0</v>
      </c>
      <c r="W299" s="1452">
        <v>0</v>
      </c>
      <c r="X299" s="1452">
        <v>0</v>
      </c>
      <c r="Y299" s="1452">
        <v>0</v>
      </c>
      <c r="Z299" s="1452">
        <v>0</v>
      </c>
      <c r="AA299" s="1428">
        <f>SUM(C299:Z299)</f>
        <v>9</v>
      </c>
      <c r="AB299" s="1429">
        <f>AA299*$C$15</f>
        <v>468</v>
      </c>
    </row>
    <row r="300" spans="2:28" x14ac:dyDescent="0.3">
      <c r="B300" s="1441" t="s">
        <v>1463</v>
      </c>
      <c r="C300" s="1453">
        <v>0</v>
      </c>
      <c r="D300" s="1453">
        <v>0</v>
      </c>
      <c r="E300" s="1453">
        <v>0</v>
      </c>
      <c r="F300" s="1453">
        <v>0</v>
      </c>
      <c r="G300" s="1453">
        <v>0</v>
      </c>
      <c r="H300" s="1453">
        <v>0</v>
      </c>
      <c r="I300" s="1453">
        <v>0</v>
      </c>
      <c r="J300" s="1453">
        <v>0</v>
      </c>
      <c r="K300" s="1453">
        <v>1</v>
      </c>
      <c r="L300" s="1453">
        <v>1</v>
      </c>
      <c r="M300" s="1453">
        <v>1</v>
      </c>
      <c r="N300" s="1453">
        <v>1</v>
      </c>
      <c r="O300" s="1453">
        <v>1</v>
      </c>
      <c r="P300" s="1453">
        <v>1</v>
      </c>
      <c r="Q300" s="1453">
        <v>1</v>
      </c>
      <c r="R300" s="1453">
        <v>1</v>
      </c>
      <c r="S300" s="1453">
        <v>1</v>
      </c>
      <c r="T300" s="1453">
        <v>0</v>
      </c>
      <c r="U300" s="1453">
        <v>0</v>
      </c>
      <c r="V300" s="1453">
        <v>0</v>
      </c>
      <c r="W300" s="1453">
        <v>0</v>
      </c>
      <c r="X300" s="1453">
        <v>0</v>
      </c>
      <c r="Y300" s="1453">
        <v>0</v>
      </c>
      <c r="Z300" s="1453">
        <v>0</v>
      </c>
      <c r="AA300" s="1432">
        <f>SUM(C300:Z300)</f>
        <v>9</v>
      </c>
      <c r="AB300" s="1433">
        <f>AA300*SUM($C$8)</f>
        <v>99</v>
      </c>
    </row>
    <row r="301" spans="2:28" x14ac:dyDescent="0.3">
      <c r="B301" s="2102" t="s">
        <v>1464</v>
      </c>
      <c r="C301" s="2103"/>
      <c r="D301" s="2103"/>
      <c r="E301" s="2103"/>
      <c r="F301" s="2103"/>
      <c r="G301" s="2103"/>
      <c r="H301" s="2103"/>
      <c r="I301" s="2103"/>
      <c r="J301" s="2103"/>
      <c r="K301" s="2103"/>
      <c r="L301" s="2103"/>
      <c r="M301" s="2103"/>
      <c r="N301" s="2103"/>
      <c r="O301" s="2103"/>
      <c r="P301" s="2103"/>
      <c r="Q301" s="2103"/>
      <c r="R301" s="2103"/>
      <c r="S301" s="2103"/>
      <c r="T301" s="2103"/>
      <c r="U301" s="2103"/>
      <c r="V301" s="2103"/>
      <c r="W301" s="2103"/>
      <c r="X301" s="2103"/>
      <c r="Y301" s="2103"/>
      <c r="Z301" s="2103"/>
      <c r="AA301" s="2103"/>
      <c r="AB301" s="1421">
        <f>SUM(AB297:AB300)</f>
        <v>5149</v>
      </c>
    </row>
    <row r="302" spans="2:28" x14ac:dyDescent="0.3">
      <c r="B302" s="1395"/>
      <c r="C302" s="1395"/>
      <c r="D302" s="1395"/>
      <c r="E302" s="1395"/>
      <c r="F302" s="1395"/>
      <c r="G302" s="1395"/>
      <c r="H302" s="1395"/>
      <c r="I302" s="1395"/>
      <c r="J302" s="1395"/>
      <c r="K302" s="1395"/>
      <c r="L302" s="1395"/>
      <c r="M302" s="1395"/>
      <c r="N302" s="1395"/>
      <c r="O302" s="1395"/>
      <c r="P302" s="1395"/>
      <c r="Q302" s="1395"/>
      <c r="R302" s="1395"/>
      <c r="S302" s="1395"/>
      <c r="T302" s="1395"/>
      <c r="U302" s="1395"/>
      <c r="V302" s="1395"/>
      <c r="W302" s="1395"/>
      <c r="X302" s="1395"/>
      <c r="Y302" s="1395"/>
      <c r="Z302" s="1395"/>
      <c r="AA302" s="1395"/>
      <c r="AB302" s="1395"/>
    </row>
    <row r="303" spans="2:28" ht="15" customHeight="1" x14ac:dyDescent="0.3">
      <c r="B303" s="1395" t="s">
        <v>1434</v>
      </c>
      <c r="C303" s="2099" t="s">
        <v>1641</v>
      </c>
      <c r="D303" s="2100"/>
      <c r="E303" s="2100"/>
      <c r="F303" s="2100"/>
      <c r="G303" s="2100"/>
      <c r="H303" s="2100"/>
      <c r="I303" s="2100"/>
      <c r="J303" s="2100"/>
      <c r="K303" s="2100"/>
      <c r="L303" s="2100"/>
      <c r="M303" s="2100"/>
      <c r="N303" s="2100"/>
      <c r="O303" s="2100"/>
      <c r="P303" s="2100"/>
      <c r="Q303" s="2100"/>
      <c r="R303" s="2100"/>
      <c r="S303" s="2100"/>
      <c r="T303" s="2100"/>
      <c r="U303" s="2100"/>
      <c r="V303" s="2100"/>
      <c r="W303" s="2100"/>
      <c r="X303" s="2100"/>
      <c r="Y303" s="2100"/>
      <c r="Z303" s="2100"/>
      <c r="AA303" s="2100"/>
      <c r="AB303" s="2101"/>
    </row>
    <row r="304" spans="2:28" x14ac:dyDescent="0.3">
      <c r="B304" s="1395"/>
      <c r="C304" s="1395"/>
      <c r="D304" s="1395"/>
      <c r="E304" s="1395"/>
      <c r="F304" s="1395"/>
      <c r="G304" s="1395"/>
      <c r="H304" s="1395"/>
      <c r="I304" s="1395"/>
      <c r="J304" s="1395"/>
      <c r="K304" s="1395"/>
      <c r="L304" s="1395"/>
      <c r="M304" s="1395"/>
      <c r="N304" s="1395"/>
      <c r="O304" s="1395"/>
      <c r="P304" s="1395"/>
      <c r="Q304" s="1395"/>
      <c r="R304" s="1395"/>
      <c r="S304" s="1395"/>
      <c r="T304" s="1395"/>
      <c r="U304" s="1395"/>
      <c r="V304" s="1395"/>
      <c r="W304" s="1395"/>
      <c r="X304" s="1395"/>
      <c r="Y304" s="1395"/>
      <c r="Z304" s="1395"/>
      <c r="AA304" s="1395"/>
      <c r="AB304" s="1395"/>
    </row>
    <row r="305" spans="2:28" s="1420" customFormat="1" ht="21" customHeight="1" x14ac:dyDescent="0.3">
      <c r="B305" s="1419"/>
      <c r="C305" s="1418" t="s">
        <v>1435</v>
      </c>
      <c r="D305" s="1419" t="s">
        <v>1436</v>
      </c>
      <c r="E305" s="1419" t="s">
        <v>1437</v>
      </c>
      <c r="F305" s="1419" t="s">
        <v>1438</v>
      </c>
      <c r="G305" s="1419" t="s">
        <v>1439</v>
      </c>
      <c r="H305" s="1419" t="s">
        <v>1440</v>
      </c>
      <c r="I305" s="1419" t="s">
        <v>1441</v>
      </c>
      <c r="J305" s="1419" t="s">
        <v>1442</v>
      </c>
      <c r="K305" s="1419" t="s">
        <v>1443</v>
      </c>
      <c r="L305" s="1419" t="s">
        <v>1444</v>
      </c>
      <c r="M305" s="1419" t="s">
        <v>1445</v>
      </c>
      <c r="N305" s="1419" t="s">
        <v>1446</v>
      </c>
      <c r="O305" s="1419" t="s">
        <v>1447</v>
      </c>
      <c r="P305" s="1419" t="s">
        <v>1448</v>
      </c>
      <c r="Q305" s="1419" t="s">
        <v>1449</v>
      </c>
      <c r="R305" s="1419" t="s">
        <v>1450</v>
      </c>
      <c r="S305" s="1419" t="s">
        <v>1451</v>
      </c>
      <c r="T305" s="1419" t="s">
        <v>1452</v>
      </c>
      <c r="U305" s="1419" t="s">
        <v>1453</v>
      </c>
      <c r="V305" s="1419" t="s">
        <v>1454</v>
      </c>
      <c r="W305" s="1419" t="s">
        <v>1455</v>
      </c>
      <c r="X305" s="1419" t="s">
        <v>1456</v>
      </c>
      <c r="Y305" s="1419" t="s">
        <v>1457</v>
      </c>
      <c r="Z305" s="1419" t="s">
        <v>1458</v>
      </c>
      <c r="AA305" s="1419" t="s">
        <v>1466</v>
      </c>
      <c r="AB305" s="1419" t="s">
        <v>1467</v>
      </c>
    </row>
    <row r="306" spans="2:28" x14ac:dyDescent="0.3">
      <c r="B306" s="1437" t="s">
        <v>1461</v>
      </c>
      <c r="C306" s="1448">
        <v>0</v>
      </c>
      <c r="D306" s="1448">
        <v>0</v>
      </c>
      <c r="E306" s="1448">
        <v>0</v>
      </c>
      <c r="F306" s="1448">
        <v>0</v>
      </c>
      <c r="G306" s="1448">
        <v>0</v>
      </c>
      <c r="H306" s="1448">
        <v>0</v>
      </c>
      <c r="I306" s="1448">
        <v>0</v>
      </c>
      <c r="J306" s="1448">
        <v>0.1</v>
      </c>
      <c r="K306" s="1448">
        <v>0.2</v>
      </c>
      <c r="L306" s="1448">
        <v>0.5</v>
      </c>
      <c r="M306" s="1448">
        <v>0.5</v>
      </c>
      <c r="N306" s="1448">
        <v>0.7</v>
      </c>
      <c r="O306" s="1448">
        <v>0.7</v>
      </c>
      <c r="P306" s="1448">
        <v>0.7</v>
      </c>
      <c r="Q306" s="1448">
        <v>0.7</v>
      </c>
      <c r="R306" s="1448">
        <v>0.8</v>
      </c>
      <c r="S306" s="1448">
        <v>0.7</v>
      </c>
      <c r="T306" s="1448">
        <v>0.5</v>
      </c>
      <c r="U306" s="1448">
        <v>0.5</v>
      </c>
      <c r="V306" s="1448">
        <v>0.3</v>
      </c>
      <c r="W306" s="1448">
        <v>0.3</v>
      </c>
      <c r="X306" s="1448">
        <v>0</v>
      </c>
      <c r="Y306" s="1448">
        <v>0</v>
      </c>
      <c r="Z306" s="1448">
        <v>0</v>
      </c>
      <c r="AA306" s="1424">
        <f>SUM(C306:Z306)</f>
        <v>7.2</v>
      </c>
      <c r="AB306" s="1425">
        <f>AA306*SUM($C$9:$C$13)</f>
        <v>1800</v>
      </c>
    </row>
    <row r="307" spans="2:28" x14ac:dyDescent="0.3">
      <c r="B307" s="1439" t="s">
        <v>1431</v>
      </c>
      <c r="C307" s="1449">
        <v>0</v>
      </c>
      <c r="D307" s="1449">
        <v>0</v>
      </c>
      <c r="E307" s="1449">
        <v>0</v>
      </c>
      <c r="F307" s="1449">
        <v>0</v>
      </c>
      <c r="G307" s="1449">
        <v>0</v>
      </c>
      <c r="H307" s="1449">
        <v>0</v>
      </c>
      <c r="I307" s="1449">
        <v>0</v>
      </c>
      <c r="J307" s="1449">
        <v>0.1</v>
      </c>
      <c r="K307" s="1449">
        <v>0.2</v>
      </c>
      <c r="L307" s="1449">
        <v>0.5</v>
      </c>
      <c r="M307" s="1449">
        <v>0.6</v>
      </c>
      <c r="N307" s="1449">
        <v>0.8</v>
      </c>
      <c r="O307" s="1449">
        <v>0.8</v>
      </c>
      <c r="P307" s="1449">
        <v>0.8</v>
      </c>
      <c r="Q307" s="1449">
        <v>0.8</v>
      </c>
      <c r="R307" s="1449">
        <v>0.8</v>
      </c>
      <c r="S307" s="1449">
        <v>0.8</v>
      </c>
      <c r="T307" s="1449">
        <v>0.6</v>
      </c>
      <c r="U307" s="1449">
        <v>0.2</v>
      </c>
      <c r="V307" s="1449">
        <v>0.2</v>
      </c>
      <c r="W307" s="1449">
        <v>0.2</v>
      </c>
      <c r="X307" s="1449">
        <v>0.1</v>
      </c>
      <c r="Y307" s="1449">
        <v>0</v>
      </c>
      <c r="Z307" s="1449">
        <v>0</v>
      </c>
      <c r="AA307" s="1428">
        <f>SUM(C307:Z307)</f>
        <v>7.4999999999999991</v>
      </c>
      <c r="AB307" s="1429">
        <f>AA307*SUM($C$14)</f>
        <v>389.99999999999994</v>
      </c>
    </row>
    <row r="308" spans="2:28" x14ac:dyDescent="0.3">
      <c r="B308" s="1439" t="s">
        <v>1432</v>
      </c>
      <c r="C308" s="1449">
        <v>0</v>
      </c>
      <c r="D308" s="1449">
        <v>0</v>
      </c>
      <c r="E308" s="1449">
        <v>0</v>
      </c>
      <c r="F308" s="1449">
        <v>0</v>
      </c>
      <c r="G308" s="1449">
        <v>0</v>
      </c>
      <c r="H308" s="1449">
        <v>0</v>
      </c>
      <c r="I308" s="1449">
        <v>0</v>
      </c>
      <c r="J308" s="1449">
        <v>0</v>
      </c>
      <c r="K308" s="1449">
        <v>0</v>
      </c>
      <c r="L308" s="1449">
        <v>0.1</v>
      </c>
      <c r="M308" s="1449">
        <v>0.2</v>
      </c>
      <c r="N308" s="1449">
        <v>0.2</v>
      </c>
      <c r="O308" s="1449">
        <v>0.4</v>
      </c>
      <c r="P308" s="1449">
        <v>0.4</v>
      </c>
      <c r="Q308" s="1449">
        <v>0.4</v>
      </c>
      <c r="R308" s="1449">
        <v>0.4</v>
      </c>
      <c r="S308" s="1449">
        <v>0.4</v>
      </c>
      <c r="T308" s="1449">
        <v>0.2</v>
      </c>
      <c r="U308" s="1449">
        <v>0.1</v>
      </c>
      <c r="V308" s="1449">
        <v>0</v>
      </c>
      <c r="W308" s="1449">
        <v>0</v>
      </c>
      <c r="X308" s="1449">
        <v>0</v>
      </c>
      <c r="Y308" s="1449">
        <v>0</v>
      </c>
      <c r="Z308" s="1449">
        <v>0</v>
      </c>
      <c r="AA308" s="1428">
        <f>SUM(C308:Z308)</f>
        <v>2.8000000000000003</v>
      </c>
      <c r="AB308" s="1429">
        <f>AA308*$C$15</f>
        <v>145.60000000000002</v>
      </c>
    </row>
    <row r="309" spans="2:28" x14ac:dyDescent="0.3">
      <c r="B309" s="1441" t="s">
        <v>1463</v>
      </c>
      <c r="C309" s="1450">
        <v>0</v>
      </c>
      <c r="D309" s="1450">
        <v>0</v>
      </c>
      <c r="E309" s="1450">
        <v>0</v>
      </c>
      <c r="F309" s="1450">
        <v>0</v>
      </c>
      <c r="G309" s="1450">
        <v>0</v>
      </c>
      <c r="H309" s="1450">
        <v>0</v>
      </c>
      <c r="I309" s="1450">
        <v>0</v>
      </c>
      <c r="J309" s="1450">
        <v>0</v>
      </c>
      <c r="K309" s="1450">
        <v>0</v>
      </c>
      <c r="L309" s="1450">
        <v>0.1</v>
      </c>
      <c r="M309" s="1450">
        <v>0.2</v>
      </c>
      <c r="N309" s="1450">
        <v>0.2</v>
      </c>
      <c r="O309" s="1450">
        <v>0.4</v>
      </c>
      <c r="P309" s="1450">
        <v>0.4</v>
      </c>
      <c r="Q309" s="1450">
        <v>0.4</v>
      </c>
      <c r="R309" s="1450">
        <v>0.4</v>
      </c>
      <c r="S309" s="1450">
        <v>0.4</v>
      </c>
      <c r="T309" s="1450">
        <v>0.2</v>
      </c>
      <c r="U309" s="1450">
        <v>0.1</v>
      </c>
      <c r="V309" s="1450">
        <v>0</v>
      </c>
      <c r="W309" s="1450">
        <v>0</v>
      </c>
      <c r="X309" s="1450">
        <v>0</v>
      </c>
      <c r="Y309" s="1450">
        <v>0</v>
      </c>
      <c r="Z309" s="1450">
        <v>0</v>
      </c>
      <c r="AA309" s="1432">
        <f>SUM(C309:Z309)</f>
        <v>2.8000000000000003</v>
      </c>
      <c r="AB309" s="1433">
        <f>AA309*SUM($C$8)</f>
        <v>30.800000000000004</v>
      </c>
    </row>
    <row r="310" spans="2:28" x14ac:dyDescent="0.3">
      <c r="B310" s="2102" t="s">
        <v>1468</v>
      </c>
      <c r="C310" s="2103"/>
      <c r="D310" s="2103"/>
      <c r="E310" s="2103"/>
      <c r="F310" s="2103"/>
      <c r="G310" s="2103"/>
      <c r="H310" s="2103"/>
      <c r="I310" s="2103"/>
      <c r="J310" s="2103"/>
      <c r="K310" s="2103"/>
      <c r="L310" s="2103"/>
      <c r="M310" s="2103"/>
      <c r="N310" s="2103"/>
      <c r="O310" s="2103"/>
      <c r="P310" s="2103"/>
      <c r="Q310" s="2103"/>
      <c r="R310" s="2103"/>
      <c r="S310" s="2103"/>
      <c r="T310" s="2103"/>
      <c r="U310" s="2103"/>
      <c r="V310" s="2103"/>
      <c r="W310" s="2103"/>
      <c r="X310" s="2103"/>
      <c r="Y310" s="2103"/>
      <c r="Z310" s="2103"/>
      <c r="AA310" s="2103"/>
      <c r="AB310" s="1421">
        <f>SUM(AB306:AB309)</f>
        <v>2366.4</v>
      </c>
    </row>
    <row r="311" spans="2:28" x14ac:dyDescent="0.3">
      <c r="B311" s="1395"/>
      <c r="C311" s="1395"/>
      <c r="D311" s="1395"/>
      <c r="E311" s="1395"/>
      <c r="F311" s="1395"/>
      <c r="G311" s="1395"/>
      <c r="H311" s="1395"/>
      <c r="I311" s="1395"/>
      <c r="J311" s="1395"/>
      <c r="K311" s="1395"/>
      <c r="L311" s="1395"/>
      <c r="M311" s="1395"/>
      <c r="N311" s="1395"/>
      <c r="O311" s="1395"/>
      <c r="P311" s="1395"/>
      <c r="Q311" s="1395"/>
      <c r="R311" s="1395"/>
      <c r="S311" s="1395"/>
      <c r="T311" s="1395"/>
      <c r="U311" s="1395"/>
      <c r="V311" s="1395"/>
      <c r="W311" s="1395"/>
      <c r="X311" s="1395"/>
      <c r="Y311" s="1395"/>
      <c r="Z311" s="1395"/>
      <c r="AA311" s="1395"/>
      <c r="AB311" s="1395"/>
    </row>
    <row r="312" spans="2:28" ht="15" customHeight="1" x14ac:dyDescent="0.3">
      <c r="B312" s="1395" t="s">
        <v>1434</v>
      </c>
      <c r="C312" s="2099" t="s">
        <v>1642</v>
      </c>
      <c r="D312" s="2100"/>
      <c r="E312" s="2100"/>
      <c r="F312" s="2100"/>
      <c r="G312" s="2100"/>
      <c r="H312" s="2100"/>
      <c r="I312" s="2100"/>
      <c r="J312" s="2100"/>
      <c r="K312" s="2100"/>
      <c r="L312" s="2100"/>
      <c r="M312" s="2100"/>
      <c r="N312" s="2100"/>
      <c r="O312" s="2100"/>
      <c r="P312" s="2100"/>
      <c r="Q312" s="2100"/>
      <c r="R312" s="2100"/>
      <c r="S312" s="2100"/>
      <c r="T312" s="2100"/>
      <c r="U312" s="2100"/>
      <c r="V312" s="2100"/>
      <c r="W312" s="2100"/>
      <c r="X312" s="2100"/>
      <c r="Y312" s="2100"/>
      <c r="Z312" s="2100"/>
      <c r="AA312" s="2100"/>
      <c r="AB312" s="2101"/>
    </row>
    <row r="313" spans="2:28" x14ac:dyDescent="0.3">
      <c r="B313" s="1395"/>
      <c r="C313" s="1395"/>
      <c r="D313" s="1395"/>
      <c r="E313" s="1395"/>
      <c r="F313" s="1395"/>
      <c r="G313" s="1395"/>
      <c r="H313" s="1395"/>
      <c r="I313" s="1395"/>
      <c r="J313" s="1395"/>
      <c r="K313" s="1395"/>
      <c r="L313" s="1395"/>
      <c r="M313" s="1395"/>
      <c r="N313" s="1395"/>
      <c r="O313" s="1395"/>
      <c r="P313" s="1395"/>
      <c r="Q313" s="1395"/>
      <c r="R313" s="1395"/>
      <c r="S313" s="1395"/>
      <c r="T313" s="1395"/>
      <c r="U313" s="1395"/>
      <c r="V313" s="1395"/>
      <c r="W313" s="1395"/>
      <c r="X313" s="1395"/>
      <c r="Y313" s="1395"/>
      <c r="Z313" s="1395"/>
      <c r="AA313" s="1395"/>
      <c r="AB313" s="1395"/>
    </row>
    <row r="314" spans="2:28" s="1420" customFormat="1" ht="21" customHeight="1" x14ac:dyDescent="0.3">
      <c r="B314" s="1419"/>
      <c r="C314" s="1418" t="s">
        <v>1435</v>
      </c>
      <c r="D314" s="1419" t="s">
        <v>1436</v>
      </c>
      <c r="E314" s="1419" t="s">
        <v>1437</v>
      </c>
      <c r="F314" s="1419" t="s">
        <v>1438</v>
      </c>
      <c r="G314" s="1419" t="s">
        <v>1439</v>
      </c>
      <c r="H314" s="1419" t="s">
        <v>1440</v>
      </c>
      <c r="I314" s="1419" t="s">
        <v>1441</v>
      </c>
      <c r="J314" s="1419" t="s">
        <v>1442</v>
      </c>
      <c r="K314" s="1419" t="s">
        <v>1443</v>
      </c>
      <c r="L314" s="1419" t="s">
        <v>1444</v>
      </c>
      <c r="M314" s="1419" t="s">
        <v>1445</v>
      </c>
      <c r="N314" s="1419" t="s">
        <v>1446</v>
      </c>
      <c r="O314" s="1419" t="s">
        <v>1447</v>
      </c>
      <c r="P314" s="1419" t="s">
        <v>1448</v>
      </c>
      <c r="Q314" s="1419" t="s">
        <v>1449</v>
      </c>
      <c r="R314" s="1419" t="s">
        <v>1450</v>
      </c>
      <c r="S314" s="1419" t="s">
        <v>1451</v>
      </c>
      <c r="T314" s="1419" t="s">
        <v>1452</v>
      </c>
      <c r="U314" s="1419" t="s">
        <v>1453</v>
      </c>
      <c r="V314" s="1419" t="s">
        <v>1454</v>
      </c>
      <c r="W314" s="1419" t="s">
        <v>1455</v>
      </c>
      <c r="X314" s="1419" t="s">
        <v>1456</v>
      </c>
      <c r="Y314" s="1419" t="s">
        <v>1457</v>
      </c>
      <c r="Z314" s="1419" t="s">
        <v>1458</v>
      </c>
      <c r="AA314" s="1419" t="s">
        <v>1466</v>
      </c>
      <c r="AB314" s="1419" t="s">
        <v>1467</v>
      </c>
    </row>
    <row r="315" spans="2:28" x14ac:dyDescent="0.3">
      <c r="B315" s="1437" t="s">
        <v>1461</v>
      </c>
      <c r="C315" s="1448">
        <v>0.05</v>
      </c>
      <c r="D315" s="1448">
        <v>0.05</v>
      </c>
      <c r="E315" s="1448">
        <v>0.05</v>
      </c>
      <c r="F315" s="1448">
        <v>0.05</v>
      </c>
      <c r="G315" s="1448">
        <v>0.05</v>
      </c>
      <c r="H315" s="1448">
        <v>0.05</v>
      </c>
      <c r="I315" s="1448">
        <v>0.05</v>
      </c>
      <c r="J315" s="1448">
        <v>0.2</v>
      </c>
      <c r="K315" s="1448">
        <v>0.5</v>
      </c>
      <c r="L315" s="1448">
        <v>0.85</v>
      </c>
      <c r="M315" s="1448">
        <v>0.85</v>
      </c>
      <c r="N315" s="1448">
        <v>0.85</v>
      </c>
      <c r="O315" s="1448">
        <v>0.85</v>
      </c>
      <c r="P315" s="1448">
        <v>0.85</v>
      </c>
      <c r="Q315" s="1448">
        <v>0.85</v>
      </c>
      <c r="R315" s="1448">
        <v>0.85</v>
      </c>
      <c r="S315" s="1448">
        <v>0.85</v>
      </c>
      <c r="T315" s="1448">
        <v>0.85</v>
      </c>
      <c r="U315" s="1448">
        <v>0.55000000000000004</v>
      </c>
      <c r="V315" s="1448">
        <v>0.55000000000000004</v>
      </c>
      <c r="W315" s="1448">
        <v>0.5</v>
      </c>
      <c r="X315" s="1448">
        <v>0.2</v>
      </c>
      <c r="Y315" s="1448">
        <v>0.05</v>
      </c>
      <c r="Z315" s="1448">
        <v>0.05</v>
      </c>
      <c r="AA315" s="1424">
        <f>SUM(C315:Z315)</f>
        <v>10.600000000000001</v>
      </c>
      <c r="AB315" s="1425">
        <f>AA315*SUM($C$9:$C$13)</f>
        <v>2650.0000000000005</v>
      </c>
    </row>
    <row r="316" spans="2:28" x14ac:dyDescent="0.3">
      <c r="B316" s="1439" t="s">
        <v>1431</v>
      </c>
      <c r="C316" s="1449">
        <v>0.05</v>
      </c>
      <c r="D316" s="1449">
        <v>0.05</v>
      </c>
      <c r="E316" s="1449">
        <v>0.05</v>
      </c>
      <c r="F316" s="1449">
        <v>0.05</v>
      </c>
      <c r="G316" s="1449">
        <v>0.05</v>
      </c>
      <c r="H316" s="1449">
        <v>0.05</v>
      </c>
      <c r="I316" s="1449">
        <v>0.05</v>
      </c>
      <c r="J316" s="1449">
        <v>0.1</v>
      </c>
      <c r="K316" s="1449">
        <v>0.3</v>
      </c>
      <c r="L316" s="1449">
        <v>0.55000000000000004</v>
      </c>
      <c r="M316" s="1449">
        <v>0.85</v>
      </c>
      <c r="N316" s="1449">
        <v>0.85</v>
      </c>
      <c r="O316" s="1449">
        <v>0.85</v>
      </c>
      <c r="P316" s="1449">
        <v>0.85</v>
      </c>
      <c r="Q316" s="1449">
        <v>0.85</v>
      </c>
      <c r="R316" s="1449">
        <v>0.85</v>
      </c>
      <c r="S316" s="1449">
        <v>0.85</v>
      </c>
      <c r="T316" s="1449">
        <v>0.85</v>
      </c>
      <c r="U316" s="1449">
        <v>0.5</v>
      </c>
      <c r="V316" s="1449">
        <v>0.3</v>
      </c>
      <c r="W316" s="1449">
        <v>0.3</v>
      </c>
      <c r="X316" s="1449">
        <v>0.1</v>
      </c>
      <c r="Y316" s="1449">
        <v>0.05</v>
      </c>
      <c r="Z316" s="1449">
        <v>0.05</v>
      </c>
      <c r="AA316" s="1428">
        <f>SUM(C316:Z316)</f>
        <v>9.4000000000000021</v>
      </c>
      <c r="AB316" s="1429">
        <f>AA316*SUM($C$14)</f>
        <v>488.80000000000013</v>
      </c>
    </row>
    <row r="317" spans="2:28" x14ac:dyDescent="0.3">
      <c r="B317" s="1439" t="s">
        <v>1432</v>
      </c>
      <c r="C317" s="1449">
        <v>0.05</v>
      </c>
      <c r="D317" s="1449">
        <v>0.05</v>
      </c>
      <c r="E317" s="1449">
        <v>0.05</v>
      </c>
      <c r="F317" s="1449">
        <v>0.05</v>
      </c>
      <c r="G317" s="1449">
        <v>0.05</v>
      </c>
      <c r="H317" s="1449">
        <v>0.05</v>
      </c>
      <c r="I317" s="1449">
        <v>0.05</v>
      </c>
      <c r="J317" s="1449">
        <v>0.05</v>
      </c>
      <c r="K317" s="1449">
        <v>0.1</v>
      </c>
      <c r="L317" s="1449">
        <v>0.1</v>
      </c>
      <c r="M317" s="1449">
        <v>0.4</v>
      </c>
      <c r="N317" s="1449">
        <v>0.4</v>
      </c>
      <c r="O317" s="1449">
        <v>0.55000000000000004</v>
      </c>
      <c r="P317" s="1449">
        <v>0.55000000000000004</v>
      </c>
      <c r="Q317" s="1449">
        <v>0.55000000000000004</v>
      </c>
      <c r="R317" s="1449">
        <v>0.55000000000000004</v>
      </c>
      <c r="S317" s="1449">
        <v>0.55000000000000004</v>
      </c>
      <c r="T317" s="1449">
        <v>0.4</v>
      </c>
      <c r="U317" s="1449">
        <v>0.2</v>
      </c>
      <c r="V317" s="1449">
        <v>0.05</v>
      </c>
      <c r="W317" s="1449">
        <v>0.05</v>
      </c>
      <c r="X317" s="1449">
        <v>0.05</v>
      </c>
      <c r="Y317" s="1449">
        <v>0.05</v>
      </c>
      <c r="Z317" s="1449">
        <v>0.05</v>
      </c>
      <c r="AA317" s="1428">
        <f>SUM(C317:Z317)</f>
        <v>4.9999999999999991</v>
      </c>
      <c r="AB317" s="1429">
        <f>AA317*$C$15</f>
        <v>259.99999999999994</v>
      </c>
    </row>
    <row r="318" spans="2:28" x14ac:dyDescent="0.3">
      <c r="B318" s="1441" t="s">
        <v>1463</v>
      </c>
      <c r="C318" s="1450">
        <v>0.05</v>
      </c>
      <c r="D318" s="1450">
        <v>0.05</v>
      </c>
      <c r="E318" s="1450">
        <v>0.05</v>
      </c>
      <c r="F318" s="1450">
        <v>0.05</v>
      </c>
      <c r="G318" s="1450">
        <v>0.05</v>
      </c>
      <c r="H318" s="1450">
        <v>0.05</v>
      </c>
      <c r="I318" s="1450">
        <v>0.05</v>
      </c>
      <c r="J318" s="1450">
        <v>0.05</v>
      </c>
      <c r="K318" s="1450">
        <v>0.1</v>
      </c>
      <c r="L318" s="1450">
        <v>0.1</v>
      </c>
      <c r="M318" s="1450">
        <v>0.4</v>
      </c>
      <c r="N318" s="1450">
        <v>0.4</v>
      </c>
      <c r="O318" s="1450">
        <v>0.55000000000000004</v>
      </c>
      <c r="P318" s="1450">
        <v>0.55000000000000004</v>
      </c>
      <c r="Q318" s="1450">
        <v>0.55000000000000004</v>
      </c>
      <c r="R318" s="1450">
        <v>0.55000000000000004</v>
      </c>
      <c r="S318" s="1450">
        <v>0.55000000000000004</v>
      </c>
      <c r="T318" s="1450">
        <v>0.4</v>
      </c>
      <c r="U318" s="1450">
        <v>0.2</v>
      </c>
      <c r="V318" s="1450">
        <v>0.05</v>
      </c>
      <c r="W318" s="1450">
        <v>0.05</v>
      </c>
      <c r="X318" s="1450">
        <v>0.05</v>
      </c>
      <c r="Y318" s="1450">
        <v>0.05</v>
      </c>
      <c r="Z318" s="1450">
        <v>0.05</v>
      </c>
      <c r="AA318" s="1432">
        <f>SUM(C318:Z318)</f>
        <v>4.9999999999999991</v>
      </c>
      <c r="AB318" s="1433">
        <f>AA318*SUM($C$8)</f>
        <v>54.999999999999993</v>
      </c>
    </row>
    <row r="319" spans="2:28" x14ac:dyDescent="0.3">
      <c r="B319" s="2102" t="s">
        <v>1468</v>
      </c>
      <c r="C319" s="2103"/>
      <c r="D319" s="2103"/>
      <c r="E319" s="2103"/>
      <c r="F319" s="2103"/>
      <c r="G319" s="2103"/>
      <c r="H319" s="2103"/>
      <c r="I319" s="2103"/>
      <c r="J319" s="2103"/>
      <c r="K319" s="2103"/>
      <c r="L319" s="2103"/>
      <c r="M319" s="2103"/>
      <c r="N319" s="2103"/>
      <c r="O319" s="2103"/>
      <c r="P319" s="2103"/>
      <c r="Q319" s="2103"/>
      <c r="R319" s="2103"/>
      <c r="S319" s="2103"/>
      <c r="T319" s="2103"/>
      <c r="U319" s="2103"/>
      <c r="V319" s="2103"/>
      <c r="W319" s="2103"/>
      <c r="X319" s="2103"/>
      <c r="Y319" s="2103"/>
      <c r="Z319" s="2103"/>
      <c r="AA319" s="2103"/>
      <c r="AB319" s="1421">
        <f>SUM(AB315:AB318)</f>
        <v>3453.8000000000006</v>
      </c>
    </row>
    <row r="320" spans="2:28" x14ac:dyDescent="0.3">
      <c r="B320" s="1395"/>
      <c r="C320" s="1395"/>
      <c r="D320" s="1395"/>
      <c r="E320" s="1395"/>
      <c r="F320" s="1395"/>
      <c r="G320" s="1395"/>
      <c r="H320" s="1395"/>
      <c r="I320" s="1395"/>
      <c r="J320" s="1395"/>
      <c r="K320" s="1395"/>
      <c r="L320" s="1395"/>
      <c r="M320" s="1395"/>
      <c r="N320" s="1395"/>
      <c r="O320" s="1395"/>
      <c r="P320" s="1395"/>
      <c r="Q320" s="1395"/>
      <c r="R320" s="1395"/>
      <c r="S320" s="1395"/>
      <c r="T320" s="1395"/>
      <c r="U320" s="1395"/>
      <c r="V320" s="1395"/>
      <c r="W320" s="1395"/>
      <c r="X320" s="1395"/>
      <c r="Y320" s="1395"/>
      <c r="Z320" s="1395"/>
      <c r="AA320" s="1395"/>
      <c r="AB320" s="1395"/>
    </row>
    <row r="321" spans="2:28" ht="15" customHeight="1" x14ac:dyDescent="0.3">
      <c r="B321" s="1395" t="s">
        <v>1434</v>
      </c>
      <c r="C321" s="2099" t="s">
        <v>1643</v>
      </c>
      <c r="D321" s="2100"/>
      <c r="E321" s="2100"/>
      <c r="F321" s="2100"/>
      <c r="G321" s="2100"/>
      <c r="H321" s="2100"/>
      <c r="I321" s="2100"/>
      <c r="J321" s="2100"/>
      <c r="K321" s="2100"/>
      <c r="L321" s="2100"/>
      <c r="M321" s="2100"/>
      <c r="N321" s="2100"/>
      <c r="O321" s="2100"/>
      <c r="P321" s="2100"/>
      <c r="Q321" s="2100"/>
      <c r="R321" s="2100"/>
      <c r="S321" s="2100"/>
      <c r="T321" s="2100"/>
      <c r="U321" s="2100"/>
      <c r="V321" s="2100"/>
      <c r="W321" s="2100"/>
      <c r="X321" s="2100"/>
      <c r="Y321" s="2100"/>
      <c r="Z321" s="2100"/>
      <c r="AA321" s="2100"/>
      <c r="AB321" s="2101"/>
    </row>
    <row r="322" spans="2:28" x14ac:dyDescent="0.3">
      <c r="B322" s="1395"/>
      <c r="C322" s="1395"/>
      <c r="D322" s="1395"/>
      <c r="E322" s="1395"/>
      <c r="F322" s="1395"/>
      <c r="G322" s="1395"/>
      <c r="H322" s="1395"/>
      <c r="I322" s="1395"/>
      <c r="J322" s="1395"/>
      <c r="K322" s="1395"/>
      <c r="L322" s="1395"/>
      <c r="M322" s="1395"/>
      <c r="N322" s="1395"/>
      <c r="O322" s="1395"/>
      <c r="P322" s="1395"/>
      <c r="Q322" s="1395"/>
      <c r="R322" s="1395"/>
      <c r="S322" s="1395"/>
      <c r="T322" s="1395"/>
      <c r="U322" s="1395"/>
      <c r="V322" s="1395"/>
      <c r="W322" s="1395"/>
      <c r="X322" s="1395"/>
      <c r="Y322" s="1395"/>
      <c r="Z322" s="1395"/>
      <c r="AA322" s="1395"/>
      <c r="AB322" s="1395"/>
    </row>
    <row r="323" spans="2:28" s="1420" customFormat="1" ht="21" customHeight="1" x14ac:dyDescent="0.3">
      <c r="B323" s="1419"/>
      <c r="C323" s="1418" t="s">
        <v>1435</v>
      </c>
      <c r="D323" s="1419" t="s">
        <v>1436</v>
      </c>
      <c r="E323" s="1419" t="s">
        <v>1437</v>
      </c>
      <c r="F323" s="1419" t="s">
        <v>1438</v>
      </c>
      <c r="G323" s="1419" t="s">
        <v>1439</v>
      </c>
      <c r="H323" s="1419" t="s">
        <v>1440</v>
      </c>
      <c r="I323" s="1419" t="s">
        <v>1441</v>
      </c>
      <c r="J323" s="1419" t="s">
        <v>1442</v>
      </c>
      <c r="K323" s="1419" t="s">
        <v>1443</v>
      </c>
      <c r="L323" s="1419" t="s">
        <v>1444</v>
      </c>
      <c r="M323" s="1419" t="s">
        <v>1445</v>
      </c>
      <c r="N323" s="1419" t="s">
        <v>1446</v>
      </c>
      <c r="O323" s="1419" t="s">
        <v>1447</v>
      </c>
      <c r="P323" s="1419" t="s">
        <v>1448</v>
      </c>
      <c r="Q323" s="1419" t="s">
        <v>1449</v>
      </c>
      <c r="R323" s="1419" t="s">
        <v>1450</v>
      </c>
      <c r="S323" s="1419" t="s">
        <v>1451</v>
      </c>
      <c r="T323" s="1419" t="s">
        <v>1452</v>
      </c>
      <c r="U323" s="1419" t="s">
        <v>1453</v>
      </c>
      <c r="V323" s="1419" t="s">
        <v>1454</v>
      </c>
      <c r="W323" s="1419" t="s">
        <v>1455</v>
      </c>
      <c r="X323" s="1419" t="s">
        <v>1456</v>
      </c>
      <c r="Y323" s="1419" t="s">
        <v>1457</v>
      </c>
      <c r="Z323" s="1419" t="s">
        <v>1458</v>
      </c>
      <c r="AA323" s="1419" t="s">
        <v>1466</v>
      </c>
      <c r="AB323" s="1419" t="s">
        <v>1467</v>
      </c>
    </row>
    <row r="324" spans="2:28" x14ac:dyDescent="0.3">
      <c r="B324" s="1437" t="s">
        <v>1461</v>
      </c>
      <c r="C324" s="1448">
        <v>0.05</v>
      </c>
      <c r="D324" s="1448">
        <v>0.05</v>
      </c>
      <c r="E324" s="1448">
        <v>0.05</v>
      </c>
      <c r="F324" s="1448">
        <v>0.05</v>
      </c>
      <c r="G324" s="1448">
        <v>0.05</v>
      </c>
      <c r="H324" s="1448">
        <v>0.05</v>
      </c>
      <c r="I324" s="1448">
        <v>0.05</v>
      </c>
      <c r="J324" s="1448">
        <v>0.2</v>
      </c>
      <c r="K324" s="1448">
        <v>0.5</v>
      </c>
      <c r="L324" s="1448">
        <v>0.9</v>
      </c>
      <c r="M324" s="1448">
        <v>0.9</v>
      </c>
      <c r="N324" s="1448">
        <v>0.9</v>
      </c>
      <c r="O324" s="1448">
        <v>0.9</v>
      </c>
      <c r="P324" s="1448">
        <v>0.9</v>
      </c>
      <c r="Q324" s="1448">
        <v>0.9</v>
      </c>
      <c r="R324" s="1448">
        <v>0.9</v>
      </c>
      <c r="S324" s="1448">
        <v>0.9</v>
      </c>
      <c r="T324" s="1448">
        <v>0.9</v>
      </c>
      <c r="U324" s="1448">
        <v>0.6</v>
      </c>
      <c r="V324" s="1448">
        <v>0.6</v>
      </c>
      <c r="W324" s="1448">
        <v>0.5</v>
      </c>
      <c r="X324" s="1448">
        <v>0.2</v>
      </c>
      <c r="Y324" s="1448">
        <v>0.05</v>
      </c>
      <c r="Z324" s="1448">
        <v>0.05</v>
      </c>
      <c r="AA324" s="1424">
        <f>SUM(C324:Z324)</f>
        <v>11.150000000000002</v>
      </c>
      <c r="AB324" s="1425">
        <f>AA324*SUM($C$9:$C$13)</f>
        <v>2787.5000000000005</v>
      </c>
    </row>
    <row r="325" spans="2:28" x14ac:dyDescent="0.3">
      <c r="B325" s="1439" t="s">
        <v>1431</v>
      </c>
      <c r="C325" s="1449">
        <v>0.05</v>
      </c>
      <c r="D325" s="1449">
        <v>0.05</v>
      </c>
      <c r="E325" s="1449">
        <v>0.05</v>
      </c>
      <c r="F325" s="1449">
        <v>0.05</v>
      </c>
      <c r="G325" s="1449">
        <v>0.05</v>
      </c>
      <c r="H325" s="1449">
        <v>0.05</v>
      </c>
      <c r="I325" s="1449">
        <v>0.05</v>
      </c>
      <c r="J325" s="1449">
        <v>0.1</v>
      </c>
      <c r="K325" s="1449">
        <v>0.3</v>
      </c>
      <c r="L325" s="1449">
        <v>0.6</v>
      </c>
      <c r="M325" s="1449">
        <v>0.9</v>
      </c>
      <c r="N325" s="1449">
        <v>0.9</v>
      </c>
      <c r="O325" s="1449">
        <v>0.9</v>
      </c>
      <c r="P325" s="1449">
        <v>0.9</v>
      </c>
      <c r="Q325" s="1449">
        <v>0.9</v>
      </c>
      <c r="R325" s="1449">
        <v>0.9</v>
      </c>
      <c r="S325" s="1449">
        <v>0.9</v>
      </c>
      <c r="T325" s="1449">
        <v>0.9</v>
      </c>
      <c r="U325" s="1449">
        <v>0.5</v>
      </c>
      <c r="V325" s="1449">
        <v>0.3</v>
      </c>
      <c r="W325" s="1449">
        <v>0.3</v>
      </c>
      <c r="X325" s="1449">
        <v>0.1</v>
      </c>
      <c r="Y325" s="1449">
        <v>0.05</v>
      </c>
      <c r="Z325" s="1449">
        <v>0.05</v>
      </c>
      <c r="AA325" s="1428">
        <f>SUM(C325:Z325)</f>
        <v>9.8500000000000032</v>
      </c>
      <c r="AB325" s="1429">
        <f>AA325*SUM($C$14)</f>
        <v>512.20000000000016</v>
      </c>
    </row>
    <row r="326" spans="2:28" x14ac:dyDescent="0.3">
      <c r="B326" s="1439" t="s">
        <v>1432</v>
      </c>
      <c r="C326" s="1449">
        <v>0.05</v>
      </c>
      <c r="D326" s="1449">
        <v>0.05</v>
      </c>
      <c r="E326" s="1449">
        <v>0.05</v>
      </c>
      <c r="F326" s="1449">
        <v>0.05</v>
      </c>
      <c r="G326" s="1449">
        <v>0.05</v>
      </c>
      <c r="H326" s="1449">
        <v>0.05</v>
      </c>
      <c r="I326" s="1449">
        <v>0.05</v>
      </c>
      <c r="J326" s="1449">
        <v>0.05</v>
      </c>
      <c r="K326" s="1449">
        <v>0.1</v>
      </c>
      <c r="L326" s="1449">
        <v>0.1</v>
      </c>
      <c r="M326" s="1449">
        <v>0.4</v>
      </c>
      <c r="N326" s="1449">
        <v>0.4</v>
      </c>
      <c r="O326" s="1449">
        <v>0.55000000000000004</v>
      </c>
      <c r="P326" s="1449">
        <v>0.55000000000000004</v>
      </c>
      <c r="Q326" s="1449">
        <v>0.55000000000000004</v>
      </c>
      <c r="R326" s="1449">
        <v>0.55000000000000004</v>
      </c>
      <c r="S326" s="1449">
        <v>0.55000000000000004</v>
      </c>
      <c r="T326" s="1449">
        <v>0.4</v>
      </c>
      <c r="U326" s="1449">
        <v>0.2</v>
      </c>
      <c r="V326" s="1449">
        <v>0.05</v>
      </c>
      <c r="W326" s="1449">
        <v>0.05</v>
      </c>
      <c r="X326" s="1449">
        <v>0.05</v>
      </c>
      <c r="Y326" s="1449">
        <v>0.05</v>
      </c>
      <c r="Z326" s="1449">
        <v>0.05</v>
      </c>
      <c r="AA326" s="1428">
        <f>SUM(C326:Z326)</f>
        <v>4.9999999999999991</v>
      </c>
      <c r="AB326" s="1429">
        <f>AA326*$C$15</f>
        <v>259.99999999999994</v>
      </c>
    </row>
    <row r="327" spans="2:28" x14ac:dyDescent="0.3">
      <c r="B327" s="1441" t="s">
        <v>1463</v>
      </c>
      <c r="C327" s="1450">
        <v>0.05</v>
      </c>
      <c r="D327" s="1450">
        <v>0.05</v>
      </c>
      <c r="E327" s="1450">
        <v>0.05</v>
      </c>
      <c r="F327" s="1450">
        <v>0.05</v>
      </c>
      <c r="G327" s="1450">
        <v>0.05</v>
      </c>
      <c r="H327" s="1450">
        <v>0.05</v>
      </c>
      <c r="I327" s="1450">
        <v>0.05</v>
      </c>
      <c r="J327" s="1450">
        <v>0.05</v>
      </c>
      <c r="K327" s="1450">
        <v>0.1</v>
      </c>
      <c r="L327" s="1450">
        <v>0.1</v>
      </c>
      <c r="M327" s="1450">
        <v>0.4</v>
      </c>
      <c r="N327" s="1450">
        <v>0.4</v>
      </c>
      <c r="O327" s="1450">
        <v>0.55000000000000004</v>
      </c>
      <c r="P327" s="1450">
        <v>0.55000000000000004</v>
      </c>
      <c r="Q327" s="1450">
        <v>0.55000000000000004</v>
      </c>
      <c r="R327" s="1450">
        <v>0.55000000000000004</v>
      </c>
      <c r="S327" s="1450">
        <v>0.55000000000000004</v>
      </c>
      <c r="T327" s="1450">
        <v>0.4</v>
      </c>
      <c r="U327" s="1450">
        <v>0.2</v>
      </c>
      <c r="V327" s="1450">
        <v>0.05</v>
      </c>
      <c r="W327" s="1450">
        <v>0.05</v>
      </c>
      <c r="X327" s="1450">
        <v>0.05</v>
      </c>
      <c r="Y327" s="1450">
        <v>0.05</v>
      </c>
      <c r="Z327" s="1450">
        <v>0.05</v>
      </c>
      <c r="AA327" s="1432">
        <f>SUM(C327:Z327)</f>
        <v>4.9999999999999991</v>
      </c>
      <c r="AB327" s="1433">
        <f>AA327*SUM($C$8)</f>
        <v>54.999999999999993</v>
      </c>
    </row>
    <row r="328" spans="2:28" x14ac:dyDescent="0.3">
      <c r="B328" s="2102" t="s">
        <v>1468</v>
      </c>
      <c r="C328" s="2103"/>
      <c r="D328" s="2103"/>
      <c r="E328" s="2103"/>
      <c r="F328" s="2103"/>
      <c r="G328" s="2103"/>
      <c r="H328" s="2103"/>
      <c r="I328" s="2103"/>
      <c r="J328" s="2103"/>
      <c r="K328" s="2103"/>
      <c r="L328" s="2103"/>
      <c r="M328" s="2103"/>
      <c r="N328" s="2103"/>
      <c r="O328" s="2103"/>
      <c r="P328" s="2103"/>
      <c r="Q328" s="2103"/>
      <c r="R328" s="2103"/>
      <c r="S328" s="2103"/>
      <c r="T328" s="2103"/>
      <c r="U328" s="2103"/>
      <c r="V328" s="2103"/>
      <c r="W328" s="2103"/>
      <c r="X328" s="2103"/>
      <c r="Y328" s="2103"/>
      <c r="Z328" s="2103"/>
      <c r="AA328" s="2103"/>
      <c r="AB328" s="1421">
        <f>SUM(AB324:AB327)</f>
        <v>3614.7000000000007</v>
      </c>
    </row>
    <row r="329" spans="2:28" x14ac:dyDescent="0.3">
      <c r="B329" s="1395"/>
      <c r="C329" s="1395"/>
      <c r="D329" s="1395"/>
      <c r="E329" s="1395"/>
      <c r="F329" s="1395"/>
      <c r="G329" s="1395"/>
      <c r="H329" s="1395"/>
      <c r="I329" s="1395"/>
      <c r="J329" s="1395"/>
      <c r="K329" s="1395"/>
      <c r="L329" s="1395"/>
      <c r="M329" s="1395"/>
      <c r="N329" s="1395"/>
      <c r="O329" s="1395"/>
      <c r="P329" s="1395"/>
      <c r="Q329" s="1395"/>
      <c r="R329" s="1395"/>
      <c r="S329" s="1395"/>
      <c r="T329" s="1395"/>
      <c r="U329" s="1395"/>
      <c r="V329" s="1395"/>
      <c r="W329" s="1395"/>
      <c r="X329" s="1395"/>
      <c r="Y329" s="1395"/>
      <c r="Z329" s="1395"/>
      <c r="AA329" s="1395"/>
      <c r="AB329" s="1395"/>
    </row>
    <row r="330" spans="2:28" ht="15" customHeight="1" x14ac:dyDescent="0.3">
      <c r="B330" s="1395" t="s">
        <v>1434</v>
      </c>
      <c r="C330" s="2099" t="s">
        <v>1644</v>
      </c>
      <c r="D330" s="2100"/>
      <c r="E330" s="2100"/>
      <c r="F330" s="2100"/>
      <c r="G330" s="2100"/>
      <c r="H330" s="2100"/>
      <c r="I330" s="2100"/>
      <c r="J330" s="2100"/>
      <c r="K330" s="2100"/>
      <c r="L330" s="2100"/>
      <c r="M330" s="2100"/>
      <c r="N330" s="2100"/>
      <c r="O330" s="2100"/>
      <c r="P330" s="2100"/>
      <c r="Q330" s="2100"/>
      <c r="R330" s="2100"/>
      <c r="S330" s="2100"/>
      <c r="T330" s="2100"/>
      <c r="U330" s="2100"/>
      <c r="V330" s="2100"/>
      <c r="W330" s="2100"/>
      <c r="X330" s="2100"/>
      <c r="Y330" s="2100"/>
      <c r="Z330" s="2100"/>
      <c r="AA330" s="2100"/>
      <c r="AB330" s="2101"/>
    </row>
    <row r="331" spans="2:28" x14ac:dyDescent="0.3">
      <c r="B331" s="1395"/>
      <c r="C331" s="1395"/>
      <c r="D331" s="1395"/>
      <c r="E331" s="1395"/>
      <c r="F331" s="1395"/>
      <c r="G331" s="1395"/>
      <c r="H331" s="1395"/>
      <c r="I331" s="1395"/>
      <c r="J331" s="1395"/>
      <c r="K331" s="1395"/>
      <c r="L331" s="1395"/>
      <c r="M331" s="1395"/>
      <c r="N331" s="1395"/>
      <c r="O331" s="1395"/>
      <c r="P331" s="1395"/>
      <c r="Q331" s="1395"/>
      <c r="R331" s="1395"/>
      <c r="S331" s="1395"/>
      <c r="T331" s="1395"/>
      <c r="U331" s="1395"/>
      <c r="V331" s="1395"/>
      <c r="W331" s="1395"/>
      <c r="X331" s="1395"/>
      <c r="Y331" s="1395"/>
      <c r="Z331" s="1395"/>
      <c r="AA331" s="1395"/>
      <c r="AB331" s="1395"/>
    </row>
    <row r="332" spans="2:28" s="1420" customFormat="1" ht="21" customHeight="1" x14ac:dyDescent="0.3">
      <c r="B332" s="1419"/>
      <c r="C332" s="1418" t="s">
        <v>1435</v>
      </c>
      <c r="D332" s="1419" t="s">
        <v>1436</v>
      </c>
      <c r="E332" s="1419" t="s">
        <v>1437</v>
      </c>
      <c r="F332" s="1419" t="s">
        <v>1438</v>
      </c>
      <c r="G332" s="1419" t="s">
        <v>1439</v>
      </c>
      <c r="H332" s="1419" t="s">
        <v>1440</v>
      </c>
      <c r="I332" s="1419" t="s">
        <v>1441</v>
      </c>
      <c r="J332" s="1419" t="s">
        <v>1442</v>
      </c>
      <c r="K332" s="1419" t="s">
        <v>1443</v>
      </c>
      <c r="L332" s="1419" t="s">
        <v>1444</v>
      </c>
      <c r="M332" s="1419" t="s">
        <v>1445</v>
      </c>
      <c r="N332" s="1419" t="s">
        <v>1446</v>
      </c>
      <c r="O332" s="1419" t="s">
        <v>1447</v>
      </c>
      <c r="P332" s="1419" t="s">
        <v>1448</v>
      </c>
      <c r="Q332" s="1419" t="s">
        <v>1449</v>
      </c>
      <c r="R332" s="1419" t="s">
        <v>1450</v>
      </c>
      <c r="S332" s="1419" t="s">
        <v>1451</v>
      </c>
      <c r="T332" s="1419" t="s">
        <v>1452</v>
      </c>
      <c r="U332" s="1419" t="s">
        <v>1453</v>
      </c>
      <c r="V332" s="1419" t="s">
        <v>1454</v>
      </c>
      <c r="W332" s="1419" t="s">
        <v>1455</v>
      </c>
      <c r="X332" s="1419" t="s">
        <v>1456</v>
      </c>
      <c r="Y332" s="1419" t="s">
        <v>1457</v>
      </c>
      <c r="Z332" s="1419" t="s">
        <v>1458</v>
      </c>
      <c r="AA332" s="1419" t="s">
        <v>1466</v>
      </c>
      <c r="AB332" s="1419" t="s">
        <v>1467</v>
      </c>
    </row>
    <row r="333" spans="2:28" x14ac:dyDescent="0.3">
      <c r="B333" s="1437" t="s">
        <v>1461</v>
      </c>
      <c r="C333" s="1448">
        <v>0.04</v>
      </c>
      <c r="D333" s="1448">
        <v>0.05</v>
      </c>
      <c r="E333" s="1448">
        <v>0.05</v>
      </c>
      <c r="F333" s="1448">
        <v>0.04</v>
      </c>
      <c r="G333" s="1448">
        <v>0.04</v>
      </c>
      <c r="H333" s="1448">
        <v>0.04</v>
      </c>
      <c r="I333" s="1448">
        <v>0.04</v>
      </c>
      <c r="J333" s="1448">
        <v>0.15</v>
      </c>
      <c r="K333" s="1448">
        <v>0.23</v>
      </c>
      <c r="L333" s="1448">
        <v>0.32</v>
      </c>
      <c r="M333" s="1448">
        <v>0.41</v>
      </c>
      <c r="N333" s="1448">
        <v>0.56999999999999995</v>
      </c>
      <c r="O333" s="1448">
        <v>0.62</v>
      </c>
      <c r="P333" s="1448">
        <v>0.61</v>
      </c>
      <c r="Q333" s="1448">
        <v>0.5</v>
      </c>
      <c r="R333" s="1448">
        <v>0.45</v>
      </c>
      <c r="S333" s="1448">
        <v>0.46</v>
      </c>
      <c r="T333" s="1448">
        <v>0.47</v>
      </c>
      <c r="U333" s="1448">
        <v>0.42</v>
      </c>
      <c r="V333" s="1448">
        <v>0.34</v>
      </c>
      <c r="W333" s="1448">
        <v>0.33</v>
      </c>
      <c r="X333" s="1448">
        <v>0.23</v>
      </c>
      <c r="Y333" s="1448">
        <v>0.13</v>
      </c>
      <c r="Z333" s="1448">
        <v>0.08</v>
      </c>
      <c r="AA333" s="1424">
        <f>SUM(C333:Z333)</f>
        <v>6.62</v>
      </c>
      <c r="AB333" s="1425">
        <f>AA333*SUM($C$9:$C$13)</f>
        <v>1655</v>
      </c>
    </row>
    <row r="334" spans="2:28" x14ac:dyDescent="0.3">
      <c r="B334" s="1439" t="s">
        <v>1431</v>
      </c>
      <c r="C334" s="1449">
        <v>0.11</v>
      </c>
      <c r="D334" s="1449">
        <v>0.1</v>
      </c>
      <c r="E334" s="1449">
        <v>0.08</v>
      </c>
      <c r="F334" s="1449">
        <v>0.06</v>
      </c>
      <c r="G334" s="1449">
        <v>0.06</v>
      </c>
      <c r="H334" s="1449">
        <v>0.06</v>
      </c>
      <c r="I334" s="1449">
        <v>7.0000000000000007E-2</v>
      </c>
      <c r="J334" s="1449">
        <v>0.2</v>
      </c>
      <c r="K334" s="1449">
        <v>0.24</v>
      </c>
      <c r="L334" s="1449">
        <v>0.27</v>
      </c>
      <c r="M334" s="1449">
        <v>0.42</v>
      </c>
      <c r="N334" s="1449">
        <v>0.54</v>
      </c>
      <c r="O334" s="1449">
        <v>0.59</v>
      </c>
      <c r="P334" s="1449">
        <v>0.6</v>
      </c>
      <c r="Q334" s="1449">
        <v>0.49</v>
      </c>
      <c r="R334" s="1449">
        <v>0.48</v>
      </c>
      <c r="S334" s="1449">
        <v>0.47</v>
      </c>
      <c r="T334" s="1449">
        <v>0.46</v>
      </c>
      <c r="U334" s="1449">
        <v>0.44</v>
      </c>
      <c r="V334" s="1449">
        <v>0.36</v>
      </c>
      <c r="W334" s="1449">
        <v>0.28999999999999998</v>
      </c>
      <c r="X334" s="1449">
        <v>0.22</v>
      </c>
      <c r="Y334" s="1449">
        <v>0.16</v>
      </c>
      <c r="Z334" s="1449">
        <v>0.13</v>
      </c>
      <c r="AA334" s="1428">
        <f>SUM(C334:Z334)</f>
        <v>6.8999999999999995</v>
      </c>
      <c r="AB334" s="1429">
        <f>AA334*SUM($C$14)</f>
        <v>358.79999999999995</v>
      </c>
    </row>
    <row r="335" spans="2:28" x14ac:dyDescent="0.3">
      <c r="B335" s="1439" t="s">
        <v>1432</v>
      </c>
      <c r="C335" s="1449">
        <v>7.0000000000000007E-2</v>
      </c>
      <c r="D335" s="1449">
        <v>7.0000000000000007E-2</v>
      </c>
      <c r="E335" s="1449">
        <v>7.0000000000000007E-2</v>
      </c>
      <c r="F335" s="1449">
        <v>0.06</v>
      </c>
      <c r="G335" s="1449">
        <v>0.06</v>
      </c>
      <c r="H335" s="1449">
        <v>0.06</v>
      </c>
      <c r="I335" s="1449">
        <v>7.0000000000000007E-2</v>
      </c>
      <c r="J335" s="1449">
        <v>0.1</v>
      </c>
      <c r="K335" s="1449">
        <v>0.12</v>
      </c>
      <c r="L335" s="1449">
        <v>0.14000000000000001</v>
      </c>
      <c r="M335" s="1449">
        <v>0.28999999999999998</v>
      </c>
      <c r="N335" s="1449">
        <v>0.31</v>
      </c>
      <c r="O335" s="1449">
        <v>0.36</v>
      </c>
      <c r="P335" s="1449">
        <v>0.36</v>
      </c>
      <c r="Q335" s="1449">
        <v>0.34</v>
      </c>
      <c r="R335" s="1449">
        <v>0.35</v>
      </c>
      <c r="S335" s="1449">
        <v>0.37</v>
      </c>
      <c r="T335" s="1449">
        <v>0.34</v>
      </c>
      <c r="U335" s="1449">
        <v>0.25</v>
      </c>
      <c r="V335" s="1449">
        <v>0.27</v>
      </c>
      <c r="W335" s="1449">
        <v>0.21</v>
      </c>
      <c r="X335" s="1449">
        <v>0.16</v>
      </c>
      <c r="Y335" s="1449">
        <v>0.1</v>
      </c>
      <c r="Z335" s="1449">
        <v>0.06</v>
      </c>
      <c r="AA335" s="1428">
        <f>SUM(C335:Z335)</f>
        <v>4.59</v>
      </c>
      <c r="AB335" s="1429">
        <f>AA335*$C$15</f>
        <v>238.68</v>
      </c>
    </row>
    <row r="336" spans="2:28" x14ac:dyDescent="0.3">
      <c r="B336" s="1441" t="s">
        <v>1463</v>
      </c>
      <c r="C336" s="1450">
        <v>7.0000000000000007E-2</v>
      </c>
      <c r="D336" s="1450">
        <v>7.0000000000000007E-2</v>
      </c>
      <c r="E336" s="1450">
        <v>7.0000000000000007E-2</v>
      </c>
      <c r="F336" s="1450">
        <v>0.06</v>
      </c>
      <c r="G336" s="1450">
        <v>0.06</v>
      </c>
      <c r="H336" s="1450">
        <v>0.06</v>
      </c>
      <c r="I336" s="1450">
        <v>7.0000000000000007E-2</v>
      </c>
      <c r="J336" s="1450">
        <v>0.1</v>
      </c>
      <c r="K336" s="1450">
        <v>0.12</v>
      </c>
      <c r="L336" s="1450">
        <v>0.14000000000000001</v>
      </c>
      <c r="M336" s="1450">
        <v>0.28999999999999998</v>
      </c>
      <c r="N336" s="1450">
        <v>0.31</v>
      </c>
      <c r="O336" s="1450">
        <v>0.36</v>
      </c>
      <c r="P336" s="1450">
        <v>0.36</v>
      </c>
      <c r="Q336" s="1450">
        <v>0.34</v>
      </c>
      <c r="R336" s="1450">
        <v>0.35</v>
      </c>
      <c r="S336" s="1450">
        <v>0.37</v>
      </c>
      <c r="T336" s="1450">
        <v>0.34</v>
      </c>
      <c r="U336" s="1450">
        <v>0.25</v>
      </c>
      <c r="V336" s="1450">
        <v>0.27</v>
      </c>
      <c r="W336" s="1450">
        <v>0.21</v>
      </c>
      <c r="X336" s="1450">
        <v>0.16</v>
      </c>
      <c r="Y336" s="1450">
        <v>0.1</v>
      </c>
      <c r="Z336" s="1450">
        <v>0.06</v>
      </c>
      <c r="AA336" s="1432">
        <f>SUM(C336:Z336)</f>
        <v>4.59</v>
      </c>
      <c r="AB336" s="1433">
        <f>AA336*SUM($C$8)</f>
        <v>50.489999999999995</v>
      </c>
    </row>
    <row r="337" spans="2:28" x14ac:dyDescent="0.3">
      <c r="B337" s="2102" t="s">
        <v>1468</v>
      </c>
      <c r="C337" s="2103"/>
      <c r="D337" s="2103"/>
      <c r="E337" s="2103"/>
      <c r="F337" s="2103"/>
      <c r="G337" s="2103"/>
      <c r="H337" s="2103"/>
      <c r="I337" s="2103"/>
      <c r="J337" s="2103"/>
      <c r="K337" s="2103"/>
      <c r="L337" s="2103"/>
      <c r="M337" s="2103"/>
      <c r="N337" s="2103"/>
      <c r="O337" s="2103"/>
      <c r="P337" s="2103"/>
      <c r="Q337" s="2103"/>
      <c r="R337" s="2103"/>
      <c r="S337" s="2103"/>
      <c r="T337" s="2103"/>
      <c r="U337" s="2103"/>
      <c r="V337" s="2103"/>
      <c r="W337" s="2103"/>
      <c r="X337" s="2103"/>
      <c r="Y337" s="2103"/>
      <c r="Z337" s="2103"/>
      <c r="AA337" s="2103"/>
      <c r="AB337" s="1421">
        <f>SUM(AB333:AB336)</f>
        <v>2302.9699999999998</v>
      </c>
    </row>
    <row r="338" spans="2:28" x14ac:dyDescent="0.3">
      <c r="B338" s="1395"/>
      <c r="C338" s="1395"/>
      <c r="D338" s="1395"/>
      <c r="E338" s="1395"/>
      <c r="F338" s="1395"/>
      <c r="G338" s="1395"/>
      <c r="H338" s="1395"/>
      <c r="I338" s="1395"/>
      <c r="J338" s="1395"/>
      <c r="K338" s="1395"/>
      <c r="L338" s="1395"/>
      <c r="M338" s="1395"/>
      <c r="N338" s="1395"/>
      <c r="O338" s="1395"/>
      <c r="P338" s="1395"/>
      <c r="Q338" s="1395"/>
      <c r="R338" s="1395"/>
      <c r="S338" s="1395"/>
      <c r="T338" s="1395"/>
      <c r="U338" s="1395"/>
      <c r="V338" s="1395"/>
      <c r="W338" s="1395"/>
      <c r="X338" s="1395"/>
      <c r="Y338" s="1395"/>
      <c r="Z338" s="1395"/>
      <c r="AA338" s="1395"/>
      <c r="AB338" s="1395"/>
    </row>
    <row r="339" spans="2:28" ht="15" customHeight="1" x14ac:dyDescent="0.3">
      <c r="B339" s="1395" t="s">
        <v>1434</v>
      </c>
      <c r="C339" s="2099" t="s">
        <v>1645</v>
      </c>
      <c r="D339" s="2100"/>
      <c r="E339" s="2100"/>
      <c r="F339" s="2100"/>
      <c r="G339" s="2100"/>
      <c r="H339" s="2100"/>
      <c r="I339" s="2100"/>
      <c r="J339" s="2100"/>
      <c r="K339" s="2100"/>
      <c r="L339" s="2100"/>
      <c r="M339" s="2100"/>
      <c r="N339" s="2100"/>
      <c r="O339" s="2100"/>
      <c r="P339" s="2100"/>
      <c r="Q339" s="2100"/>
      <c r="R339" s="2100"/>
      <c r="S339" s="2100"/>
      <c r="T339" s="2100"/>
      <c r="U339" s="2100"/>
      <c r="V339" s="2100"/>
      <c r="W339" s="2100"/>
      <c r="X339" s="2100"/>
      <c r="Y339" s="2100"/>
      <c r="Z339" s="2100"/>
      <c r="AA339" s="2100"/>
      <c r="AB339" s="2101"/>
    </row>
    <row r="340" spans="2:28" x14ac:dyDescent="0.3">
      <c r="B340" s="1395"/>
      <c r="C340" s="1395"/>
      <c r="D340" s="1395"/>
      <c r="E340" s="1395"/>
      <c r="F340" s="1395"/>
      <c r="G340" s="1395"/>
      <c r="H340" s="1395"/>
      <c r="I340" s="1395"/>
      <c r="J340" s="1395"/>
      <c r="K340" s="1395"/>
      <c r="L340" s="1395"/>
      <c r="M340" s="1395"/>
      <c r="N340" s="1395"/>
      <c r="O340" s="1395"/>
      <c r="P340" s="1395"/>
      <c r="Q340" s="1395"/>
      <c r="R340" s="1395"/>
      <c r="S340" s="1395"/>
      <c r="T340" s="1395"/>
      <c r="U340" s="1395"/>
      <c r="V340" s="1395"/>
      <c r="W340" s="1395"/>
      <c r="X340" s="1395"/>
      <c r="Y340" s="1395"/>
      <c r="Z340" s="1395"/>
      <c r="AA340" s="1395"/>
      <c r="AB340" s="1395"/>
    </row>
    <row r="341" spans="2:28" s="1420" customFormat="1" ht="21" customHeight="1" x14ac:dyDescent="0.3">
      <c r="B341" s="1419"/>
      <c r="C341" s="1418" t="s">
        <v>1435</v>
      </c>
      <c r="D341" s="1419" t="s">
        <v>1436</v>
      </c>
      <c r="E341" s="1419" t="s">
        <v>1437</v>
      </c>
      <c r="F341" s="1419" t="s">
        <v>1438</v>
      </c>
      <c r="G341" s="1419" t="s">
        <v>1439</v>
      </c>
      <c r="H341" s="1419" t="s">
        <v>1440</v>
      </c>
      <c r="I341" s="1419" t="s">
        <v>1441</v>
      </c>
      <c r="J341" s="1419" t="s">
        <v>1442</v>
      </c>
      <c r="K341" s="1419" t="s">
        <v>1443</v>
      </c>
      <c r="L341" s="1419" t="s">
        <v>1444</v>
      </c>
      <c r="M341" s="1419" t="s">
        <v>1445</v>
      </c>
      <c r="N341" s="1419" t="s">
        <v>1446</v>
      </c>
      <c r="O341" s="1419" t="s">
        <v>1447</v>
      </c>
      <c r="P341" s="1419" t="s">
        <v>1448</v>
      </c>
      <c r="Q341" s="1419" t="s">
        <v>1449</v>
      </c>
      <c r="R341" s="1419" t="s">
        <v>1450</v>
      </c>
      <c r="S341" s="1419" t="s">
        <v>1451</v>
      </c>
      <c r="T341" s="1419" t="s">
        <v>1452</v>
      </c>
      <c r="U341" s="1419" t="s">
        <v>1453</v>
      </c>
      <c r="V341" s="1419" t="s">
        <v>1454</v>
      </c>
      <c r="W341" s="1419" t="s">
        <v>1455</v>
      </c>
      <c r="X341" s="1419" t="s">
        <v>1456</v>
      </c>
      <c r="Y341" s="1419" t="s">
        <v>1457</v>
      </c>
      <c r="Z341" s="1419" t="s">
        <v>1458</v>
      </c>
      <c r="AA341" s="1419" t="s">
        <v>1466</v>
      </c>
      <c r="AB341" s="1419" t="s">
        <v>1467</v>
      </c>
    </row>
    <row r="342" spans="2:28" x14ac:dyDescent="0.3">
      <c r="B342" s="1437" t="s">
        <v>1461</v>
      </c>
      <c r="C342" s="1448">
        <v>0</v>
      </c>
      <c r="D342" s="1448">
        <v>0</v>
      </c>
      <c r="E342" s="1448">
        <v>0</v>
      </c>
      <c r="F342" s="1448">
        <v>0</v>
      </c>
      <c r="G342" s="1448">
        <v>0</v>
      </c>
      <c r="H342" s="1448">
        <v>0</v>
      </c>
      <c r="I342" s="1448">
        <v>0</v>
      </c>
      <c r="J342" s="1448">
        <v>0.12</v>
      </c>
      <c r="K342" s="1448">
        <v>0.22</v>
      </c>
      <c r="L342" s="1448">
        <v>0.64</v>
      </c>
      <c r="M342" s="1448">
        <v>0.74</v>
      </c>
      <c r="N342" s="1448">
        <v>0.68</v>
      </c>
      <c r="O342" s="1448">
        <v>0.68</v>
      </c>
      <c r="P342" s="1448">
        <v>0.71</v>
      </c>
      <c r="Q342" s="1448">
        <v>0.72</v>
      </c>
      <c r="R342" s="1448">
        <v>0.72</v>
      </c>
      <c r="S342" s="1448">
        <v>0.73</v>
      </c>
      <c r="T342" s="1448">
        <v>0.68</v>
      </c>
      <c r="U342" s="1448">
        <v>0.68</v>
      </c>
      <c r="V342" s="1448">
        <v>0.57999999999999996</v>
      </c>
      <c r="W342" s="1448">
        <v>0.54</v>
      </c>
      <c r="X342" s="1448">
        <v>0</v>
      </c>
      <c r="Y342" s="1448">
        <v>0</v>
      </c>
      <c r="Z342" s="1448">
        <v>0</v>
      </c>
      <c r="AA342" s="1424">
        <f>SUM(C342:Z342)</f>
        <v>8.4399999999999977</v>
      </c>
      <c r="AB342" s="1425">
        <f>AA342*SUM($C$9:$C$13)</f>
        <v>2109.9999999999995</v>
      </c>
    </row>
    <row r="343" spans="2:28" x14ac:dyDescent="0.3">
      <c r="B343" s="1439" t="s">
        <v>1431</v>
      </c>
      <c r="C343" s="1449">
        <v>0</v>
      </c>
      <c r="D343" s="1449">
        <v>0</v>
      </c>
      <c r="E343" s="1449">
        <v>0</v>
      </c>
      <c r="F343" s="1449">
        <v>0</v>
      </c>
      <c r="G343" s="1449">
        <v>0</v>
      </c>
      <c r="H343" s="1449">
        <v>0</v>
      </c>
      <c r="I343" s="1449">
        <v>0</v>
      </c>
      <c r="J343" s="1449">
        <v>0.09</v>
      </c>
      <c r="K343" s="1449">
        <v>0.21</v>
      </c>
      <c r="L343" s="1449">
        <v>0.56000000000000005</v>
      </c>
      <c r="M343" s="1449">
        <v>0.66</v>
      </c>
      <c r="N343" s="1449">
        <v>0.68</v>
      </c>
      <c r="O343" s="1449">
        <v>0.68</v>
      </c>
      <c r="P343" s="1449">
        <v>0.69</v>
      </c>
      <c r="Q343" s="1449">
        <v>0.7</v>
      </c>
      <c r="R343" s="1449">
        <v>0.69</v>
      </c>
      <c r="S343" s="1449">
        <v>0.66</v>
      </c>
      <c r="T343" s="1449">
        <v>0.57999999999999996</v>
      </c>
      <c r="U343" s="1449">
        <v>0.47</v>
      </c>
      <c r="V343" s="1449">
        <v>0.43</v>
      </c>
      <c r="W343" s="1449">
        <v>0.43</v>
      </c>
      <c r="X343" s="1449">
        <v>0.08</v>
      </c>
      <c r="Y343" s="1449">
        <v>0</v>
      </c>
      <c r="Z343" s="1449">
        <v>0</v>
      </c>
      <c r="AA343" s="1428">
        <f>SUM(C343:Z343)</f>
        <v>7.61</v>
      </c>
      <c r="AB343" s="1429">
        <f>AA343*SUM($C$14)</f>
        <v>395.72</v>
      </c>
    </row>
    <row r="344" spans="2:28" x14ac:dyDescent="0.3">
      <c r="B344" s="1439" t="s">
        <v>1432</v>
      </c>
      <c r="C344" s="1449">
        <v>0</v>
      </c>
      <c r="D344" s="1449">
        <v>0</v>
      </c>
      <c r="E344" s="1449">
        <v>0</v>
      </c>
      <c r="F344" s="1449">
        <v>0</v>
      </c>
      <c r="G344" s="1449">
        <v>0</v>
      </c>
      <c r="H344" s="1449">
        <v>0</v>
      </c>
      <c r="I344" s="1449">
        <v>0</v>
      </c>
      <c r="J344" s="1449">
        <v>0</v>
      </c>
      <c r="K344" s="1449">
        <v>0</v>
      </c>
      <c r="L344" s="1449">
        <v>0.11</v>
      </c>
      <c r="M344" s="1449">
        <v>0.13</v>
      </c>
      <c r="N344" s="1449">
        <v>0.35</v>
      </c>
      <c r="O344" s="1449">
        <v>0.37</v>
      </c>
      <c r="P344" s="1449">
        <v>0.37</v>
      </c>
      <c r="Q344" s="1449">
        <v>0.39</v>
      </c>
      <c r="R344" s="1449">
        <v>0.41</v>
      </c>
      <c r="S344" s="1449">
        <v>0.38</v>
      </c>
      <c r="T344" s="1449">
        <v>0.34</v>
      </c>
      <c r="U344" s="1449">
        <v>0.03</v>
      </c>
      <c r="V344" s="1449">
        <v>0</v>
      </c>
      <c r="W344" s="1449">
        <v>0</v>
      </c>
      <c r="X344" s="1449">
        <v>0</v>
      </c>
      <c r="Y344" s="1449">
        <v>0</v>
      </c>
      <c r="Z344" s="1449">
        <v>0</v>
      </c>
      <c r="AA344" s="1428">
        <f>SUM(C344:Z344)</f>
        <v>2.88</v>
      </c>
      <c r="AB344" s="1429">
        <f>AA344*$C$15</f>
        <v>149.76</v>
      </c>
    </row>
    <row r="345" spans="2:28" x14ac:dyDescent="0.3">
      <c r="B345" s="1441" t="s">
        <v>1463</v>
      </c>
      <c r="C345" s="1450">
        <v>0</v>
      </c>
      <c r="D345" s="1450">
        <v>0</v>
      </c>
      <c r="E345" s="1450">
        <v>0</v>
      </c>
      <c r="F345" s="1450">
        <v>0</v>
      </c>
      <c r="G345" s="1450">
        <v>0</v>
      </c>
      <c r="H345" s="1450">
        <v>0</v>
      </c>
      <c r="I345" s="1450">
        <v>0</v>
      </c>
      <c r="J345" s="1450">
        <v>0</v>
      </c>
      <c r="K345" s="1450">
        <v>0</v>
      </c>
      <c r="L345" s="1450">
        <v>0.11</v>
      </c>
      <c r="M345" s="1450">
        <v>0.13</v>
      </c>
      <c r="N345" s="1450">
        <v>0.35</v>
      </c>
      <c r="O345" s="1450">
        <v>0.37</v>
      </c>
      <c r="P345" s="1450">
        <v>0.37</v>
      </c>
      <c r="Q345" s="1450">
        <v>0.39</v>
      </c>
      <c r="R345" s="1450">
        <v>0.41</v>
      </c>
      <c r="S345" s="1450">
        <v>0.38</v>
      </c>
      <c r="T345" s="1450">
        <v>0.34</v>
      </c>
      <c r="U345" s="1450">
        <v>0.03</v>
      </c>
      <c r="V345" s="1450">
        <v>0</v>
      </c>
      <c r="W345" s="1450">
        <v>0</v>
      </c>
      <c r="X345" s="1450">
        <v>0</v>
      </c>
      <c r="Y345" s="1450">
        <v>0</v>
      </c>
      <c r="Z345" s="1450">
        <v>0</v>
      </c>
      <c r="AA345" s="1432">
        <f>SUM(C345:Z345)</f>
        <v>2.88</v>
      </c>
      <c r="AB345" s="1433">
        <f>AA345*SUM($C$8)</f>
        <v>31.68</v>
      </c>
    </row>
    <row r="346" spans="2:28" x14ac:dyDescent="0.3">
      <c r="B346" s="2102" t="s">
        <v>1468</v>
      </c>
      <c r="C346" s="2103"/>
      <c r="D346" s="2103"/>
      <c r="E346" s="2103"/>
      <c r="F346" s="2103"/>
      <c r="G346" s="2103"/>
      <c r="H346" s="2103"/>
      <c r="I346" s="2103"/>
      <c r="J346" s="2103"/>
      <c r="K346" s="2103"/>
      <c r="L346" s="2103"/>
      <c r="M346" s="2103"/>
      <c r="N346" s="2103"/>
      <c r="O346" s="2103"/>
      <c r="P346" s="2103"/>
      <c r="Q346" s="2103"/>
      <c r="R346" s="2103"/>
      <c r="S346" s="2103"/>
      <c r="T346" s="2103"/>
      <c r="U346" s="2103"/>
      <c r="V346" s="2103"/>
      <c r="W346" s="2103"/>
      <c r="X346" s="2103"/>
      <c r="Y346" s="2103"/>
      <c r="Z346" s="2103"/>
      <c r="AA346" s="2103"/>
      <c r="AB346" s="1421">
        <f>SUM(AB342:AB345)</f>
        <v>2687.1599999999994</v>
      </c>
    </row>
    <row r="347" spans="2:28" x14ac:dyDescent="0.3">
      <c r="B347" s="1395"/>
      <c r="C347" s="1395"/>
      <c r="D347" s="1395"/>
      <c r="E347" s="1395"/>
      <c r="F347" s="1395"/>
      <c r="G347" s="1395"/>
      <c r="H347" s="1395"/>
      <c r="I347" s="1395"/>
      <c r="J347" s="1395"/>
      <c r="K347" s="1395"/>
      <c r="L347" s="1395"/>
      <c r="M347" s="1395"/>
      <c r="N347" s="1395"/>
      <c r="O347" s="1395"/>
      <c r="P347" s="1395"/>
      <c r="Q347" s="1395"/>
      <c r="R347" s="1395"/>
      <c r="S347" s="1395"/>
      <c r="T347" s="1395"/>
      <c r="U347" s="1395"/>
      <c r="V347" s="1395"/>
      <c r="W347" s="1395"/>
      <c r="X347" s="1395"/>
      <c r="Y347" s="1395"/>
      <c r="Z347" s="1395"/>
      <c r="AA347" s="1395"/>
      <c r="AB347" s="1395"/>
    </row>
    <row r="348" spans="2:28" x14ac:dyDescent="0.3">
      <c r="B348" s="1405" t="s">
        <v>1646</v>
      </c>
      <c r="C348" s="1395"/>
      <c r="D348" s="1395"/>
      <c r="E348" s="1395"/>
      <c r="F348" s="1395"/>
      <c r="G348" s="1395"/>
      <c r="H348" s="1395"/>
      <c r="I348" s="1395"/>
      <c r="J348" s="1395"/>
      <c r="K348" s="1395"/>
      <c r="L348" s="1395"/>
      <c r="M348" s="1395"/>
      <c r="N348" s="1395"/>
      <c r="O348" s="1395"/>
      <c r="P348" s="1395"/>
      <c r="Q348" s="1395"/>
      <c r="R348" s="1395"/>
      <c r="S348" s="1395"/>
      <c r="T348" s="1395"/>
      <c r="U348" s="1395"/>
      <c r="V348" s="1395"/>
      <c r="W348" s="1395"/>
      <c r="X348" s="1395"/>
      <c r="Y348" s="1395"/>
      <c r="Z348" s="1395"/>
      <c r="AA348" s="1395"/>
      <c r="AB348" s="1395"/>
    </row>
    <row r="349" spans="2:28" x14ac:dyDescent="0.3">
      <c r="B349" s="1395"/>
      <c r="C349" s="1395"/>
      <c r="D349" s="1395"/>
      <c r="E349" s="1395"/>
      <c r="F349" s="1395"/>
      <c r="G349" s="1395"/>
      <c r="H349" s="1395"/>
      <c r="I349" s="1395"/>
      <c r="J349" s="1395"/>
      <c r="K349" s="1395"/>
      <c r="L349" s="1395"/>
      <c r="M349" s="1395"/>
      <c r="N349" s="1395"/>
      <c r="O349" s="1395"/>
      <c r="P349" s="1395"/>
      <c r="Q349" s="1395"/>
      <c r="R349" s="1395"/>
      <c r="S349" s="1395"/>
      <c r="T349" s="1395"/>
      <c r="U349" s="1395"/>
      <c r="V349" s="1395"/>
      <c r="W349" s="1395"/>
      <c r="X349" s="1395"/>
      <c r="Y349" s="1395"/>
      <c r="Z349" s="1395"/>
      <c r="AA349" s="1395"/>
      <c r="AB349" s="1395"/>
    </row>
    <row r="350" spans="2:28" ht="15" customHeight="1" x14ac:dyDescent="0.3">
      <c r="B350" s="1395" t="s">
        <v>1434</v>
      </c>
      <c r="C350" s="2099" t="s">
        <v>1647</v>
      </c>
      <c r="D350" s="2100"/>
      <c r="E350" s="2100"/>
      <c r="F350" s="2100"/>
      <c r="G350" s="2100"/>
      <c r="H350" s="2100"/>
      <c r="I350" s="2100"/>
      <c r="J350" s="2100"/>
      <c r="K350" s="2100"/>
      <c r="L350" s="2100"/>
      <c r="M350" s="2100"/>
      <c r="N350" s="2100"/>
      <c r="O350" s="2100"/>
      <c r="P350" s="2100"/>
      <c r="Q350" s="2100"/>
      <c r="R350" s="2100"/>
      <c r="S350" s="2100"/>
      <c r="T350" s="2100"/>
      <c r="U350" s="2100"/>
      <c r="V350" s="2100"/>
      <c r="W350" s="2100"/>
      <c r="X350" s="2100"/>
      <c r="Y350" s="2100"/>
      <c r="Z350" s="2100"/>
      <c r="AA350" s="2100"/>
      <c r="AB350" s="2101"/>
    </row>
    <row r="351" spans="2:28" x14ac:dyDescent="0.3">
      <c r="B351" s="1395"/>
      <c r="C351" s="1395"/>
      <c r="D351" s="1395"/>
      <c r="E351" s="1395"/>
      <c r="F351" s="1395"/>
      <c r="G351" s="1395"/>
      <c r="H351" s="1395"/>
      <c r="I351" s="1395"/>
      <c r="J351" s="1395"/>
      <c r="K351" s="1395"/>
      <c r="L351" s="1395"/>
      <c r="M351" s="1395"/>
      <c r="N351" s="1395"/>
      <c r="O351" s="1395"/>
      <c r="P351" s="1395"/>
      <c r="Q351" s="1395"/>
      <c r="R351" s="1395"/>
      <c r="S351" s="1395"/>
      <c r="T351" s="1395"/>
      <c r="U351" s="1395"/>
      <c r="V351" s="1395"/>
      <c r="W351" s="1395"/>
      <c r="X351" s="1395"/>
      <c r="Y351" s="1395"/>
      <c r="Z351" s="1395"/>
      <c r="AA351" s="1395"/>
      <c r="AB351" s="1395"/>
    </row>
    <row r="352" spans="2:28" s="1420" customFormat="1" ht="21" customHeight="1" x14ac:dyDescent="0.3">
      <c r="B352" s="1419"/>
      <c r="C352" s="1418" t="s">
        <v>1435</v>
      </c>
      <c r="D352" s="1419" t="s">
        <v>1436</v>
      </c>
      <c r="E352" s="1419" t="s">
        <v>1437</v>
      </c>
      <c r="F352" s="1419" t="s">
        <v>1438</v>
      </c>
      <c r="G352" s="1419" t="s">
        <v>1439</v>
      </c>
      <c r="H352" s="1419" t="s">
        <v>1440</v>
      </c>
      <c r="I352" s="1419" t="s">
        <v>1441</v>
      </c>
      <c r="J352" s="1419" t="s">
        <v>1442</v>
      </c>
      <c r="K352" s="1419" t="s">
        <v>1443</v>
      </c>
      <c r="L352" s="1419" t="s">
        <v>1444</v>
      </c>
      <c r="M352" s="1419" t="s">
        <v>1445</v>
      </c>
      <c r="N352" s="1419" t="s">
        <v>1446</v>
      </c>
      <c r="O352" s="1419" t="s">
        <v>1447</v>
      </c>
      <c r="P352" s="1419" t="s">
        <v>1448</v>
      </c>
      <c r="Q352" s="1419" t="s">
        <v>1449</v>
      </c>
      <c r="R352" s="1419" t="s">
        <v>1450</v>
      </c>
      <c r="S352" s="1419" t="s">
        <v>1451</v>
      </c>
      <c r="T352" s="1419" t="s">
        <v>1452</v>
      </c>
      <c r="U352" s="1419" t="s">
        <v>1453</v>
      </c>
      <c r="V352" s="1419" t="s">
        <v>1454</v>
      </c>
      <c r="W352" s="1419" t="s">
        <v>1455</v>
      </c>
      <c r="X352" s="1419" t="s">
        <v>1456</v>
      </c>
      <c r="Y352" s="1419" t="s">
        <v>1457</v>
      </c>
      <c r="Z352" s="1419" t="s">
        <v>1458</v>
      </c>
      <c r="AA352" s="1419" t="s">
        <v>1459</v>
      </c>
      <c r="AB352" s="1419" t="s">
        <v>1460</v>
      </c>
    </row>
    <row r="353" spans="2:28" x14ac:dyDescent="0.3">
      <c r="B353" s="1437" t="s">
        <v>1461</v>
      </c>
      <c r="C353" s="1451">
        <v>1</v>
      </c>
      <c r="D353" s="1451">
        <v>1</v>
      </c>
      <c r="E353" s="1451">
        <v>1</v>
      </c>
      <c r="F353" s="1451">
        <v>0</v>
      </c>
      <c r="G353" s="1451">
        <v>0</v>
      </c>
      <c r="H353" s="1451">
        <v>0</v>
      </c>
      <c r="I353" s="1451">
        <v>0</v>
      </c>
      <c r="J353" s="1451">
        <v>1</v>
      </c>
      <c r="K353" s="1451">
        <v>1</v>
      </c>
      <c r="L353" s="1451">
        <v>1</v>
      </c>
      <c r="M353" s="1451">
        <v>1</v>
      </c>
      <c r="N353" s="1451">
        <v>1</v>
      </c>
      <c r="O353" s="1451">
        <v>1</v>
      </c>
      <c r="P353" s="1451">
        <v>1</v>
      </c>
      <c r="Q353" s="1451">
        <v>1</v>
      </c>
      <c r="R353" s="1451">
        <v>1</v>
      </c>
      <c r="S353" s="1451">
        <v>1</v>
      </c>
      <c r="T353" s="1451">
        <v>1</v>
      </c>
      <c r="U353" s="1451">
        <v>1</v>
      </c>
      <c r="V353" s="1451">
        <v>1</v>
      </c>
      <c r="W353" s="1451">
        <v>1</v>
      </c>
      <c r="X353" s="1451">
        <v>1</v>
      </c>
      <c r="Y353" s="1451">
        <v>1</v>
      </c>
      <c r="Z353" s="1451">
        <v>1</v>
      </c>
      <c r="AA353" s="1424">
        <f>SUM(C353:Z353)</f>
        <v>20</v>
      </c>
      <c r="AB353" s="1425">
        <f>AA353*SUM($C$9:$C$13)</f>
        <v>5000</v>
      </c>
    </row>
    <row r="354" spans="2:28" x14ac:dyDescent="0.3">
      <c r="B354" s="1439" t="s">
        <v>1431</v>
      </c>
      <c r="C354" s="1452">
        <v>1</v>
      </c>
      <c r="D354" s="1452">
        <v>1</v>
      </c>
      <c r="E354" s="1452">
        <v>1</v>
      </c>
      <c r="F354" s="1452">
        <v>0</v>
      </c>
      <c r="G354" s="1452">
        <v>0</v>
      </c>
      <c r="H354" s="1452">
        <v>0</v>
      </c>
      <c r="I354" s="1452">
        <v>0</v>
      </c>
      <c r="J354" s="1452">
        <v>0</v>
      </c>
      <c r="K354" s="1452">
        <v>0</v>
      </c>
      <c r="L354" s="1452">
        <v>1</v>
      </c>
      <c r="M354" s="1452">
        <v>1</v>
      </c>
      <c r="N354" s="1452">
        <v>1</v>
      </c>
      <c r="O354" s="1452">
        <v>1</v>
      </c>
      <c r="P354" s="1452">
        <v>1</v>
      </c>
      <c r="Q354" s="1452">
        <v>1</v>
      </c>
      <c r="R354" s="1452">
        <v>1</v>
      </c>
      <c r="S354" s="1452">
        <v>1</v>
      </c>
      <c r="T354" s="1452">
        <v>1</v>
      </c>
      <c r="U354" s="1452">
        <v>1</v>
      </c>
      <c r="V354" s="1452">
        <v>1</v>
      </c>
      <c r="W354" s="1452">
        <v>1</v>
      </c>
      <c r="X354" s="1452">
        <v>1</v>
      </c>
      <c r="Y354" s="1452">
        <v>1</v>
      </c>
      <c r="Z354" s="1452">
        <v>1</v>
      </c>
      <c r="AA354" s="1428">
        <f>SUM(C354:Z354)</f>
        <v>18</v>
      </c>
      <c r="AB354" s="1429">
        <f>AA354*SUM($C$14)</f>
        <v>936</v>
      </c>
    </row>
    <row r="355" spans="2:28" x14ac:dyDescent="0.3">
      <c r="B355" s="1439" t="s">
        <v>1432</v>
      </c>
      <c r="C355" s="1452">
        <v>1</v>
      </c>
      <c r="D355" s="1452">
        <v>1</v>
      </c>
      <c r="E355" s="1452">
        <v>1</v>
      </c>
      <c r="F355" s="1452">
        <v>0</v>
      </c>
      <c r="G355" s="1452">
        <v>0</v>
      </c>
      <c r="H355" s="1452">
        <v>0</v>
      </c>
      <c r="I355" s="1452">
        <v>0</v>
      </c>
      <c r="J355" s="1452">
        <v>0</v>
      </c>
      <c r="K355" s="1452">
        <v>0</v>
      </c>
      <c r="L355" s="1452">
        <v>0</v>
      </c>
      <c r="M355" s="1452">
        <v>1</v>
      </c>
      <c r="N355" s="1452">
        <v>1</v>
      </c>
      <c r="O355" s="1452">
        <v>1</v>
      </c>
      <c r="P355" s="1452">
        <v>1</v>
      </c>
      <c r="Q355" s="1452">
        <v>1</v>
      </c>
      <c r="R355" s="1452">
        <v>1</v>
      </c>
      <c r="S355" s="1452">
        <v>1</v>
      </c>
      <c r="T355" s="1452">
        <v>1</v>
      </c>
      <c r="U355" s="1452">
        <v>1</v>
      </c>
      <c r="V355" s="1452">
        <v>1</v>
      </c>
      <c r="W355" s="1452">
        <v>1</v>
      </c>
      <c r="X355" s="1452">
        <v>1</v>
      </c>
      <c r="Y355" s="1452">
        <v>1</v>
      </c>
      <c r="Z355" s="1452">
        <v>1</v>
      </c>
      <c r="AA355" s="1428">
        <f>SUM(C355:Z355)</f>
        <v>17</v>
      </c>
      <c r="AB355" s="1429">
        <f>AA355*$C$15</f>
        <v>884</v>
      </c>
    </row>
    <row r="356" spans="2:28" x14ac:dyDescent="0.3">
      <c r="B356" s="1441" t="s">
        <v>1463</v>
      </c>
      <c r="C356" s="1453">
        <v>1</v>
      </c>
      <c r="D356" s="1453">
        <v>1</v>
      </c>
      <c r="E356" s="1453">
        <v>1</v>
      </c>
      <c r="F356" s="1453">
        <v>0</v>
      </c>
      <c r="G356" s="1453">
        <v>0</v>
      </c>
      <c r="H356" s="1453">
        <v>0</v>
      </c>
      <c r="I356" s="1453">
        <v>0</v>
      </c>
      <c r="J356" s="1453">
        <v>0</v>
      </c>
      <c r="K356" s="1453">
        <v>0</v>
      </c>
      <c r="L356" s="1453">
        <v>0</v>
      </c>
      <c r="M356" s="1453">
        <v>1</v>
      </c>
      <c r="N356" s="1453">
        <v>1</v>
      </c>
      <c r="O356" s="1453">
        <v>1</v>
      </c>
      <c r="P356" s="1453">
        <v>1</v>
      </c>
      <c r="Q356" s="1453">
        <v>1</v>
      </c>
      <c r="R356" s="1453">
        <v>1</v>
      </c>
      <c r="S356" s="1453">
        <v>1</v>
      </c>
      <c r="T356" s="1453">
        <v>1</v>
      </c>
      <c r="U356" s="1453">
        <v>1</v>
      </c>
      <c r="V356" s="1453">
        <v>1</v>
      </c>
      <c r="W356" s="1453">
        <v>1</v>
      </c>
      <c r="X356" s="1453">
        <v>1</v>
      </c>
      <c r="Y356" s="1453">
        <v>1</v>
      </c>
      <c r="Z356" s="1453">
        <v>1</v>
      </c>
      <c r="AA356" s="1432">
        <f>SUM(C356:Z356)</f>
        <v>17</v>
      </c>
      <c r="AB356" s="1433">
        <f>AA356*SUM($C$8)</f>
        <v>187</v>
      </c>
    </row>
    <row r="357" spans="2:28" x14ac:dyDescent="0.3">
      <c r="B357" s="2102" t="s">
        <v>1464</v>
      </c>
      <c r="C357" s="2103"/>
      <c r="D357" s="2103"/>
      <c r="E357" s="2103"/>
      <c r="F357" s="2103"/>
      <c r="G357" s="2103"/>
      <c r="H357" s="2103"/>
      <c r="I357" s="2103"/>
      <c r="J357" s="2103"/>
      <c r="K357" s="2103"/>
      <c r="L357" s="2103"/>
      <c r="M357" s="2103"/>
      <c r="N357" s="2103"/>
      <c r="O357" s="2103"/>
      <c r="P357" s="2103"/>
      <c r="Q357" s="2103"/>
      <c r="R357" s="2103"/>
      <c r="S357" s="2103"/>
      <c r="T357" s="2103"/>
      <c r="U357" s="2103"/>
      <c r="V357" s="2103"/>
      <c r="W357" s="2103"/>
      <c r="X357" s="2103"/>
      <c r="Y357" s="2103"/>
      <c r="Z357" s="2103"/>
      <c r="AA357" s="2103"/>
      <c r="AB357" s="1421">
        <f>SUM(AB353:AB356)</f>
        <v>7007</v>
      </c>
    </row>
    <row r="358" spans="2:28" x14ac:dyDescent="0.3">
      <c r="B358" s="1395"/>
      <c r="C358" s="1395"/>
      <c r="D358" s="1395"/>
      <c r="E358" s="1395"/>
      <c r="F358" s="1395"/>
      <c r="G358" s="1395"/>
      <c r="H358" s="1395"/>
      <c r="I358" s="1395"/>
      <c r="J358" s="1395"/>
      <c r="K358" s="1395"/>
      <c r="L358" s="1395"/>
      <c r="M358" s="1395"/>
      <c r="N358" s="1395"/>
      <c r="O358" s="1395"/>
      <c r="P358" s="1395"/>
      <c r="Q358" s="1395"/>
      <c r="R358" s="1395"/>
      <c r="S358" s="1395"/>
      <c r="T358" s="1395"/>
      <c r="U358" s="1395"/>
      <c r="V358" s="1395"/>
      <c r="W358" s="1395"/>
      <c r="X358" s="1395"/>
      <c r="Y358" s="1395"/>
      <c r="Z358" s="1395"/>
      <c r="AA358" s="1395"/>
      <c r="AB358" s="1395"/>
    </row>
    <row r="359" spans="2:28" ht="15" customHeight="1" x14ac:dyDescent="0.3">
      <c r="B359" s="1395" t="s">
        <v>1434</v>
      </c>
      <c r="C359" s="2099" t="s">
        <v>1648</v>
      </c>
      <c r="D359" s="2100"/>
      <c r="E359" s="2100"/>
      <c r="F359" s="2100"/>
      <c r="G359" s="2100"/>
      <c r="H359" s="2100"/>
      <c r="I359" s="2100"/>
      <c r="J359" s="2100"/>
      <c r="K359" s="2100"/>
      <c r="L359" s="2100"/>
      <c r="M359" s="2100"/>
      <c r="N359" s="2100"/>
      <c r="O359" s="2100"/>
      <c r="P359" s="2100"/>
      <c r="Q359" s="2100"/>
      <c r="R359" s="2100"/>
      <c r="S359" s="2100"/>
      <c r="T359" s="2100"/>
      <c r="U359" s="2100"/>
      <c r="V359" s="2100"/>
      <c r="W359" s="2100"/>
      <c r="X359" s="2100"/>
      <c r="Y359" s="2100"/>
      <c r="Z359" s="2100"/>
      <c r="AA359" s="2100"/>
      <c r="AB359" s="2101"/>
    </row>
    <row r="360" spans="2:28" x14ac:dyDescent="0.3">
      <c r="B360" s="1395"/>
      <c r="C360" s="1395"/>
      <c r="D360" s="1395"/>
      <c r="E360" s="1395"/>
      <c r="F360" s="1395"/>
      <c r="G360" s="1395"/>
      <c r="H360" s="1395"/>
      <c r="I360" s="1395"/>
      <c r="J360" s="1395"/>
      <c r="K360" s="1395"/>
      <c r="L360" s="1395"/>
      <c r="M360" s="1395"/>
      <c r="N360" s="1395"/>
      <c r="O360" s="1395"/>
      <c r="P360" s="1395"/>
      <c r="Q360" s="1395"/>
      <c r="R360" s="1395"/>
      <c r="S360" s="1395"/>
      <c r="T360" s="1395"/>
      <c r="U360" s="1395"/>
      <c r="V360" s="1395"/>
      <c r="W360" s="1395"/>
      <c r="X360" s="1395"/>
      <c r="Y360" s="1395"/>
      <c r="Z360" s="1395"/>
      <c r="AA360" s="1395"/>
      <c r="AB360" s="1395"/>
    </row>
    <row r="361" spans="2:28" s="1420" customFormat="1" ht="21" customHeight="1" x14ac:dyDescent="0.3">
      <c r="B361" s="1419"/>
      <c r="C361" s="1418" t="s">
        <v>1435</v>
      </c>
      <c r="D361" s="1419" t="s">
        <v>1436</v>
      </c>
      <c r="E361" s="1419" t="s">
        <v>1437</v>
      </c>
      <c r="F361" s="1419" t="s">
        <v>1438</v>
      </c>
      <c r="G361" s="1419" t="s">
        <v>1439</v>
      </c>
      <c r="H361" s="1419" t="s">
        <v>1440</v>
      </c>
      <c r="I361" s="1419" t="s">
        <v>1441</v>
      </c>
      <c r="J361" s="1419" t="s">
        <v>1442</v>
      </c>
      <c r="K361" s="1419" t="s">
        <v>1443</v>
      </c>
      <c r="L361" s="1419" t="s">
        <v>1444</v>
      </c>
      <c r="M361" s="1419" t="s">
        <v>1445</v>
      </c>
      <c r="N361" s="1419" t="s">
        <v>1446</v>
      </c>
      <c r="O361" s="1419" t="s">
        <v>1447</v>
      </c>
      <c r="P361" s="1419" t="s">
        <v>1448</v>
      </c>
      <c r="Q361" s="1419" t="s">
        <v>1449</v>
      </c>
      <c r="R361" s="1419" t="s">
        <v>1450</v>
      </c>
      <c r="S361" s="1419" t="s">
        <v>1451</v>
      </c>
      <c r="T361" s="1419" t="s">
        <v>1452</v>
      </c>
      <c r="U361" s="1419" t="s">
        <v>1453</v>
      </c>
      <c r="V361" s="1419" t="s">
        <v>1454</v>
      </c>
      <c r="W361" s="1419" t="s">
        <v>1455</v>
      </c>
      <c r="X361" s="1419" t="s">
        <v>1456</v>
      </c>
      <c r="Y361" s="1419" t="s">
        <v>1457</v>
      </c>
      <c r="Z361" s="1419" t="s">
        <v>1458</v>
      </c>
      <c r="AA361" s="1419" t="s">
        <v>1466</v>
      </c>
      <c r="AB361" s="1419" t="s">
        <v>1467</v>
      </c>
    </row>
    <row r="362" spans="2:28" x14ac:dyDescent="0.3">
      <c r="B362" s="1437" t="s">
        <v>1461</v>
      </c>
      <c r="C362" s="1448">
        <v>0.15</v>
      </c>
      <c r="D362" s="1448">
        <v>0.15</v>
      </c>
      <c r="E362" s="1448">
        <v>0.05</v>
      </c>
      <c r="F362" s="1448">
        <v>0</v>
      </c>
      <c r="G362" s="1448">
        <v>0</v>
      </c>
      <c r="H362" s="1448">
        <v>0</v>
      </c>
      <c r="I362" s="1448">
        <v>0</v>
      </c>
      <c r="J362" s="1448">
        <v>0.05</v>
      </c>
      <c r="K362" s="1448">
        <v>0.05</v>
      </c>
      <c r="L362" s="1448">
        <v>0.05</v>
      </c>
      <c r="M362" s="1448">
        <v>0.2</v>
      </c>
      <c r="N362" s="1448">
        <v>0.5</v>
      </c>
      <c r="O362" s="1448">
        <v>0.8</v>
      </c>
      <c r="P362" s="1448">
        <v>0.7</v>
      </c>
      <c r="Q362" s="1448">
        <v>0.4</v>
      </c>
      <c r="R362" s="1448">
        <v>0.2</v>
      </c>
      <c r="S362" s="1448">
        <v>0.25</v>
      </c>
      <c r="T362" s="1448">
        <v>0.5</v>
      </c>
      <c r="U362" s="1448">
        <v>0.8</v>
      </c>
      <c r="V362" s="1448">
        <v>0.8</v>
      </c>
      <c r="W362" s="1448">
        <v>0.8</v>
      </c>
      <c r="X362" s="1448">
        <v>0.5</v>
      </c>
      <c r="Y362" s="1448">
        <v>0.35</v>
      </c>
      <c r="Z362" s="1448">
        <v>0.2</v>
      </c>
      <c r="AA362" s="1424">
        <f>SUM(C362:Z362)</f>
        <v>7.5</v>
      </c>
      <c r="AB362" s="1425">
        <f>AA362*SUM($C$9:$C$13)</f>
        <v>1875</v>
      </c>
    </row>
    <row r="363" spans="2:28" x14ac:dyDescent="0.3">
      <c r="B363" s="1439" t="s">
        <v>1431</v>
      </c>
      <c r="C363" s="1449">
        <v>0.3</v>
      </c>
      <c r="D363" s="1449">
        <v>0.25</v>
      </c>
      <c r="E363" s="1449">
        <v>0.05</v>
      </c>
      <c r="F363" s="1449">
        <v>0</v>
      </c>
      <c r="G363" s="1449">
        <v>0</v>
      </c>
      <c r="H363" s="1449">
        <v>0</v>
      </c>
      <c r="I363" s="1449">
        <v>0</v>
      </c>
      <c r="J363" s="1449">
        <v>0</v>
      </c>
      <c r="K363" s="1449">
        <v>0</v>
      </c>
      <c r="L363" s="1449">
        <v>0.05</v>
      </c>
      <c r="M363" s="1449">
        <v>0.2</v>
      </c>
      <c r="N363" s="1449">
        <v>0.45</v>
      </c>
      <c r="O363" s="1449">
        <v>0.5</v>
      </c>
      <c r="P363" s="1449">
        <v>0.5</v>
      </c>
      <c r="Q363" s="1449">
        <v>0.35</v>
      </c>
      <c r="R363" s="1449">
        <v>0.3</v>
      </c>
      <c r="S363" s="1449">
        <v>0.3</v>
      </c>
      <c r="T363" s="1449">
        <v>0.3</v>
      </c>
      <c r="U363" s="1449">
        <v>0.7</v>
      </c>
      <c r="V363" s="1449">
        <v>0.9</v>
      </c>
      <c r="W363" s="1449">
        <v>0.7</v>
      </c>
      <c r="X363" s="1449">
        <v>0.65</v>
      </c>
      <c r="Y363" s="1449">
        <v>0.55000000000000004</v>
      </c>
      <c r="Z363" s="1449">
        <v>0.35</v>
      </c>
      <c r="AA363" s="1428">
        <f>SUM(C363:Z363)</f>
        <v>7.3999999999999995</v>
      </c>
      <c r="AB363" s="1429">
        <f>AA363*SUM($C$14)</f>
        <v>384.79999999999995</v>
      </c>
    </row>
    <row r="364" spans="2:28" x14ac:dyDescent="0.3">
      <c r="B364" s="1439" t="s">
        <v>1432</v>
      </c>
      <c r="C364" s="1449">
        <v>0.2</v>
      </c>
      <c r="D364" s="1449">
        <v>0.2</v>
      </c>
      <c r="E364" s="1449">
        <v>0.05</v>
      </c>
      <c r="F364" s="1449">
        <v>0</v>
      </c>
      <c r="G364" s="1449">
        <v>0</v>
      </c>
      <c r="H364" s="1449">
        <v>0</v>
      </c>
      <c r="I364" s="1449">
        <v>0</v>
      </c>
      <c r="J364" s="1449">
        <v>0</v>
      </c>
      <c r="K364" s="1449">
        <v>0</v>
      </c>
      <c r="L364" s="1449">
        <v>0</v>
      </c>
      <c r="M364" s="1449">
        <v>0.1</v>
      </c>
      <c r="N364" s="1449">
        <v>0.2</v>
      </c>
      <c r="O364" s="1449">
        <v>0.25</v>
      </c>
      <c r="P364" s="1449">
        <v>0.25</v>
      </c>
      <c r="Q364" s="1449">
        <v>0.15</v>
      </c>
      <c r="R364" s="1449">
        <v>0.2</v>
      </c>
      <c r="S364" s="1449">
        <v>0.25</v>
      </c>
      <c r="T364" s="1449">
        <v>0.35</v>
      </c>
      <c r="U364" s="1449">
        <v>0.55000000000000004</v>
      </c>
      <c r="V364" s="1449">
        <v>0.65</v>
      </c>
      <c r="W364" s="1449">
        <v>0.7</v>
      </c>
      <c r="X364" s="1449">
        <v>0.35</v>
      </c>
      <c r="Y364" s="1449">
        <v>0.2</v>
      </c>
      <c r="Z364" s="1449">
        <v>0.2</v>
      </c>
      <c r="AA364" s="1428">
        <f>SUM(C364:Z364)</f>
        <v>4.8499999999999996</v>
      </c>
      <c r="AB364" s="1429">
        <f>AA364*$C$15</f>
        <v>252.2</v>
      </c>
    </row>
    <row r="365" spans="2:28" x14ac:dyDescent="0.3">
      <c r="B365" s="1441" t="s">
        <v>1463</v>
      </c>
      <c r="C365" s="1450">
        <v>0.2</v>
      </c>
      <c r="D365" s="1450">
        <v>0.2</v>
      </c>
      <c r="E365" s="1450">
        <v>0.05</v>
      </c>
      <c r="F365" s="1450">
        <v>0</v>
      </c>
      <c r="G365" s="1450">
        <v>0</v>
      </c>
      <c r="H365" s="1450">
        <v>0</v>
      </c>
      <c r="I365" s="1450">
        <v>0</v>
      </c>
      <c r="J365" s="1450">
        <v>0</v>
      </c>
      <c r="K365" s="1450">
        <v>0</v>
      </c>
      <c r="L365" s="1450">
        <v>0</v>
      </c>
      <c r="M365" s="1450">
        <v>0.1</v>
      </c>
      <c r="N365" s="1450">
        <v>0.2</v>
      </c>
      <c r="O365" s="1450">
        <v>0.25</v>
      </c>
      <c r="P365" s="1450">
        <v>0.25</v>
      </c>
      <c r="Q365" s="1450">
        <v>0.15</v>
      </c>
      <c r="R365" s="1450">
        <v>0.2</v>
      </c>
      <c r="S365" s="1450">
        <v>0.25</v>
      </c>
      <c r="T365" s="1450">
        <v>0.35</v>
      </c>
      <c r="U365" s="1450">
        <v>0.55000000000000004</v>
      </c>
      <c r="V365" s="1450">
        <v>0.65</v>
      </c>
      <c r="W365" s="1450">
        <v>0.7</v>
      </c>
      <c r="X365" s="1450">
        <v>0.35</v>
      </c>
      <c r="Y365" s="1450">
        <v>0.2</v>
      </c>
      <c r="Z365" s="1450">
        <v>0.2</v>
      </c>
      <c r="AA365" s="1432">
        <f>SUM(C365:Z365)</f>
        <v>4.8499999999999996</v>
      </c>
      <c r="AB365" s="1433">
        <f>AA365*SUM($C$8)</f>
        <v>53.349999999999994</v>
      </c>
    </row>
    <row r="366" spans="2:28" x14ac:dyDescent="0.3">
      <c r="B366" s="2102" t="s">
        <v>1468</v>
      </c>
      <c r="C366" s="2103"/>
      <c r="D366" s="2103"/>
      <c r="E366" s="2103"/>
      <c r="F366" s="2103"/>
      <c r="G366" s="2103"/>
      <c r="H366" s="2103"/>
      <c r="I366" s="2103"/>
      <c r="J366" s="2103"/>
      <c r="K366" s="2103"/>
      <c r="L366" s="2103"/>
      <c r="M366" s="2103"/>
      <c r="N366" s="2103"/>
      <c r="O366" s="2103"/>
      <c r="P366" s="2103"/>
      <c r="Q366" s="2103"/>
      <c r="R366" s="2103"/>
      <c r="S366" s="2103"/>
      <c r="T366" s="2103"/>
      <c r="U366" s="2103"/>
      <c r="V366" s="2103"/>
      <c r="W366" s="2103"/>
      <c r="X366" s="2103"/>
      <c r="Y366" s="2103"/>
      <c r="Z366" s="2103"/>
      <c r="AA366" s="2103"/>
      <c r="AB366" s="1421">
        <f>SUM(AB362:AB365)</f>
        <v>2565.35</v>
      </c>
    </row>
    <row r="367" spans="2:28" x14ac:dyDescent="0.3">
      <c r="B367" s="1395"/>
      <c r="C367" s="1395"/>
      <c r="D367" s="1395"/>
      <c r="E367" s="1395"/>
      <c r="F367" s="1395"/>
      <c r="G367" s="1395"/>
      <c r="H367" s="1395"/>
      <c r="I367" s="1395"/>
      <c r="J367" s="1395"/>
      <c r="K367" s="1395"/>
      <c r="L367" s="1395"/>
      <c r="M367" s="1395"/>
      <c r="N367" s="1395"/>
      <c r="O367" s="1395"/>
      <c r="P367" s="1395"/>
      <c r="Q367" s="1395"/>
      <c r="R367" s="1395"/>
      <c r="S367" s="1395"/>
      <c r="T367" s="1395"/>
      <c r="U367" s="1395"/>
      <c r="V367" s="1395"/>
      <c r="W367" s="1395"/>
      <c r="X367" s="1395"/>
      <c r="Y367" s="1395"/>
      <c r="Z367" s="1395"/>
      <c r="AA367" s="1395"/>
      <c r="AB367" s="1395"/>
    </row>
    <row r="368" spans="2:28" ht="15" customHeight="1" x14ac:dyDescent="0.3">
      <c r="B368" s="1395" t="s">
        <v>1434</v>
      </c>
      <c r="C368" s="2099" t="s">
        <v>1649</v>
      </c>
      <c r="D368" s="2100"/>
      <c r="E368" s="2100"/>
      <c r="F368" s="2100"/>
      <c r="G368" s="2100"/>
      <c r="H368" s="2100"/>
      <c r="I368" s="2100"/>
      <c r="J368" s="2100"/>
      <c r="K368" s="2100"/>
      <c r="L368" s="2100"/>
      <c r="M368" s="2100"/>
      <c r="N368" s="2100"/>
      <c r="O368" s="2100"/>
      <c r="P368" s="2100"/>
      <c r="Q368" s="2100"/>
      <c r="R368" s="2100"/>
      <c r="S368" s="2100"/>
      <c r="T368" s="2100"/>
      <c r="U368" s="2100"/>
      <c r="V368" s="2100"/>
      <c r="W368" s="2100"/>
      <c r="X368" s="2100"/>
      <c r="Y368" s="2100"/>
      <c r="Z368" s="2100"/>
      <c r="AA368" s="2100"/>
      <c r="AB368" s="2101"/>
    </row>
    <row r="369" spans="2:28" x14ac:dyDescent="0.3">
      <c r="B369" s="1395"/>
      <c r="C369" s="1395"/>
      <c r="D369" s="1395"/>
      <c r="E369" s="1395"/>
      <c r="F369" s="1395"/>
      <c r="G369" s="1395"/>
      <c r="H369" s="1395"/>
      <c r="I369" s="1395"/>
      <c r="J369" s="1395"/>
      <c r="K369" s="1395"/>
      <c r="L369" s="1395"/>
      <c r="M369" s="1395"/>
      <c r="N369" s="1395"/>
      <c r="O369" s="1395"/>
      <c r="P369" s="1395"/>
      <c r="Q369" s="1395"/>
      <c r="R369" s="1395"/>
      <c r="S369" s="1395"/>
      <c r="T369" s="1395"/>
      <c r="U369" s="1395"/>
      <c r="V369" s="1395"/>
      <c r="W369" s="1395"/>
      <c r="X369" s="1395"/>
      <c r="Y369" s="1395"/>
      <c r="Z369" s="1395"/>
      <c r="AA369" s="1395"/>
      <c r="AB369" s="1395"/>
    </row>
    <row r="370" spans="2:28" s="1420" customFormat="1" ht="21" customHeight="1" x14ac:dyDescent="0.3">
      <c r="B370" s="1419"/>
      <c r="C370" s="1418" t="s">
        <v>1435</v>
      </c>
      <c r="D370" s="1419" t="s">
        <v>1436</v>
      </c>
      <c r="E370" s="1419" t="s">
        <v>1437</v>
      </c>
      <c r="F370" s="1419" t="s">
        <v>1438</v>
      </c>
      <c r="G370" s="1419" t="s">
        <v>1439</v>
      </c>
      <c r="H370" s="1419" t="s">
        <v>1440</v>
      </c>
      <c r="I370" s="1419" t="s">
        <v>1441</v>
      </c>
      <c r="J370" s="1419" t="s">
        <v>1442</v>
      </c>
      <c r="K370" s="1419" t="s">
        <v>1443</v>
      </c>
      <c r="L370" s="1419" t="s">
        <v>1444</v>
      </c>
      <c r="M370" s="1419" t="s">
        <v>1445</v>
      </c>
      <c r="N370" s="1419" t="s">
        <v>1446</v>
      </c>
      <c r="O370" s="1419" t="s">
        <v>1447</v>
      </c>
      <c r="P370" s="1419" t="s">
        <v>1448</v>
      </c>
      <c r="Q370" s="1419" t="s">
        <v>1449</v>
      </c>
      <c r="R370" s="1419" t="s">
        <v>1450</v>
      </c>
      <c r="S370" s="1419" t="s">
        <v>1451</v>
      </c>
      <c r="T370" s="1419" t="s">
        <v>1452</v>
      </c>
      <c r="U370" s="1419" t="s">
        <v>1453</v>
      </c>
      <c r="V370" s="1419" t="s">
        <v>1454</v>
      </c>
      <c r="W370" s="1419" t="s">
        <v>1455</v>
      </c>
      <c r="X370" s="1419" t="s">
        <v>1456</v>
      </c>
      <c r="Y370" s="1419" t="s">
        <v>1457</v>
      </c>
      <c r="Z370" s="1419" t="s">
        <v>1458</v>
      </c>
      <c r="AA370" s="1419" t="s">
        <v>1466</v>
      </c>
      <c r="AB370" s="1419" t="s">
        <v>1467</v>
      </c>
    </row>
    <row r="371" spans="2:28" x14ac:dyDescent="0.3">
      <c r="B371" s="1437" t="s">
        <v>1461</v>
      </c>
      <c r="C371" s="1448">
        <v>0.15</v>
      </c>
      <c r="D371" s="1448">
        <v>0.15</v>
      </c>
      <c r="E371" s="1448">
        <v>0.15</v>
      </c>
      <c r="F371" s="1448">
        <v>0.15</v>
      </c>
      <c r="G371" s="1448">
        <v>0.15</v>
      </c>
      <c r="H371" s="1448">
        <v>0.2</v>
      </c>
      <c r="I371" s="1448">
        <v>0.35</v>
      </c>
      <c r="J371" s="1448">
        <v>0.35</v>
      </c>
      <c r="K371" s="1448">
        <v>0.55000000000000004</v>
      </c>
      <c r="L371" s="1448">
        <v>0.55000000000000004</v>
      </c>
      <c r="M371" s="1448">
        <v>0.85</v>
      </c>
      <c r="N371" s="1448">
        <v>0.85</v>
      </c>
      <c r="O371" s="1448">
        <v>0.85</v>
      </c>
      <c r="P371" s="1448">
        <v>0.85</v>
      </c>
      <c r="Q371" s="1448">
        <v>0.85</v>
      </c>
      <c r="R371" s="1448">
        <v>0.85</v>
      </c>
      <c r="S371" s="1448">
        <v>0.85</v>
      </c>
      <c r="T371" s="1448">
        <v>0.85</v>
      </c>
      <c r="U371" s="1448">
        <v>0.85</v>
      </c>
      <c r="V371" s="1448">
        <v>0.85</v>
      </c>
      <c r="W371" s="1448">
        <v>0.85</v>
      </c>
      <c r="X371" s="1448">
        <v>0.85</v>
      </c>
      <c r="Y371" s="1448">
        <v>0.45</v>
      </c>
      <c r="Z371" s="1448">
        <v>0.3</v>
      </c>
      <c r="AA371" s="1424">
        <f>SUM(C371:Z371)</f>
        <v>13.699999999999998</v>
      </c>
      <c r="AB371" s="1425">
        <f>AA371*SUM($C$9:$C$13)</f>
        <v>3424.9999999999995</v>
      </c>
    </row>
    <row r="372" spans="2:28" x14ac:dyDescent="0.3">
      <c r="B372" s="1439" t="s">
        <v>1431</v>
      </c>
      <c r="C372" s="1449">
        <v>0.2</v>
      </c>
      <c r="D372" s="1449">
        <v>0.15</v>
      </c>
      <c r="E372" s="1449">
        <v>0.15</v>
      </c>
      <c r="F372" s="1449">
        <v>0.15</v>
      </c>
      <c r="G372" s="1449">
        <v>0.15</v>
      </c>
      <c r="H372" s="1449">
        <v>0.15</v>
      </c>
      <c r="I372" s="1449">
        <v>0.3</v>
      </c>
      <c r="J372" s="1449">
        <v>0.3</v>
      </c>
      <c r="K372" s="1449">
        <v>0.55000000000000004</v>
      </c>
      <c r="L372" s="1449">
        <v>0.55000000000000004</v>
      </c>
      <c r="M372" s="1449">
        <v>0.75</v>
      </c>
      <c r="N372" s="1449">
        <v>0.75</v>
      </c>
      <c r="O372" s="1449">
        <v>0.75</v>
      </c>
      <c r="P372" s="1449">
        <v>0.75</v>
      </c>
      <c r="Q372" s="1449">
        <v>0.75</v>
      </c>
      <c r="R372" s="1449">
        <v>0.75</v>
      </c>
      <c r="S372" s="1449">
        <v>0.75</v>
      </c>
      <c r="T372" s="1449">
        <v>0.85</v>
      </c>
      <c r="U372" s="1449">
        <v>0.85</v>
      </c>
      <c r="V372" s="1449">
        <v>0.85</v>
      </c>
      <c r="W372" s="1449">
        <v>0.85</v>
      </c>
      <c r="X372" s="1449">
        <v>0.85</v>
      </c>
      <c r="Y372" s="1449">
        <v>0.45</v>
      </c>
      <c r="Z372" s="1449">
        <v>0.3</v>
      </c>
      <c r="AA372" s="1428">
        <f>SUM(C372:Z372)</f>
        <v>12.899999999999999</v>
      </c>
      <c r="AB372" s="1429">
        <f>AA372*SUM($C$14)</f>
        <v>670.8</v>
      </c>
    </row>
    <row r="373" spans="2:28" x14ac:dyDescent="0.3">
      <c r="B373" s="1439" t="s">
        <v>1432</v>
      </c>
      <c r="C373" s="1449">
        <v>0.2</v>
      </c>
      <c r="D373" s="1449">
        <v>0.15</v>
      </c>
      <c r="E373" s="1449">
        <v>0.15</v>
      </c>
      <c r="F373" s="1449">
        <v>0.15</v>
      </c>
      <c r="G373" s="1449">
        <v>0.15</v>
      </c>
      <c r="H373" s="1449">
        <v>0.15</v>
      </c>
      <c r="I373" s="1449">
        <v>0.3</v>
      </c>
      <c r="J373" s="1449">
        <v>0.3</v>
      </c>
      <c r="K373" s="1449">
        <v>0.45</v>
      </c>
      <c r="L373" s="1449">
        <v>0.45</v>
      </c>
      <c r="M373" s="1449">
        <v>0.65</v>
      </c>
      <c r="N373" s="1449">
        <v>0.65</v>
      </c>
      <c r="O373" s="1449">
        <v>0.65</v>
      </c>
      <c r="P373" s="1449">
        <v>0.65</v>
      </c>
      <c r="Q373" s="1449">
        <v>0.65</v>
      </c>
      <c r="R373" s="1449">
        <v>0.65</v>
      </c>
      <c r="S373" s="1449">
        <v>0.55000000000000004</v>
      </c>
      <c r="T373" s="1449">
        <v>0.55000000000000004</v>
      </c>
      <c r="U373" s="1449">
        <v>0.55000000000000004</v>
      </c>
      <c r="V373" s="1449">
        <v>0.55000000000000004</v>
      </c>
      <c r="W373" s="1449">
        <v>0.55000000000000004</v>
      </c>
      <c r="X373" s="1449">
        <v>0.55000000000000004</v>
      </c>
      <c r="Y373" s="1449">
        <v>0.45</v>
      </c>
      <c r="Z373" s="1449">
        <v>0.3</v>
      </c>
      <c r="AA373" s="1428">
        <f>SUM(C373:Z373)</f>
        <v>10.400000000000004</v>
      </c>
      <c r="AB373" s="1429">
        <f>AA373*$C$15</f>
        <v>540.80000000000018</v>
      </c>
    </row>
    <row r="374" spans="2:28" x14ac:dyDescent="0.3">
      <c r="B374" s="1441" t="s">
        <v>1463</v>
      </c>
      <c r="C374" s="1450">
        <v>0.2</v>
      </c>
      <c r="D374" s="1450">
        <v>0.15</v>
      </c>
      <c r="E374" s="1450">
        <v>0.15</v>
      </c>
      <c r="F374" s="1450">
        <v>0.15</v>
      </c>
      <c r="G374" s="1450">
        <v>0.15</v>
      </c>
      <c r="H374" s="1450">
        <v>0.15</v>
      </c>
      <c r="I374" s="1450">
        <v>0.3</v>
      </c>
      <c r="J374" s="1450">
        <v>0.3</v>
      </c>
      <c r="K374" s="1450">
        <v>0.45</v>
      </c>
      <c r="L374" s="1450">
        <v>0.45</v>
      </c>
      <c r="M374" s="1450">
        <v>0.65</v>
      </c>
      <c r="N374" s="1450">
        <v>0.65</v>
      </c>
      <c r="O374" s="1450">
        <v>0.65</v>
      </c>
      <c r="P374" s="1450">
        <v>0.65</v>
      </c>
      <c r="Q374" s="1450">
        <v>0.65</v>
      </c>
      <c r="R374" s="1450">
        <v>0.65</v>
      </c>
      <c r="S374" s="1450">
        <v>0.55000000000000004</v>
      </c>
      <c r="T374" s="1450">
        <v>0.55000000000000004</v>
      </c>
      <c r="U374" s="1450">
        <v>0.55000000000000004</v>
      </c>
      <c r="V374" s="1450">
        <v>0.55000000000000004</v>
      </c>
      <c r="W374" s="1450">
        <v>0.55000000000000004</v>
      </c>
      <c r="X374" s="1450">
        <v>0.55000000000000004</v>
      </c>
      <c r="Y374" s="1450">
        <v>0.45</v>
      </c>
      <c r="Z374" s="1450">
        <v>0.3</v>
      </c>
      <c r="AA374" s="1432">
        <f>SUM(C374:Z374)</f>
        <v>10.400000000000004</v>
      </c>
      <c r="AB374" s="1433">
        <f>AA374*SUM($C$8)</f>
        <v>114.40000000000005</v>
      </c>
    </row>
    <row r="375" spans="2:28" x14ac:dyDescent="0.3">
      <c r="B375" s="2102" t="s">
        <v>1468</v>
      </c>
      <c r="C375" s="2103"/>
      <c r="D375" s="2103"/>
      <c r="E375" s="2103"/>
      <c r="F375" s="2103"/>
      <c r="G375" s="2103"/>
      <c r="H375" s="2103"/>
      <c r="I375" s="2103"/>
      <c r="J375" s="2103"/>
      <c r="K375" s="2103"/>
      <c r="L375" s="2103"/>
      <c r="M375" s="2103"/>
      <c r="N375" s="2103"/>
      <c r="O375" s="2103"/>
      <c r="P375" s="2103"/>
      <c r="Q375" s="2103"/>
      <c r="R375" s="2103"/>
      <c r="S375" s="2103"/>
      <c r="T375" s="2103"/>
      <c r="U375" s="2103"/>
      <c r="V375" s="2103"/>
      <c r="W375" s="2103"/>
      <c r="X375" s="2103"/>
      <c r="Y375" s="2103"/>
      <c r="Z375" s="2103"/>
      <c r="AA375" s="2103"/>
      <c r="AB375" s="1421">
        <f>SUM(AB371:AB374)</f>
        <v>4750.9999999999991</v>
      </c>
    </row>
    <row r="376" spans="2:28" x14ac:dyDescent="0.3">
      <c r="B376" s="1395"/>
      <c r="C376" s="1395"/>
      <c r="D376" s="1395"/>
      <c r="E376" s="1395"/>
      <c r="F376" s="1395"/>
      <c r="G376" s="1395"/>
      <c r="H376" s="1395"/>
      <c r="I376" s="1395"/>
      <c r="J376" s="1395"/>
      <c r="K376" s="1395"/>
      <c r="L376" s="1395"/>
      <c r="M376" s="1395"/>
      <c r="N376" s="1395"/>
      <c r="O376" s="1395"/>
      <c r="P376" s="1395"/>
      <c r="Q376" s="1395"/>
      <c r="R376" s="1395"/>
      <c r="S376" s="1395"/>
      <c r="T376" s="1395"/>
      <c r="U376" s="1395"/>
      <c r="V376" s="1395"/>
      <c r="W376" s="1395"/>
      <c r="X376" s="1395"/>
      <c r="Y376" s="1395"/>
      <c r="Z376" s="1395"/>
      <c r="AA376" s="1395"/>
      <c r="AB376" s="1395"/>
    </row>
    <row r="377" spans="2:28" ht="15" customHeight="1" x14ac:dyDescent="0.3">
      <c r="B377" s="1395" t="s">
        <v>1434</v>
      </c>
      <c r="C377" s="2099" t="s">
        <v>1650</v>
      </c>
      <c r="D377" s="2100"/>
      <c r="E377" s="2100"/>
      <c r="F377" s="2100"/>
      <c r="G377" s="2100"/>
      <c r="H377" s="2100"/>
      <c r="I377" s="2100"/>
      <c r="J377" s="2100"/>
      <c r="K377" s="2100"/>
      <c r="L377" s="2100"/>
      <c r="M377" s="2100"/>
      <c r="N377" s="2100"/>
      <c r="O377" s="2100"/>
      <c r="P377" s="2100"/>
      <c r="Q377" s="2100"/>
      <c r="R377" s="2100"/>
      <c r="S377" s="2100"/>
      <c r="T377" s="2100"/>
      <c r="U377" s="2100"/>
      <c r="V377" s="2100"/>
      <c r="W377" s="2100"/>
      <c r="X377" s="2100"/>
      <c r="Y377" s="2100"/>
      <c r="Z377" s="2100"/>
      <c r="AA377" s="2100"/>
      <c r="AB377" s="2101"/>
    </row>
    <row r="378" spans="2:28" x14ac:dyDescent="0.3">
      <c r="B378" s="1395"/>
      <c r="C378" s="1395"/>
      <c r="D378" s="1395"/>
      <c r="E378" s="1395"/>
      <c r="F378" s="1395"/>
      <c r="G378" s="1395"/>
      <c r="H378" s="1395"/>
      <c r="I378" s="1395"/>
      <c r="J378" s="1395"/>
      <c r="K378" s="1395"/>
      <c r="L378" s="1395"/>
      <c r="M378" s="1395"/>
      <c r="N378" s="1395"/>
      <c r="O378" s="1395"/>
      <c r="P378" s="1395"/>
      <c r="Q378" s="1395"/>
      <c r="R378" s="1395"/>
      <c r="S378" s="1395"/>
      <c r="T378" s="1395"/>
      <c r="U378" s="1395"/>
      <c r="V378" s="1395"/>
      <c r="W378" s="1395"/>
      <c r="X378" s="1395"/>
      <c r="Y378" s="1395"/>
      <c r="Z378" s="1395"/>
      <c r="AA378" s="1395"/>
      <c r="AB378" s="1395"/>
    </row>
    <row r="379" spans="2:28" s="1420" customFormat="1" ht="21" customHeight="1" x14ac:dyDescent="0.3">
      <c r="B379" s="1419"/>
      <c r="C379" s="1418" t="s">
        <v>1435</v>
      </c>
      <c r="D379" s="1419" t="s">
        <v>1436</v>
      </c>
      <c r="E379" s="1419" t="s">
        <v>1437</v>
      </c>
      <c r="F379" s="1419" t="s">
        <v>1438</v>
      </c>
      <c r="G379" s="1419" t="s">
        <v>1439</v>
      </c>
      <c r="H379" s="1419" t="s">
        <v>1440</v>
      </c>
      <c r="I379" s="1419" t="s">
        <v>1441</v>
      </c>
      <c r="J379" s="1419" t="s">
        <v>1442</v>
      </c>
      <c r="K379" s="1419" t="s">
        <v>1443</v>
      </c>
      <c r="L379" s="1419" t="s">
        <v>1444</v>
      </c>
      <c r="M379" s="1419" t="s">
        <v>1445</v>
      </c>
      <c r="N379" s="1419" t="s">
        <v>1446</v>
      </c>
      <c r="O379" s="1419" t="s">
        <v>1447</v>
      </c>
      <c r="P379" s="1419" t="s">
        <v>1448</v>
      </c>
      <c r="Q379" s="1419" t="s">
        <v>1449</v>
      </c>
      <c r="R379" s="1419" t="s">
        <v>1450</v>
      </c>
      <c r="S379" s="1419" t="s">
        <v>1451</v>
      </c>
      <c r="T379" s="1419" t="s">
        <v>1452</v>
      </c>
      <c r="U379" s="1419" t="s">
        <v>1453</v>
      </c>
      <c r="V379" s="1419" t="s">
        <v>1454</v>
      </c>
      <c r="W379" s="1419" t="s">
        <v>1455</v>
      </c>
      <c r="X379" s="1419" t="s">
        <v>1456</v>
      </c>
      <c r="Y379" s="1419" t="s">
        <v>1457</v>
      </c>
      <c r="Z379" s="1419" t="s">
        <v>1458</v>
      </c>
      <c r="AA379" s="1419" t="s">
        <v>1466</v>
      </c>
      <c r="AB379" s="1419" t="s">
        <v>1467</v>
      </c>
    </row>
    <row r="380" spans="2:28" x14ac:dyDescent="0.3">
      <c r="B380" s="1437" t="s">
        <v>1461</v>
      </c>
      <c r="C380" s="1448">
        <v>0.15</v>
      </c>
      <c r="D380" s="1448">
        <v>0.15</v>
      </c>
      <c r="E380" s="1448">
        <v>0.15</v>
      </c>
      <c r="F380" s="1448">
        <v>0.15</v>
      </c>
      <c r="G380" s="1448">
        <v>0.15</v>
      </c>
      <c r="H380" s="1448">
        <v>0.2</v>
      </c>
      <c r="I380" s="1448">
        <v>0.4</v>
      </c>
      <c r="J380" s="1448">
        <v>0.4</v>
      </c>
      <c r="K380" s="1448">
        <v>0.6</v>
      </c>
      <c r="L380" s="1448">
        <v>0.6</v>
      </c>
      <c r="M380" s="1448">
        <v>0.85</v>
      </c>
      <c r="N380" s="1448">
        <v>0.85</v>
      </c>
      <c r="O380" s="1448">
        <v>0.85</v>
      </c>
      <c r="P380" s="1448">
        <v>0.85</v>
      </c>
      <c r="Q380" s="1448">
        <v>0.85</v>
      </c>
      <c r="R380" s="1448">
        <v>0.85</v>
      </c>
      <c r="S380" s="1448">
        <v>0.85</v>
      </c>
      <c r="T380" s="1448">
        <v>0.85</v>
      </c>
      <c r="U380" s="1448">
        <v>0.85</v>
      </c>
      <c r="V380" s="1448">
        <v>0.85</v>
      </c>
      <c r="W380" s="1448">
        <v>0.85</v>
      </c>
      <c r="X380" s="1448">
        <v>0.85</v>
      </c>
      <c r="Y380" s="1448">
        <v>0.45</v>
      </c>
      <c r="Z380" s="1448">
        <v>0.3</v>
      </c>
      <c r="AA380" s="1424">
        <f>SUM(C380:Z380)</f>
        <v>13.899999999999997</v>
      </c>
      <c r="AB380" s="1425">
        <f>AA380*SUM($C$9:$C$13)</f>
        <v>3474.9999999999991</v>
      </c>
    </row>
    <row r="381" spans="2:28" x14ac:dyDescent="0.3">
      <c r="B381" s="1439" t="s">
        <v>1431</v>
      </c>
      <c r="C381" s="1449">
        <v>0.2</v>
      </c>
      <c r="D381" s="1449">
        <v>0.15</v>
      </c>
      <c r="E381" s="1449">
        <v>0.15</v>
      </c>
      <c r="F381" s="1449">
        <v>0.15</v>
      </c>
      <c r="G381" s="1449">
        <v>0.15</v>
      </c>
      <c r="H381" s="1449">
        <v>0.15</v>
      </c>
      <c r="I381" s="1449">
        <v>0.3</v>
      </c>
      <c r="J381" s="1449">
        <v>0.3</v>
      </c>
      <c r="K381" s="1449">
        <v>0.55000000000000004</v>
      </c>
      <c r="L381" s="1449">
        <v>0.55000000000000004</v>
      </c>
      <c r="M381" s="1449">
        <v>0.75</v>
      </c>
      <c r="N381" s="1449">
        <v>0.75</v>
      </c>
      <c r="O381" s="1449">
        <v>0.75</v>
      </c>
      <c r="P381" s="1449">
        <v>0.75</v>
      </c>
      <c r="Q381" s="1449">
        <v>0.75</v>
      </c>
      <c r="R381" s="1449">
        <v>0.75</v>
      </c>
      <c r="S381" s="1449">
        <v>0.75</v>
      </c>
      <c r="T381" s="1449">
        <v>0.85</v>
      </c>
      <c r="U381" s="1449">
        <v>0.85</v>
      </c>
      <c r="V381" s="1449">
        <v>0.85</v>
      </c>
      <c r="W381" s="1449">
        <v>0.85</v>
      </c>
      <c r="X381" s="1449">
        <v>0.85</v>
      </c>
      <c r="Y381" s="1449">
        <v>0.45</v>
      </c>
      <c r="Z381" s="1449">
        <v>0.3</v>
      </c>
      <c r="AA381" s="1428">
        <f>SUM(C381:Z381)</f>
        <v>12.899999999999999</v>
      </c>
      <c r="AB381" s="1429">
        <f>AA381*SUM($C$14)</f>
        <v>670.8</v>
      </c>
    </row>
    <row r="382" spans="2:28" x14ac:dyDescent="0.3">
      <c r="B382" s="1439" t="s">
        <v>1432</v>
      </c>
      <c r="C382" s="1449">
        <v>0.2</v>
      </c>
      <c r="D382" s="1449">
        <v>0.15</v>
      </c>
      <c r="E382" s="1449">
        <v>0.15</v>
      </c>
      <c r="F382" s="1449">
        <v>0.15</v>
      </c>
      <c r="G382" s="1449">
        <v>0.15</v>
      </c>
      <c r="H382" s="1449">
        <v>0.15</v>
      </c>
      <c r="I382" s="1449">
        <v>0.3</v>
      </c>
      <c r="J382" s="1449">
        <v>0.3</v>
      </c>
      <c r="K382" s="1449">
        <v>0.45</v>
      </c>
      <c r="L382" s="1449">
        <v>0.45</v>
      </c>
      <c r="M382" s="1449">
        <v>0.65</v>
      </c>
      <c r="N382" s="1449">
        <v>0.65</v>
      </c>
      <c r="O382" s="1449">
        <v>0.65</v>
      </c>
      <c r="P382" s="1449">
        <v>0.65</v>
      </c>
      <c r="Q382" s="1449">
        <v>0.65</v>
      </c>
      <c r="R382" s="1449">
        <v>0.65</v>
      </c>
      <c r="S382" s="1449">
        <v>0.55000000000000004</v>
      </c>
      <c r="T382" s="1449">
        <v>0.55000000000000004</v>
      </c>
      <c r="U382" s="1449">
        <v>0.55000000000000004</v>
      </c>
      <c r="V382" s="1449">
        <v>0.55000000000000004</v>
      </c>
      <c r="W382" s="1449">
        <v>0.55000000000000004</v>
      </c>
      <c r="X382" s="1449">
        <v>0.55000000000000004</v>
      </c>
      <c r="Y382" s="1449">
        <v>0.45</v>
      </c>
      <c r="Z382" s="1449">
        <v>0.3</v>
      </c>
      <c r="AA382" s="1428">
        <f>SUM(C382:Z382)</f>
        <v>10.400000000000004</v>
      </c>
      <c r="AB382" s="1429">
        <f>AA382*$C$15</f>
        <v>540.80000000000018</v>
      </c>
    </row>
    <row r="383" spans="2:28" x14ac:dyDescent="0.3">
      <c r="B383" s="1441" t="s">
        <v>1463</v>
      </c>
      <c r="C383" s="1450">
        <v>0.2</v>
      </c>
      <c r="D383" s="1450">
        <v>0.15</v>
      </c>
      <c r="E383" s="1450">
        <v>0.15</v>
      </c>
      <c r="F383" s="1450">
        <v>0.15</v>
      </c>
      <c r="G383" s="1450">
        <v>0.15</v>
      </c>
      <c r="H383" s="1450">
        <v>0.15</v>
      </c>
      <c r="I383" s="1450">
        <v>0.3</v>
      </c>
      <c r="J383" s="1450">
        <v>0.3</v>
      </c>
      <c r="K383" s="1450">
        <v>0.45</v>
      </c>
      <c r="L383" s="1450">
        <v>0.45</v>
      </c>
      <c r="M383" s="1450">
        <v>0.65</v>
      </c>
      <c r="N383" s="1450">
        <v>0.65</v>
      </c>
      <c r="O383" s="1450">
        <v>0.65</v>
      </c>
      <c r="P383" s="1450">
        <v>0.65</v>
      </c>
      <c r="Q383" s="1450">
        <v>0.65</v>
      </c>
      <c r="R383" s="1450">
        <v>0.65</v>
      </c>
      <c r="S383" s="1450">
        <v>0.55000000000000004</v>
      </c>
      <c r="T383" s="1450">
        <v>0.55000000000000004</v>
      </c>
      <c r="U383" s="1450">
        <v>0.55000000000000004</v>
      </c>
      <c r="V383" s="1450">
        <v>0.55000000000000004</v>
      </c>
      <c r="W383" s="1450">
        <v>0.55000000000000004</v>
      </c>
      <c r="X383" s="1450">
        <v>0.55000000000000004</v>
      </c>
      <c r="Y383" s="1450">
        <v>0.45</v>
      </c>
      <c r="Z383" s="1450">
        <v>0.3</v>
      </c>
      <c r="AA383" s="1432">
        <f>SUM(C383:Z383)</f>
        <v>10.400000000000004</v>
      </c>
      <c r="AB383" s="1433">
        <f>AA383*SUM($C$8)</f>
        <v>114.40000000000005</v>
      </c>
    </row>
    <row r="384" spans="2:28" x14ac:dyDescent="0.3">
      <c r="B384" s="2102" t="s">
        <v>1468</v>
      </c>
      <c r="C384" s="2103"/>
      <c r="D384" s="2103"/>
      <c r="E384" s="2103"/>
      <c r="F384" s="2103"/>
      <c r="G384" s="2103"/>
      <c r="H384" s="2103"/>
      <c r="I384" s="2103"/>
      <c r="J384" s="2103"/>
      <c r="K384" s="2103"/>
      <c r="L384" s="2103"/>
      <c r="M384" s="2103"/>
      <c r="N384" s="2103"/>
      <c r="O384" s="2103"/>
      <c r="P384" s="2103"/>
      <c r="Q384" s="2103"/>
      <c r="R384" s="2103"/>
      <c r="S384" s="2103"/>
      <c r="T384" s="2103"/>
      <c r="U384" s="2103"/>
      <c r="V384" s="2103"/>
      <c r="W384" s="2103"/>
      <c r="X384" s="2103"/>
      <c r="Y384" s="2103"/>
      <c r="Z384" s="2103"/>
      <c r="AA384" s="2103"/>
      <c r="AB384" s="1421">
        <f>SUM(AB380:AB383)</f>
        <v>4800.9999999999991</v>
      </c>
    </row>
    <row r="385" spans="2:28" x14ac:dyDescent="0.3">
      <c r="B385" s="1395"/>
      <c r="C385" s="1395"/>
      <c r="D385" s="1395"/>
      <c r="E385" s="1395"/>
      <c r="F385" s="1395"/>
      <c r="G385" s="1395"/>
      <c r="H385" s="1395"/>
      <c r="I385" s="1395"/>
      <c r="J385" s="1395"/>
      <c r="K385" s="1395"/>
      <c r="L385" s="1395"/>
      <c r="M385" s="1395"/>
      <c r="N385" s="1395"/>
      <c r="O385" s="1395"/>
      <c r="P385" s="1395"/>
      <c r="Q385" s="1395"/>
      <c r="R385" s="1395"/>
      <c r="S385" s="1395"/>
      <c r="T385" s="1395"/>
      <c r="U385" s="1395"/>
      <c r="V385" s="1395"/>
      <c r="W385" s="1395"/>
      <c r="X385" s="1395"/>
      <c r="Y385" s="1395"/>
      <c r="Z385" s="1395"/>
      <c r="AA385" s="1395"/>
      <c r="AB385" s="1395"/>
    </row>
    <row r="386" spans="2:28" ht="15" customHeight="1" x14ac:dyDescent="0.3">
      <c r="B386" s="1395" t="s">
        <v>1434</v>
      </c>
      <c r="C386" s="2099" t="s">
        <v>1651</v>
      </c>
      <c r="D386" s="2100"/>
      <c r="E386" s="2100"/>
      <c r="F386" s="2100"/>
      <c r="G386" s="2100"/>
      <c r="H386" s="2100"/>
      <c r="I386" s="2100"/>
      <c r="J386" s="2100"/>
      <c r="K386" s="2100"/>
      <c r="L386" s="2100"/>
      <c r="M386" s="2100"/>
      <c r="N386" s="2100"/>
      <c r="O386" s="2100"/>
      <c r="P386" s="2100"/>
      <c r="Q386" s="2100"/>
      <c r="R386" s="2100"/>
      <c r="S386" s="2100"/>
      <c r="T386" s="2100"/>
      <c r="U386" s="2100"/>
      <c r="V386" s="2100"/>
      <c r="W386" s="2100"/>
      <c r="X386" s="2100"/>
      <c r="Y386" s="2100"/>
      <c r="Z386" s="2100"/>
      <c r="AA386" s="2100"/>
      <c r="AB386" s="2101"/>
    </row>
    <row r="387" spans="2:28" x14ac:dyDescent="0.3">
      <c r="B387" s="1395"/>
      <c r="C387" s="1395"/>
      <c r="D387" s="1395"/>
      <c r="E387" s="1395"/>
      <c r="F387" s="1395"/>
      <c r="G387" s="1395"/>
      <c r="H387" s="1395"/>
      <c r="I387" s="1395"/>
      <c r="J387" s="1395"/>
      <c r="K387" s="1395"/>
      <c r="L387" s="1395"/>
      <c r="M387" s="1395"/>
      <c r="N387" s="1395"/>
      <c r="O387" s="1395"/>
      <c r="P387" s="1395"/>
      <c r="Q387" s="1395"/>
      <c r="R387" s="1395"/>
      <c r="S387" s="1395"/>
      <c r="T387" s="1395"/>
      <c r="U387" s="1395"/>
      <c r="V387" s="1395"/>
      <c r="W387" s="1395"/>
      <c r="X387" s="1395"/>
      <c r="Y387" s="1395"/>
      <c r="Z387" s="1395"/>
      <c r="AA387" s="1395"/>
      <c r="AB387" s="1395"/>
    </row>
    <row r="388" spans="2:28" s="1420" customFormat="1" ht="21" customHeight="1" x14ac:dyDescent="0.3">
      <c r="B388" s="1419"/>
      <c r="C388" s="1418" t="s">
        <v>1435</v>
      </c>
      <c r="D388" s="1419" t="s">
        <v>1436</v>
      </c>
      <c r="E388" s="1419" t="s">
        <v>1437</v>
      </c>
      <c r="F388" s="1419" t="s">
        <v>1438</v>
      </c>
      <c r="G388" s="1419" t="s">
        <v>1439</v>
      </c>
      <c r="H388" s="1419" t="s">
        <v>1440</v>
      </c>
      <c r="I388" s="1419" t="s">
        <v>1441</v>
      </c>
      <c r="J388" s="1419" t="s">
        <v>1442</v>
      </c>
      <c r="K388" s="1419" t="s">
        <v>1443</v>
      </c>
      <c r="L388" s="1419" t="s">
        <v>1444</v>
      </c>
      <c r="M388" s="1419" t="s">
        <v>1445</v>
      </c>
      <c r="N388" s="1419" t="s">
        <v>1446</v>
      </c>
      <c r="O388" s="1419" t="s">
        <v>1447</v>
      </c>
      <c r="P388" s="1419" t="s">
        <v>1448</v>
      </c>
      <c r="Q388" s="1419" t="s">
        <v>1449</v>
      </c>
      <c r="R388" s="1419" t="s">
        <v>1450</v>
      </c>
      <c r="S388" s="1419" t="s">
        <v>1451</v>
      </c>
      <c r="T388" s="1419" t="s">
        <v>1452</v>
      </c>
      <c r="U388" s="1419" t="s">
        <v>1453</v>
      </c>
      <c r="V388" s="1419" t="s">
        <v>1454</v>
      </c>
      <c r="W388" s="1419" t="s">
        <v>1455</v>
      </c>
      <c r="X388" s="1419" t="s">
        <v>1456</v>
      </c>
      <c r="Y388" s="1419" t="s">
        <v>1457</v>
      </c>
      <c r="Z388" s="1419" t="s">
        <v>1458</v>
      </c>
      <c r="AA388" s="1419" t="s">
        <v>1466</v>
      </c>
      <c r="AB388" s="1419" t="s">
        <v>1467</v>
      </c>
    </row>
    <row r="389" spans="2:28" x14ac:dyDescent="0.3">
      <c r="B389" s="1437" t="s">
        <v>1461</v>
      </c>
      <c r="C389" s="1448">
        <v>0.2</v>
      </c>
      <c r="D389" s="1448">
        <v>0.15</v>
      </c>
      <c r="E389" s="1448">
        <v>0.15</v>
      </c>
      <c r="F389" s="1448">
        <v>0</v>
      </c>
      <c r="G389" s="1448">
        <v>0</v>
      </c>
      <c r="H389" s="1448">
        <v>0</v>
      </c>
      <c r="I389" s="1448">
        <v>0</v>
      </c>
      <c r="J389" s="1448">
        <v>0.6</v>
      </c>
      <c r="K389" s="1448">
        <v>0.55000000000000004</v>
      </c>
      <c r="L389" s="1448">
        <v>0.45</v>
      </c>
      <c r="M389" s="1448">
        <v>0.4</v>
      </c>
      <c r="N389" s="1448">
        <v>0.45</v>
      </c>
      <c r="O389" s="1448">
        <v>0.4</v>
      </c>
      <c r="P389" s="1448">
        <v>0.35</v>
      </c>
      <c r="Q389" s="1448">
        <v>0.3</v>
      </c>
      <c r="R389" s="1448">
        <v>0.3</v>
      </c>
      <c r="S389" s="1448">
        <v>0.3</v>
      </c>
      <c r="T389" s="1448">
        <v>0.4</v>
      </c>
      <c r="U389" s="1448">
        <v>0.55000000000000004</v>
      </c>
      <c r="V389" s="1448">
        <v>0.6</v>
      </c>
      <c r="W389" s="1448">
        <v>0.5</v>
      </c>
      <c r="X389" s="1448">
        <v>0.55000000000000004</v>
      </c>
      <c r="Y389" s="1448">
        <v>0.45</v>
      </c>
      <c r="Z389" s="1448">
        <v>0.25</v>
      </c>
      <c r="AA389" s="1424">
        <f>SUM(C389:Z389)</f>
        <v>7.8999999999999995</v>
      </c>
      <c r="AB389" s="1425">
        <f>AA389*SUM($C$9:$C$13)</f>
        <v>1974.9999999999998</v>
      </c>
    </row>
    <row r="390" spans="2:28" x14ac:dyDescent="0.3">
      <c r="B390" s="1439" t="s">
        <v>1431</v>
      </c>
      <c r="C390" s="1449">
        <v>0.2</v>
      </c>
      <c r="D390" s="1449">
        <v>0.15</v>
      </c>
      <c r="E390" s="1449">
        <v>0.15</v>
      </c>
      <c r="F390" s="1449">
        <v>0</v>
      </c>
      <c r="G390" s="1449">
        <v>0</v>
      </c>
      <c r="H390" s="1449">
        <v>0</v>
      </c>
      <c r="I390" s="1449">
        <v>0</v>
      </c>
      <c r="J390" s="1449">
        <v>0</v>
      </c>
      <c r="K390" s="1449">
        <v>0</v>
      </c>
      <c r="L390" s="1449">
        <v>0.5</v>
      </c>
      <c r="M390" s="1449">
        <v>0.45</v>
      </c>
      <c r="N390" s="1449">
        <v>0.5</v>
      </c>
      <c r="O390" s="1449">
        <v>0.5</v>
      </c>
      <c r="P390" s="1449">
        <v>0.45</v>
      </c>
      <c r="Q390" s="1449">
        <v>0.4</v>
      </c>
      <c r="R390" s="1449">
        <v>0.4</v>
      </c>
      <c r="S390" s="1449">
        <v>0.35</v>
      </c>
      <c r="T390" s="1449">
        <v>0.4</v>
      </c>
      <c r="U390" s="1449">
        <v>0.55000000000000004</v>
      </c>
      <c r="V390" s="1449">
        <v>0.55000000000000004</v>
      </c>
      <c r="W390" s="1449">
        <v>0.5</v>
      </c>
      <c r="X390" s="1449">
        <v>0.55000000000000004</v>
      </c>
      <c r="Y390" s="1449">
        <v>0.4</v>
      </c>
      <c r="Z390" s="1449">
        <v>0.3</v>
      </c>
      <c r="AA390" s="1428">
        <f>SUM(C390:Z390)</f>
        <v>7.3</v>
      </c>
      <c r="AB390" s="1429">
        <f>AA390*SUM($C$14)</f>
        <v>379.59999999999997</v>
      </c>
    </row>
    <row r="391" spans="2:28" x14ac:dyDescent="0.3">
      <c r="B391" s="1439" t="s">
        <v>1432</v>
      </c>
      <c r="C391" s="1449">
        <v>0.25</v>
      </c>
      <c r="D391" s="1449">
        <v>0.2</v>
      </c>
      <c r="E391" s="1449">
        <v>0.2</v>
      </c>
      <c r="F391" s="1449">
        <v>0</v>
      </c>
      <c r="G391" s="1449">
        <v>0</v>
      </c>
      <c r="H391" s="1449">
        <v>0</v>
      </c>
      <c r="I391" s="1449">
        <v>0</v>
      </c>
      <c r="J391" s="1449">
        <v>0</v>
      </c>
      <c r="K391" s="1449">
        <v>0</v>
      </c>
      <c r="L391" s="1449">
        <v>0</v>
      </c>
      <c r="M391" s="1449">
        <v>0.5</v>
      </c>
      <c r="N391" s="1449">
        <v>0.5</v>
      </c>
      <c r="O391" s="1449">
        <v>0.4</v>
      </c>
      <c r="P391" s="1449">
        <v>0.4</v>
      </c>
      <c r="Q391" s="1449">
        <v>0.3</v>
      </c>
      <c r="R391" s="1449">
        <v>0.3</v>
      </c>
      <c r="S391" s="1449">
        <v>0.3</v>
      </c>
      <c r="T391" s="1449">
        <v>0.4</v>
      </c>
      <c r="U391" s="1449">
        <v>0.5</v>
      </c>
      <c r="V391" s="1449">
        <v>0.5</v>
      </c>
      <c r="W391" s="1449">
        <v>0.4</v>
      </c>
      <c r="X391" s="1449">
        <v>0.5</v>
      </c>
      <c r="Y391" s="1449">
        <v>0.4</v>
      </c>
      <c r="Z391" s="1449">
        <v>0.2</v>
      </c>
      <c r="AA391" s="1428">
        <f>SUM(C391:Z391)</f>
        <v>6.25</v>
      </c>
      <c r="AB391" s="1429">
        <f>AA391*$C$15</f>
        <v>325</v>
      </c>
    </row>
    <row r="392" spans="2:28" x14ac:dyDescent="0.3">
      <c r="B392" s="1441" t="s">
        <v>1463</v>
      </c>
      <c r="C392" s="1450">
        <v>0.25</v>
      </c>
      <c r="D392" s="1450">
        <v>0.2</v>
      </c>
      <c r="E392" s="1450">
        <v>0.2</v>
      </c>
      <c r="F392" s="1450">
        <v>0</v>
      </c>
      <c r="G392" s="1450">
        <v>0</v>
      </c>
      <c r="H392" s="1450">
        <v>0</v>
      </c>
      <c r="I392" s="1450">
        <v>0</v>
      </c>
      <c r="J392" s="1450">
        <v>0</v>
      </c>
      <c r="K392" s="1450">
        <v>0</v>
      </c>
      <c r="L392" s="1450">
        <v>0</v>
      </c>
      <c r="M392" s="1450">
        <v>0.5</v>
      </c>
      <c r="N392" s="1450">
        <v>0.5</v>
      </c>
      <c r="O392" s="1450">
        <v>0.4</v>
      </c>
      <c r="P392" s="1450">
        <v>0.4</v>
      </c>
      <c r="Q392" s="1450">
        <v>0.3</v>
      </c>
      <c r="R392" s="1450">
        <v>0.3</v>
      </c>
      <c r="S392" s="1450">
        <v>0.3</v>
      </c>
      <c r="T392" s="1450">
        <v>0.4</v>
      </c>
      <c r="U392" s="1450">
        <v>0.5</v>
      </c>
      <c r="V392" s="1450">
        <v>0.5</v>
      </c>
      <c r="W392" s="1450">
        <v>0.4</v>
      </c>
      <c r="X392" s="1450">
        <v>0.5</v>
      </c>
      <c r="Y392" s="1450">
        <v>0.4</v>
      </c>
      <c r="Z392" s="1450">
        <v>0.2</v>
      </c>
      <c r="AA392" s="1432">
        <f>SUM(C392:Z392)</f>
        <v>6.25</v>
      </c>
      <c r="AB392" s="1433">
        <f>AA392*SUM($C$8)</f>
        <v>68.75</v>
      </c>
    </row>
    <row r="393" spans="2:28" x14ac:dyDescent="0.3">
      <c r="B393" s="2102" t="s">
        <v>1468</v>
      </c>
      <c r="C393" s="2103"/>
      <c r="D393" s="2103"/>
      <c r="E393" s="2103"/>
      <c r="F393" s="2103"/>
      <c r="G393" s="2103"/>
      <c r="H393" s="2103"/>
      <c r="I393" s="2103"/>
      <c r="J393" s="2103"/>
      <c r="K393" s="2103"/>
      <c r="L393" s="2103"/>
      <c r="M393" s="2103"/>
      <c r="N393" s="2103"/>
      <c r="O393" s="2103"/>
      <c r="P393" s="2103"/>
      <c r="Q393" s="2103"/>
      <c r="R393" s="2103"/>
      <c r="S393" s="2103"/>
      <c r="T393" s="2103"/>
      <c r="U393" s="2103"/>
      <c r="V393" s="2103"/>
      <c r="W393" s="2103"/>
      <c r="X393" s="2103"/>
      <c r="Y393" s="2103"/>
      <c r="Z393" s="2103"/>
      <c r="AA393" s="2103"/>
      <c r="AB393" s="1421">
        <f>SUM(AB389:AB392)</f>
        <v>2748.35</v>
      </c>
    </row>
    <row r="394" spans="2:28" x14ac:dyDescent="0.3">
      <c r="B394" s="1395"/>
      <c r="C394" s="1395"/>
      <c r="D394" s="1395"/>
      <c r="E394" s="1395"/>
      <c r="F394" s="1395"/>
      <c r="G394" s="1395"/>
      <c r="H394" s="1395"/>
      <c r="I394" s="1395"/>
      <c r="J394" s="1395"/>
      <c r="K394" s="1395"/>
      <c r="L394" s="1395"/>
      <c r="M394" s="1395"/>
      <c r="N394" s="1395"/>
      <c r="O394" s="1395"/>
      <c r="P394" s="1395"/>
      <c r="Q394" s="1395"/>
      <c r="R394" s="1395"/>
      <c r="S394" s="1395"/>
      <c r="T394" s="1395"/>
      <c r="U394" s="1395"/>
      <c r="V394" s="1395"/>
      <c r="W394" s="1395"/>
      <c r="X394" s="1395"/>
      <c r="Y394" s="1395"/>
      <c r="Z394" s="1395"/>
      <c r="AA394" s="1395"/>
      <c r="AB394" s="1395"/>
    </row>
    <row r="395" spans="2:28" x14ac:dyDescent="0.3">
      <c r="B395" s="1405" t="s">
        <v>1652</v>
      </c>
      <c r="C395" s="1395"/>
      <c r="D395" s="1395"/>
      <c r="E395" s="1395"/>
      <c r="F395" s="1395"/>
      <c r="G395" s="1395"/>
      <c r="H395" s="1395"/>
      <c r="I395" s="1395"/>
      <c r="J395" s="1395"/>
      <c r="K395" s="1395"/>
      <c r="L395" s="1395"/>
      <c r="M395" s="1395"/>
      <c r="N395" s="1395"/>
      <c r="O395" s="1395"/>
      <c r="P395" s="1395"/>
      <c r="Q395" s="1395"/>
      <c r="R395" s="1395"/>
      <c r="S395" s="1395"/>
      <c r="T395" s="1395"/>
      <c r="U395" s="1395"/>
      <c r="V395" s="1395"/>
      <c r="W395" s="1395"/>
      <c r="X395" s="1395"/>
      <c r="Y395" s="1395"/>
      <c r="Z395" s="1395"/>
      <c r="AA395" s="1395"/>
      <c r="AB395" s="1395"/>
    </row>
    <row r="396" spans="2:28" ht="15" x14ac:dyDescent="0.3">
      <c r="B396" s="1454"/>
      <c r="C396" s="1395"/>
      <c r="D396" s="1395"/>
      <c r="E396" s="1395"/>
      <c r="F396" s="1395"/>
      <c r="G396" s="1395"/>
      <c r="H396" s="1395"/>
      <c r="I396" s="1395"/>
      <c r="J396" s="1395"/>
      <c r="K396" s="1395"/>
      <c r="L396" s="1395"/>
      <c r="M396" s="1395"/>
      <c r="N396" s="1395"/>
      <c r="O396" s="1395"/>
      <c r="P396" s="1395"/>
      <c r="Q396" s="1395"/>
      <c r="R396" s="1395"/>
      <c r="S396" s="1395"/>
      <c r="T396" s="1395"/>
      <c r="U396" s="1395"/>
      <c r="V396" s="1395"/>
      <c r="W396" s="1395"/>
      <c r="X396" s="1395"/>
      <c r="Y396" s="1395"/>
      <c r="Z396" s="1395"/>
      <c r="AA396" s="1395"/>
      <c r="AB396" s="1395"/>
    </row>
    <row r="397" spans="2:28" ht="15" customHeight="1" x14ac:dyDescent="0.3">
      <c r="B397" s="1395" t="s">
        <v>1434</v>
      </c>
      <c r="C397" s="2099" t="s">
        <v>1653</v>
      </c>
      <c r="D397" s="2100"/>
      <c r="E397" s="2100"/>
      <c r="F397" s="2100"/>
      <c r="G397" s="2100"/>
      <c r="H397" s="2100"/>
      <c r="I397" s="2100"/>
      <c r="J397" s="2100"/>
      <c r="K397" s="2100"/>
      <c r="L397" s="2100"/>
      <c r="M397" s="2100"/>
      <c r="N397" s="2100"/>
      <c r="O397" s="2100"/>
      <c r="P397" s="2100"/>
      <c r="Q397" s="2100"/>
      <c r="R397" s="2100"/>
      <c r="S397" s="2100"/>
      <c r="T397" s="2100"/>
      <c r="U397" s="2100"/>
      <c r="V397" s="2100"/>
      <c r="W397" s="2100"/>
      <c r="X397" s="2100"/>
      <c r="Y397" s="2100"/>
      <c r="Z397" s="2100"/>
      <c r="AA397" s="2100"/>
      <c r="AB397" s="2101"/>
    </row>
    <row r="398" spans="2:28" x14ac:dyDescent="0.3">
      <c r="B398" s="1395"/>
      <c r="C398" s="1395"/>
      <c r="D398" s="1395"/>
      <c r="E398" s="1395"/>
      <c r="F398" s="1395"/>
      <c r="G398" s="1395"/>
      <c r="H398" s="1395"/>
      <c r="I398" s="1395"/>
      <c r="J398" s="1395"/>
      <c r="K398" s="1395"/>
      <c r="L398" s="1395"/>
      <c r="M398" s="1395"/>
      <c r="N398" s="1395"/>
      <c r="O398" s="1395"/>
      <c r="P398" s="1395"/>
      <c r="Q398" s="1395"/>
      <c r="R398" s="1395"/>
      <c r="S398" s="1395"/>
      <c r="T398" s="1395"/>
      <c r="U398" s="1395"/>
      <c r="V398" s="1395"/>
      <c r="W398" s="1395"/>
      <c r="X398" s="1395"/>
      <c r="Y398" s="1395"/>
      <c r="Z398" s="1395"/>
      <c r="AA398" s="1395"/>
      <c r="AB398" s="1395"/>
    </row>
    <row r="399" spans="2:28" s="1420" customFormat="1" ht="21" customHeight="1" x14ac:dyDescent="0.3">
      <c r="B399" s="1419"/>
      <c r="C399" s="1418" t="s">
        <v>1435</v>
      </c>
      <c r="D399" s="1419" t="s">
        <v>1436</v>
      </c>
      <c r="E399" s="1419" t="s">
        <v>1437</v>
      </c>
      <c r="F399" s="1419" t="s">
        <v>1438</v>
      </c>
      <c r="G399" s="1419" t="s">
        <v>1439</v>
      </c>
      <c r="H399" s="1419" t="s">
        <v>1440</v>
      </c>
      <c r="I399" s="1419" t="s">
        <v>1441</v>
      </c>
      <c r="J399" s="1419" t="s">
        <v>1442</v>
      </c>
      <c r="K399" s="1419" t="s">
        <v>1443</v>
      </c>
      <c r="L399" s="1419" t="s">
        <v>1444</v>
      </c>
      <c r="M399" s="1419" t="s">
        <v>1445</v>
      </c>
      <c r="N399" s="1419" t="s">
        <v>1446</v>
      </c>
      <c r="O399" s="1419" t="s">
        <v>1447</v>
      </c>
      <c r="P399" s="1419" t="s">
        <v>1448</v>
      </c>
      <c r="Q399" s="1419" t="s">
        <v>1449</v>
      </c>
      <c r="R399" s="1419" t="s">
        <v>1450</v>
      </c>
      <c r="S399" s="1419" t="s">
        <v>1451</v>
      </c>
      <c r="T399" s="1419" t="s">
        <v>1452</v>
      </c>
      <c r="U399" s="1419" t="s">
        <v>1453</v>
      </c>
      <c r="V399" s="1419" t="s">
        <v>1454</v>
      </c>
      <c r="W399" s="1419" t="s">
        <v>1455</v>
      </c>
      <c r="X399" s="1419" t="s">
        <v>1456</v>
      </c>
      <c r="Y399" s="1419" t="s">
        <v>1457</v>
      </c>
      <c r="Z399" s="1419" t="s">
        <v>1458</v>
      </c>
      <c r="AA399" s="1419" t="s">
        <v>1459</v>
      </c>
      <c r="AB399" s="1419" t="s">
        <v>1460</v>
      </c>
    </row>
    <row r="400" spans="2:28" x14ac:dyDescent="0.3">
      <c r="B400" s="1437" t="s">
        <v>1461</v>
      </c>
      <c r="C400" s="1451">
        <v>0</v>
      </c>
      <c r="D400" s="1451">
        <v>0</v>
      </c>
      <c r="E400" s="1451">
        <v>0</v>
      </c>
      <c r="F400" s="1451">
        <v>0</v>
      </c>
      <c r="G400" s="1451">
        <v>0</v>
      </c>
      <c r="H400" s="1451">
        <v>0</v>
      </c>
      <c r="I400" s="1451">
        <v>0</v>
      </c>
      <c r="J400" s="1451">
        <v>1</v>
      </c>
      <c r="K400" s="1451">
        <v>1</v>
      </c>
      <c r="L400" s="1451">
        <v>1</v>
      </c>
      <c r="M400" s="1451">
        <v>1</v>
      </c>
      <c r="N400" s="1451">
        <v>1</v>
      </c>
      <c r="O400" s="1451">
        <v>1</v>
      </c>
      <c r="P400" s="1451">
        <v>1</v>
      </c>
      <c r="Q400" s="1451">
        <v>1</v>
      </c>
      <c r="R400" s="1451">
        <v>1</v>
      </c>
      <c r="S400" s="1451">
        <v>1</v>
      </c>
      <c r="T400" s="1451">
        <v>0</v>
      </c>
      <c r="U400" s="1451">
        <v>0</v>
      </c>
      <c r="V400" s="1451">
        <v>0</v>
      </c>
      <c r="W400" s="1451">
        <v>0</v>
      </c>
      <c r="X400" s="1451">
        <v>0</v>
      </c>
      <c r="Y400" s="1451">
        <v>0</v>
      </c>
      <c r="Z400" s="1451">
        <v>0</v>
      </c>
      <c r="AA400" s="1424">
        <f>SUM(C400:Z400)</f>
        <v>10</v>
      </c>
      <c r="AB400" s="1425">
        <f>AA400*SUM($C$9:$C$13)</f>
        <v>2500</v>
      </c>
    </row>
    <row r="401" spans="2:28" x14ac:dyDescent="0.3">
      <c r="B401" s="1439" t="s">
        <v>1431</v>
      </c>
      <c r="C401" s="1452">
        <v>0</v>
      </c>
      <c r="D401" s="1452">
        <v>0</v>
      </c>
      <c r="E401" s="1452">
        <v>0</v>
      </c>
      <c r="F401" s="1452">
        <v>0</v>
      </c>
      <c r="G401" s="1452">
        <v>0</v>
      </c>
      <c r="H401" s="1452">
        <v>0</v>
      </c>
      <c r="I401" s="1452">
        <v>0</v>
      </c>
      <c r="J401" s="1452">
        <v>0</v>
      </c>
      <c r="K401" s="1452">
        <v>1</v>
      </c>
      <c r="L401" s="1452">
        <v>1</v>
      </c>
      <c r="M401" s="1452">
        <v>1</v>
      </c>
      <c r="N401" s="1452">
        <v>1</v>
      </c>
      <c r="O401" s="1452">
        <v>1</v>
      </c>
      <c r="P401" s="1452">
        <v>1</v>
      </c>
      <c r="Q401" s="1452">
        <v>1</v>
      </c>
      <c r="R401" s="1452">
        <v>1</v>
      </c>
      <c r="S401" s="1452">
        <v>0</v>
      </c>
      <c r="T401" s="1452">
        <v>0</v>
      </c>
      <c r="U401" s="1452">
        <v>0</v>
      </c>
      <c r="V401" s="1452">
        <v>0</v>
      </c>
      <c r="W401" s="1452">
        <v>0</v>
      </c>
      <c r="X401" s="1452">
        <v>0</v>
      </c>
      <c r="Y401" s="1452">
        <v>0</v>
      </c>
      <c r="Z401" s="1452">
        <v>0</v>
      </c>
      <c r="AA401" s="1428">
        <f>SUM(C401:Z401)</f>
        <v>8</v>
      </c>
      <c r="AB401" s="1429">
        <f>AA401*SUM($C$14)</f>
        <v>416</v>
      </c>
    </row>
    <row r="402" spans="2:28" x14ac:dyDescent="0.3">
      <c r="B402" s="1439" t="s">
        <v>1432</v>
      </c>
      <c r="C402" s="1452">
        <v>0</v>
      </c>
      <c r="D402" s="1452">
        <v>0</v>
      </c>
      <c r="E402" s="1452">
        <v>0</v>
      </c>
      <c r="F402" s="1452">
        <v>0</v>
      </c>
      <c r="G402" s="1452">
        <v>0</v>
      </c>
      <c r="H402" s="1452">
        <v>0</v>
      </c>
      <c r="I402" s="1452">
        <v>0</v>
      </c>
      <c r="J402" s="1452">
        <v>0</v>
      </c>
      <c r="K402" s="1452">
        <v>0</v>
      </c>
      <c r="L402" s="1452">
        <v>0</v>
      </c>
      <c r="M402" s="1452">
        <v>0</v>
      </c>
      <c r="N402" s="1452">
        <v>0</v>
      </c>
      <c r="O402" s="1452">
        <v>0</v>
      </c>
      <c r="P402" s="1452">
        <v>0</v>
      </c>
      <c r="Q402" s="1452">
        <v>0</v>
      </c>
      <c r="R402" s="1452">
        <v>0</v>
      </c>
      <c r="S402" s="1452">
        <v>0</v>
      </c>
      <c r="T402" s="1452">
        <v>0</v>
      </c>
      <c r="U402" s="1452">
        <v>0</v>
      </c>
      <c r="V402" s="1452">
        <v>0</v>
      </c>
      <c r="W402" s="1452">
        <v>0</v>
      </c>
      <c r="X402" s="1452">
        <v>0</v>
      </c>
      <c r="Y402" s="1452">
        <v>0</v>
      </c>
      <c r="Z402" s="1452">
        <v>0</v>
      </c>
      <c r="AA402" s="1428">
        <f>SUM(C402:Z402)</f>
        <v>0</v>
      </c>
      <c r="AB402" s="1429">
        <f>AA402*$C$15</f>
        <v>0</v>
      </c>
    </row>
    <row r="403" spans="2:28" x14ac:dyDescent="0.3">
      <c r="B403" s="1441" t="s">
        <v>1463</v>
      </c>
      <c r="C403" s="1453">
        <v>0</v>
      </c>
      <c r="D403" s="1453">
        <v>0</v>
      </c>
      <c r="E403" s="1453">
        <v>0</v>
      </c>
      <c r="F403" s="1453">
        <v>0</v>
      </c>
      <c r="G403" s="1453">
        <v>0</v>
      </c>
      <c r="H403" s="1453">
        <v>0</v>
      </c>
      <c r="I403" s="1453">
        <v>0</v>
      </c>
      <c r="J403" s="1453">
        <v>0</v>
      </c>
      <c r="K403" s="1453">
        <v>0</v>
      </c>
      <c r="L403" s="1453">
        <v>0</v>
      </c>
      <c r="M403" s="1453">
        <v>0</v>
      </c>
      <c r="N403" s="1453">
        <v>0</v>
      </c>
      <c r="O403" s="1453">
        <v>0</v>
      </c>
      <c r="P403" s="1453">
        <v>0</v>
      </c>
      <c r="Q403" s="1453">
        <v>0</v>
      </c>
      <c r="R403" s="1453">
        <v>0</v>
      </c>
      <c r="S403" s="1453">
        <v>0</v>
      </c>
      <c r="T403" s="1453">
        <v>0</v>
      </c>
      <c r="U403" s="1453">
        <v>0</v>
      </c>
      <c r="V403" s="1453">
        <v>0</v>
      </c>
      <c r="W403" s="1453">
        <v>0</v>
      </c>
      <c r="X403" s="1453">
        <v>0</v>
      </c>
      <c r="Y403" s="1453">
        <v>0</v>
      </c>
      <c r="Z403" s="1453">
        <v>0</v>
      </c>
      <c r="AA403" s="1432">
        <f>SUM(C403:Z403)</f>
        <v>0</v>
      </c>
      <c r="AB403" s="1433">
        <f>AA403*SUM($C$8)</f>
        <v>0</v>
      </c>
    </row>
    <row r="404" spans="2:28" x14ac:dyDescent="0.3">
      <c r="B404" s="2102" t="s">
        <v>1464</v>
      </c>
      <c r="C404" s="2103"/>
      <c r="D404" s="2103"/>
      <c r="E404" s="2103"/>
      <c r="F404" s="2103"/>
      <c r="G404" s="2103"/>
      <c r="H404" s="2103"/>
      <c r="I404" s="2103"/>
      <c r="J404" s="2103"/>
      <c r="K404" s="2103"/>
      <c r="L404" s="2103"/>
      <c r="M404" s="2103"/>
      <c r="N404" s="2103"/>
      <c r="O404" s="2103"/>
      <c r="P404" s="2103"/>
      <c r="Q404" s="2103"/>
      <c r="R404" s="2103"/>
      <c r="S404" s="2103"/>
      <c r="T404" s="2103"/>
      <c r="U404" s="2103"/>
      <c r="V404" s="2103"/>
      <c r="W404" s="2103"/>
      <c r="X404" s="2103"/>
      <c r="Y404" s="2103"/>
      <c r="Z404" s="2103"/>
      <c r="AA404" s="2103"/>
      <c r="AB404" s="1421">
        <f>SUM(AB400:AB403)</f>
        <v>2916</v>
      </c>
    </row>
    <row r="405" spans="2:28" x14ac:dyDescent="0.3">
      <c r="B405" s="1395"/>
      <c r="C405" s="1395"/>
      <c r="D405" s="1395"/>
      <c r="E405" s="1395"/>
      <c r="F405" s="1395"/>
      <c r="G405" s="1395"/>
      <c r="H405" s="1395"/>
      <c r="I405" s="1395"/>
      <c r="J405" s="1395"/>
      <c r="K405" s="1395"/>
      <c r="L405" s="1395"/>
      <c r="M405" s="1395"/>
      <c r="N405" s="1395"/>
      <c r="O405" s="1395"/>
      <c r="P405" s="1395"/>
      <c r="Q405" s="1395"/>
      <c r="R405" s="1395"/>
      <c r="S405" s="1395"/>
      <c r="T405" s="1395"/>
      <c r="U405" s="1395"/>
      <c r="V405" s="1395"/>
      <c r="W405" s="1395"/>
      <c r="X405" s="1395"/>
      <c r="Y405" s="1395"/>
      <c r="Z405" s="1395"/>
      <c r="AA405" s="1395"/>
      <c r="AB405" s="1395"/>
    </row>
    <row r="406" spans="2:28" ht="15" customHeight="1" x14ac:dyDescent="0.3">
      <c r="B406" s="1395" t="s">
        <v>1434</v>
      </c>
      <c r="C406" s="2099" t="s">
        <v>1654</v>
      </c>
      <c r="D406" s="2100"/>
      <c r="E406" s="2100"/>
      <c r="F406" s="2100"/>
      <c r="G406" s="2100"/>
      <c r="H406" s="2100"/>
      <c r="I406" s="2100"/>
      <c r="J406" s="2100"/>
      <c r="K406" s="2100"/>
      <c r="L406" s="2100"/>
      <c r="M406" s="2100"/>
      <c r="N406" s="2100"/>
      <c r="O406" s="2100"/>
      <c r="P406" s="2100"/>
      <c r="Q406" s="2100"/>
      <c r="R406" s="2100"/>
      <c r="S406" s="2100"/>
      <c r="T406" s="2100"/>
      <c r="U406" s="2100"/>
      <c r="V406" s="2100"/>
      <c r="W406" s="2100"/>
      <c r="X406" s="2100"/>
      <c r="Y406" s="2100"/>
      <c r="Z406" s="2100"/>
      <c r="AA406" s="2100"/>
      <c r="AB406" s="2101"/>
    </row>
    <row r="407" spans="2:28" x14ac:dyDescent="0.3">
      <c r="B407" s="1395"/>
      <c r="C407" s="1395"/>
      <c r="D407" s="1395"/>
      <c r="E407" s="1395"/>
      <c r="F407" s="1395"/>
      <c r="G407" s="1395"/>
      <c r="H407" s="1395"/>
      <c r="I407" s="1395"/>
      <c r="J407" s="1395"/>
      <c r="K407" s="1395"/>
      <c r="L407" s="1395"/>
      <c r="M407" s="1395"/>
      <c r="N407" s="1395"/>
      <c r="O407" s="1395"/>
      <c r="P407" s="1395"/>
      <c r="Q407" s="1395"/>
      <c r="R407" s="1395"/>
      <c r="S407" s="1395"/>
      <c r="T407" s="1395"/>
      <c r="U407" s="1395"/>
      <c r="V407" s="1395"/>
      <c r="W407" s="1395"/>
      <c r="X407" s="1395"/>
      <c r="Y407" s="1395"/>
      <c r="Z407" s="1395"/>
      <c r="AA407" s="1395"/>
      <c r="AB407" s="1395"/>
    </row>
    <row r="408" spans="2:28" s="1420" customFormat="1" ht="21" customHeight="1" x14ac:dyDescent="0.3">
      <c r="B408" s="1419"/>
      <c r="C408" s="1418" t="s">
        <v>1435</v>
      </c>
      <c r="D408" s="1419" t="s">
        <v>1436</v>
      </c>
      <c r="E408" s="1419" t="s">
        <v>1437</v>
      </c>
      <c r="F408" s="1419" t="s">
        <v>1438</v>
      </c>
      <c r="G408" s="1419" t="s">
        <v>1439</v>
      </c>
      <c r="H408" s="1419" t="s">
        <v>1440</v>
      </c>
      <c r="I408" s="1419" t="s">
        <v>1441</v>
      </c>
      <c r="J408" s="1419" t="s">
        <v>1442</v>
      </c>
      <c r="K408" s="1419" t="s">
        <v>1443</v>
      </c>
      <c r="L408" s="1419" t="s">
        <v>1444</v>
      </c>
      <c r="M408" s="1419" t="s">
        <v>1445</v>
      </c>
      <c r="N408" s="1419" t="s">
        <v>1446</v>
      </c>
      <c r="O408" s="1419" t="s">
        <v>1447</v>
      </c>
      <c r="P408" s="1419" t="s">
        <v>1448</v>
      </c>
      <c r="Q408" s="1419" t="s">
        <v>1449</v>
      </c>
      <c r="R408" s="1419" t="s">
        <v>1450</v>
      </c>
      <c r="S408" s="1419" t="s">
        <v>1451</v>
      </c>
      <c r="T408" s="1419" t="s">
        <v>1452</v>
      </c>
      <c r="U408" s="1419" t="s">
        <v>1453</v>
      </c>
      <c r="V408" s="1419" t="s">
        <v>1454</v>
      </c>
      <c r="W408" s="1419" t="s">
        <v>1455</v>
      </c>
      <c r="X408" s="1419" t="s">
        <v>1456</v>
      </c>
      <c r="Y408" s="1419" t="s">
        <v>1457</v>
      </c>
      <c r="Z408" s="1419" t="s">
        <v>1458</v>
      </c>
      <c r="AA408" s="1419" t="s">
        <v>1466</v>
      </c>
      <c r="AB408" s="1419" t="s">
        <v>1467</v>
      </c>
    </row>
    <row r="409" spans="2:28" x14ac:dyDescent="0.3">
      <c r="B409" s="1437" t="s">
        <v>1461</v>
      </c>
      <c r="C409" s="1448">
        <v>0</v>
      </c>
      <c r="D409" s="1448">
        <v>0</v>
      </c>
      <c r="E409" s="1448">
        <v>0</v>
      </c>
      <c r="F409" s="1448">
        <v>0</v>
      </c>
      <c r="G409" s="1448">
        <v>0</v>
      </c>
      <c r="H409" s="1448">
        <v>0</v>
      </c>
      <c r="I409" s="1448">
        <v>0</v>
      </c>
      <c r="J409" s="1448">
        <v>0.15</v>
      </c>
      <c r="K409" s="1448">
        <v>0.7</v>
      </c>
      <c r="L409" s="1448">
        <v>0.9</v>
      </c>
      <c r="M409" s="1448">
        <v>0.9</v>
      </c>
      <c r="N409" s="1448">
        <v>0.9</v>
      </c>
      <c r="O409" s="1448">
        <v>0.5</v>
      </c>
      <c r="P409" s="1448">
        <v>0.85</v>
      </c>
      <c r="Q409" s="1448">
        <v>0.85</v>
      </c>
      <c r="R409" s="1448">
        <v>0.85</v>
      </c>
      <c r="S409" s="1448">
        <v>0.2</v>
      </c>
      <c r="T409" s="1448">
        <v>0</v>
      </c>
      <c r="U409" s="1448">
        <v>0</v>
      </c>
      <c r="V409" s="1448">
        <v>0</v>
      </c>
      <c r="W409" s="1448">
        <v>0</v>
      </c>
      <c r="X409" s="1448">
        <v>0</v>
      </c>
      <c r="Y409" s="1448">
        <v>0</v>
      </c>
      <c r="Z409" s="1448">
        <v>0</v>
      </c>
      <c r="AA409" s="1424">
        <f>SUM(C409:Z409)</f>
        <v>6.7999999999999989</v>
      </c>
      <c r="AB409" s="1425">
        <f>AA409*SUM($C$9:$C$13)</f>
        <v>1699.9999999999998</v>
      </c>
    </row>
    <row r="410" spans="2:28" x14ac:dyDescent="0.3">
      <c r="B410" s="1439" t="s">
        <v>1431</v>
      </c>
      <c r="C410" s="1449">
        <v>0</v>
      </c>
      <c r="D410" s="1449">
        <v>0</v>
      </c>
      <c r="E410" s="1449">
        <v>0</v>
      </c>
      <c r="F410" s="1449">
        <v>0</v>
      </c>
      <c r="G410" s="1449">
        <v>0</v>
      </c>
      <c r="H410" s="1449">
        <v>0</v>
      </c>
      <c r="I410" s="1449">
        <v>0</v>
      </c>
      <c r="J410" s="1449">
        <v>0</v>
      </c>
      <c r="K410" s="1449">
        <v>0.2</v>
      </c>
      <c r="L410" s="1449">
        <v>0.2</v>
      </c>
      <c r="M410" s="1449">
        <v>0.2</v>
      </c>
      <c r="N410" s="1449">
        <v>0.2</v>
      </c>
      <c r="O410" s="1449">
        <v>0.1</v>
      </c>
      <c r="P410" s="1449">
        <v>0.1</v>
      </c>
      <c r="Q410" s="1449">
        <v>0.1</v>
      </c>
      <c r="R410" s="1449">
        <v>0.1</v>
      </c>
      <c r="S410" s="1449">
        <v>0</v>
      </c>
      <c r="T410" s="1449">
        <v>0</v>
      </c>
      <c r="U410" s="1449">
        <v>0</v>
      </c>
      <c r="V410" s="1449">
        <v>0</v>
      </c>
      <c r="W410" s="1449">
        <v>0</v>
      </c>
      <c r="X410" s="1449">
        <v>0</v>
      </c>
      <c r="Y410" s="1449">
        <v>0</v>
      </c>
      <c r="Z410" s="1449">
        <v>0</v>
      </c>
      <c r="AA410" s="1428">
        <f>SUM(C410:Z410)</f>
        <v>1.2000000000000002</v>
      </c>
      <c r="AB410" s="1429">
        <f>AA410*SUM($C$14)</f>
        <v>62.400000000000006</v>
      </c>
    </row>
    <row r="411" spans="2:28" x14ac:dyDescent="0.3">
      <c r="B411" s="1439" t="s">
        <v>1432</v>
      </c>
      <c r="C411" s="1449">
        <v>0</v>
      </c>
      <c r="D411" s="1449">
        <v>0</v>
      </c>
      <c r="E411" s="1449">
        <v>0</v>
      </c>
      <c r="F411" s="1449">
        <v>0</v>
      </c>
      <c r="G411" s="1449">
        <v>0</v>
      </c>
      <c r="H411" s="1449">
        <v>0</v>
      </c>
      <c r="I411" s="1449">
        <v>0</v>
      </c>
      <c r="J411" s="1449">
        <v>0</v>
      </c>
      <c r="K411" s="1449">
        <v>0</v>
      </c>
      <c r="L411" s="1449">
        <v>0</v>
      </c>
      <c r="M411" s="1449">
        <v>0</v>
      </c>
      <c r="N411" s="1449">
        <v>0</v>
      </c>
      <c r="O411" s="1449">
        <v>0</v>
      </c>
      <c r="P411" s="1449">
        <v>0</v>
      </c>
      <c r="Q411" s="1449">
        <v>0</v>
      </c>
      <c r="R411" s="1449">
        <v>0</v>
      </c>
      <c r="S411" s="1449">
        <v>0</v>
      </c>
      <c r="T411" s="1449">
        <v>0</v>
      </c>
      <c r="U411" s="1449">
        <v>0</v>
      </c>
      <c r="V411" s="1449">
        <v>0</v>
      </c>
      <c r="W411" s="1449">
        <v>0</v>
      </c>
      <c r="X411" s="1449">
        <v>0</v>
      </c>
      <c r="Y411" s="1449">
        <v>0</v>
      </c>
      <c r="Z411" s="1449">
        <v>0</v>
      </c>
      <c r="AA411" s="1428">
        <f>SUM(C411:Z411)</f>
        <v>0</v>
      </c>
      <c r="AB411" s="1429">
        <f>AA411*$C$15</f>
        <v>0</v>
      </c>
    </row>
    <row r="412" spans="2:28" x14ac:dyDescent="0.3">
      <c r="B412" s="1441" t="s">
        <v>1463</v>
      </c>
      <c r="C412" s="1450">
        <v>0</v>
      </c>
      <c r="D412" s="1450">
        <v>0</v>
      </c>
      <c r="E412" s="1450">
        <v>0</v>
      </c>
      <c r="F412" s="1450">
        <v>0</v>
      </c>
      <c r="G412" s="1450">
        <v>0</v>
      </c>
      <c r="H412" s="1450">
        <v>0</v>
      </c>
      <c r="I412" s="1450">
        <v>0</v>
      </c>
      <c r="J412" s="1450">
        <v>0</v>
      </c>
      <c r="K412" s="1450">
        <v>0</v>
      </c>
      <c r="L412" s="1450">
        <v>0</v>
      </c>
      <c r="M412" s="1450">
        <v>0</v>
      </c>
      <c r="N412" s="1450">
        <v>0</v>
      </c>
      <c r="O412" s="1450">
        <v>0</v>
      </c>
      <c r="P412" s="1450">
        <v>0</v>
      </c>
      <c r="Q412" s="1450">
        <v>0</v>
      </c>
      <c r="R412" s="1450">
        <v>0</v>
      </c>
      <c r="S412" s="1450">
        <v>0</v>
      </c>
      <c r="T412" s="1450">
        <v>0</v>
      </c>
      <c r="U412" s="1450">
        <v>0</v>
      </c>
      <c r="V412" s="1450">
        <v>0</v>
      </c>
      <c r="W412" s="1450">
        <v>0</v>
      </c>
      <c r="X412" s="1450">
        <v>0</v>
      </c>
      <c r="Y412" s="1450">
        <v>0</v>
      </c>
      <c r="Z412" s="1450">
        <v>0</v>
      </c>
      <c r="AA412" s="1432">
        <f>SUM(C412:Z412)</f>
        <v>0</v>
      </c>
      <c r="AB412" s="1433">
        <f>AA412*SUM($C$8)</f>
        <v>0</v>
      </c>
    </row>
    <row r="413" spans="2:28" x14ac:dyDescent="0.3">
      <c r="B413" s="2102" t="s">
        <v>1468</v>
      </c>
      <c r="C413" s="2103"/>
      <c r="D413" s="2103"/>
      <c r="E413" s="2103"/>
      <c r="F413" s="2103"/>
      <c r="G413" s="2103"/>
      <c r="H413" s="2103"/>
      <c r="I413" s="2103"/>
      <c r="J413" s="2103"/>
      <c r="K413" s="2103"/>
      <c r="L413" s="2103"/>
      <c r="M413" s="2103"/>
      <c r="N413" s="2103"/>
      <c r="O413" s="2103"/>
      <c r="P413" s="2103"/>
      <c r="Q413" s="2103"/>
      <c r="R413" s="2103"/>
      <c r="S413" s="2103"/>
      <c r="T413" s="2103"/>
      <c r="U413" s="2103"/>
      <c r="V413" s="2103"/>
      <c r="W413" s="2103"/>
      <c r="X413" s="2103"/>
      <c r="Y413" s="2103"/>
      <c r="Z413" s="2103"/>
      <c r="AA413" s="2103"/>
      <c r="AB413" s="1421">
        <f>SUM(AB409:AB412)</f>
        <v>1762.3999999999999</v>
      </c>
    </row>
    <row r="414" spans="2:28" x14ac:dyDescent="0.3">
      <c r="B414" s="1395"/>
      <c r="C414" s="1395"/>
      <c r="D414" s="1395"/>
      <c r="E414" s="1395"/>
      <c r="F414" s="1395"/>
      <c r="G414" s="1395"/>
      <c r="H414" s="1395"/>
      <c r="I414" s="1395"/>
      <c r="J414" s="1395"/>
      <c r="K414" s="1395"/>
      <c r="L414" s="1395"/>
      <c r="M414" s="1395"/>
      <c r="N414" s="1395"/>
      <c r="O414" s="1395"/>
      <c r="P414" s="1395"/>
      <c r="Q414" s="1395"/>
      <c r="R414" s="1395"/>
      <c r="S414" s="1395"/>
      <c r="T414" s="1395"/>
      <c r="U414" s="1395"/>
      <c r="V414" s="1395"/>
      <c r="W414" s="1395"/>
      <c r="X414" s="1395"/>
      <c r="Y414" s="1395"/>
      <c r="Z414" s="1395"/>
      <c r="AA414" s="1395"/>
      <c r="AB414" s="1395"/>
    </row>
    <row r="415" spans="2:28" ht="15" customHeight="1" x14ac:dyDescent="0.3">
      <c r="B415" s="1395" t="s">
        <v>1434</v>
      </c>
      <c r="C415" s="2099" t="s">
        <v>1655</v>
      </c>
      <c r="D415" s="2100"/>
      <c r="E415" s="2100"/>
      <c r="F415" s="2100"/>
      <c r="G415" s="2100"/>
      <c r="H415" s="2100"/>
      <c r="I415" s="2100"/>
      <c r="J415" s="2100"/>
      <c r="K415" s="2100"/>
      <c r="L415" s="2100"/>
      <c r="M415" s="2100"/>
      <c r="N415" s="2100"/>
      <c r="O415" s="2100"/>
      <c r="P415" s="2100"/>
      <c r="Q415" s="2100"/>
      <c r="R415" s="2100"/>
      <c r="S415" s="2100"/>
      <c r="T415" s="2100"/>
      <c r="U415" s="2100"/>
      <c r="V415" s="2100"/>
      <c r="W415" s="2100"/>
      <c r="X415" s="2100"/>
      <c r="Y415" s="2100"/>
      <c r="Z415" s="2100"/>
      <c r="AA415" s="2100"/>
      <c r="AB415" s="2101"/>
    </row>
    <row r="416" spans="2:28" x14ac:dyDescent="0.3">
      <c r="B416" s="1395"/>
      <c r="C416" s="1395"/>
      <c r="D416" s="1395"/>
      <c r="E416" s="1395"/>
      <c r="F416" s="1395"/>
      <c r="G416" s="1395"/>
      <c r="H416" s="1395"/>
      <c r="I416" s="1395"/>
      <c r="J416" s="1395"/>
      <c r="K416" s="1395"/>
      <c r="L416" s="1395"/>
      <c r="M416" s="1395"/>
      <c r="N416" s="1395"/>
      <c r="O416" s="1395"/>
      <c r="P416" s="1395"/>
      <c r="Q416" s="1395"/>
      <c r="R416" s="1395"/>
      <c r="S416" s="1395"/>
      <c r="T416" s="1395"/>
      <c r="U416" s="1395"/>
      <c r="V416" s="1395"/>
      <c r="W416" s="1395"/>
      <c r="X416" s="1395"/>
      <c r="Y416" s="1395"/>
      <c r="Z416" s="1395"/>
      <c r="AA416" s="1395"/>
      <c r="AB416" s="1395"/>
    </row>
    <row r="417" spans="2:28" s="1420" customFormat="1" ht="21" customHeight="1" x14ac:dyDescent="0.3">
      <c r="B417" s="1419"/>
      <c r="C417" s="1418" t="s">
        <v>1435</v>
      </c>
      <c r="D417" s="1419" t="s">
        <v>1436</v>
      </c>
      <c r="E417" s="1419" t="s">
        <v>1437</v>
      </c>
      <c r="F417" s="1419" t="s">
        <v>1438</v>
      </c>
      <c r="G417" s="1419" t="s">
        <v>1439</v>
      </c>
      <c r="H417" s="1419" t="s">
        <v>1440</v>
      </c>
      <c r="I417" s="1419" t="s">
        <v>1441</v>
      </c>
      <c r="J417" s="1419" t="s">
        <v>1442</v>
      </c>
      <c r="K417" s="1419" t="s">
        <v>1443</v>
      </c>
      <c r="L417" s="1419" t="s">
        <v>1444</v>
      </c>
      <c r="M417" s="1419" t="s">
        <v>1445</v>
      </c>
      <c r="N417" s="1419" t="s">
        <v>1446</v>
      </c>
      <c r="O417" s="1419" t="s">
        <v>1447</v>
      </c>
      <c r="P417" s="1419" t="s">
        <v>1448</v>
      </c>
      <c r="Q417" s="1419" t="s">
        <v>1449</v>
      </c>
      <c r="R417" s="1419" t="s">
        <v>1450</v>
      </c>
      <c r="S417" s="1419" t="s">
        <v>1451</v>
      </c>
      <c r="T417" s="1419" t="s">
        <v>1452</v>
      </c>
      <c r="U417" s="1419" t="s">
        <v>1453</v>
      </c>
      <c r="V417" s="1419" t="s">
        <v>1454</v>
      </c>
      <c r="W417" s="1419" t="s">
        <v>1455</v>
      </c>
      <c r="X417" s="1419" t="s">
        <v>1456</v>
      </c>
      <c r="Y417" s="1419" t="s">
        <v>1457</v>
      </c>
      <c r="Z417" s="1419" t="s">
        <v>1458</v>
      </c>
      <c r="AA417" s="1419" t="s">
        <v>1466</v>
      </c>
      <c r="AB417" s="1419" t="s">
        <v>1467</v>
      </c>
    </row>
    <row r="418" spans="2:28" x14ac:dyDescent="0.3">
      <c r="B418" s="1437" t="s">
        <v>1461</v>
      </c>
      <c r="C418" s="1448">
        <v>0.05</v>
      </c>
      <c r="D418" s="1448">
        <v>0.05</v>
      </c>
      <c r="E418" s="1448">
        <v>0.05</v>
      </c>
      <c r="F418" s="1448">
        <v>0.05</v>
      </c>
      <c r="G418" s="1448">
        <v>0.05</v>
      </c>
      <c r="H418" s="1448">
        <v>0.05</v>
      </c>
      <c r="I418" s="1448">
        <v>0.05</v>
      </c>
      <c r="J418" s="1448">
        <v>0.25</v>
      </c>
      <c r="K418" s="1448">
        <v>0.45</v>
      </c>
      <c r="L418" s="1448">
        <v>0.55000000000000004</v>
      </c>
      <c r="M418" s="1448">
        <v>0.55000000000000004</v>
      </c>
      <c r="N418" s="1448">
        <v>0.55000000000000004</v>
      </c>
      <c r="O418" s="1448">
        <v>0.5</v>
      </c>
      <c r="P418" s="1448">
        <v>0.55000000000000004</v>
      </c>
      <c r="Q418" s="1448">
        <v>0.55000000000000004</v>
      </c>
      <c r="R418" s="1448">
        <v>0.55000000000000004</v>
      </c>
      <c r="S418" s="1448">
        <v>0.55000000000000004</v>
      </c>
      <c r="T418" s="1448">
        <v>0.3</v>
      </c>
      <c r="U418" s="1448">
        <v>0.05</v>
      </c>
      <c r="V418" s="1448">
        <v>0.05</v>
      </c>
      <c r="W418" s="1448">
        <v>0.05</v>
      </c>
      <c r="X418" s="1448">
        <v>0.05</v>
      </c>
      <c r="Y418" s="1448">
        <v>0.05</v>
      </c>
      <c r="Z418" s="1448">
        <v>0.05</v>
      </c>
      <c r="AA418" s="1424">
        <f>SUM(C418:Z418)</f>
        <v>5.9999999999999982</v>
      </c>
      <c r="AB418" s="1425">
        <f>AA418*SUM($C$9:$C$13)</f>
        <v>1499.9999999999995</v>
      </c>
    </row>
    <row r="419" spans="2:28" x14ac:dyDescent="0.3">
      <c r="B419" s="1439" t="s">
        <v>1431</v>
      </c>
      <c r="C419" s="1449">
        <v>0.05</v>
      </c>
      <c r="D419" s="1449">
        <v>0.05</v>
      </c>
      <c r="E419" s="1449">
        <v>0.05</v>
      </c>
      <c r="F419" s="1449">
        <v>0.05</v>
      </c>
      <c r="G419" s="1449">
        <v>0.05</v>
      </c>
      <c r="H419" s="1449">
        <v>0.05</v>
      </c>
      <c r="I419" s="1449">
        <v>0.05</v>
      </c>
      <c r="J419" s="1449">
        <v>0.05</v>
      </c>
      <c r="K419" s="1449">
        <v>0.08</v>
      </c>
      <c r="L419" s="1449">
        <v>0.24</v>
      </c>
      <c r="M419" s="1449">
        <v>0.24</v>
      </c>
      <c r="N419" s="1449">
        <v>0.24</v>
      </c>
      <c r="O419" s="1449">
        <v>0.05</v>
      </c>
      <c r="P419" s="1449">
        <v>0.05</v>
      </c>
      <c r="Q419" s="1449">
        <v>0.05</v>
      </c>
      <c r="R419" s="1449">
        <v>0.05</v>
      </c>
      <c r="S419" s="1449">
        <v>0.05</v>
      </c>
      <c r="T419" s="1449">
        <v>0.05</v>
      </c>
      <c r="U419" s="1449">
        <v>0.05</v>
      </c>
      <c r="V419" s="1449">
        <v>0.05</v>
      </c>
      <c r="W419" s="1449">
        <v>0.05</v>
      </c>
      <c r="X419" s="1449">
        <v>0.05</v>
      </c>
      <c r="Y419" s="1449">
        <v>0.05</v>
      </c>
      <c r="Z419" s="1449">
        <v>0.05</v>
      </c>
      <c r="AA419" s="1428">
        <f>SUM(C419:Z419)</f>
        <v>1.8000000000000005</v>
      </c>
      <c r="AB419" s="1429">
        <f>AA419*SUM($C$14)</f>
        <v>93.600000000000023</v>
      </c>
    </row>
    <row r="420" spans="2:28" x14ac:dyDescent="0.3">
      <c r="B420" s="1439" t="s">
        <v>1432</v>
      </c>
      <c r="C420" s="1449">
        <v>0.05</v>
      </c>
      <c r="D420" s="1449">
        <v>0.05</v>
      </c>
      <c r="E420" s="1449">
        <v>0.05</v>
      </c>
      <c r="F420" s="1449">
        <v>0.05</v>
      </c>
      <c r="G420" s="1449">
        <v>0.05</v>
      </c>
      <c r="H420" s="1449">
        <v>0.05</v>
      </c>
      <c r="I420" s="1449">
        <v>0.05</v>
      </c>
      <c r="J420" s="1449">
        <v>0.05</v>
      </c>
      <c r="K420" s="1449">
        <v>0.05</v>
      </c>
      <c r="L420" s="1449">
        <v>0.05</v>
      </c>
      <c r="M420" s="1449">
        <v>0.05</v>
      </c>
      <c r="N420" s="1449">
        <v>0.05</v>
      </c>
      <c r="O420" s="1449">
        <v>0.05</v>
      </c>
      <c r="P420" s="1449">
        <v>0.05</v>
      </c>
      <c r="Q420" s="1449">
        <v>0.05</v>
      </c>
      <c r="R420" s="1449">
        <v>0.05</v>
      </c>
      <c r="S420" s="1449">
        <v>0.05</v>
      </c>
      <c r="T420" s="1449">
        <v>0.05</v>
      </c>
      <c r="U420" s="1449">
        <v>0.05</v>
      </c>
      <c r="V420" s="1449">
        <v>0.05</v>
      </c>
      <c r="W420" s="1449">
        <v>0.05</v>
      </c>
      <c r="X420" s="1449">
        <v>0.05</v>
      </c>
      <c r="Y420" s="1449">
        <v>0.05</v>
      </c>
      <c r="Z420" s="1449">
        <v>0.05</v>
      </c>
      <c r="AA420" s="1428">
        <f>SUM(C420:Z420)</f>
        <v>1.2000000000000004</v>
      </c>
      <c r="AB420" s="1429">
        <f>AA420*$C$15</f>
        <v>62.40000000000002</v>
      </c>
    </row>
    <row r="421" spans="2:28" x14ac:dyDescent="0.3">
      <c r="B421" s="1441" t="s">
        <v>1463</v>
      </c>
      <c r="C421" s="1450">
        <v>0.05</v>
      </c>
      <c r="D421" s="1450">
        <v>0.05</v>
      </c>
      <c r="E421" s="1450">
        <v>0.05</v>
      </c>
      <c r="F421" s="1450">
        <v>0.05</v>
      </c>
      <c r="G421" s="1450">
        <v>0.05</v>
      </c>
      <c r="H421" s="1450">
        <v>0.05</v>
      </c>
      <c r="I421" s="1450">
        <v>0.05</v>
      </c>
      <c r="J421" s="1450">
        <v>0.05</v>
      </c>
      <c r="K421" s="1450">
        <v>0.05</v>
      </c>
      <c r="L421" s="1450">
        <v>0.05</v>
      </c>
      <c r="M421" s="1450">
        <v>0.05</v>
      </c>
      <c r="N421" s="1450">
        <v>0.05</v>
      </c>
      <c r="O421" s="1450">
        <v>0.05</v>
      </c>
      <c r="P421" s="1450">
        <v>0.05</v>
      </c>
      <c r="Q421" s="1450">
        <v>0.05</v>
      </c>
      <c r="R421" s="1450">
        <v>0.05</v>
      </c>
      <c r="S421" s="1450">
        <v>0.05</v>
      </c>
      <c r="T421" s="1450">
        <v>0.05</v>
      </c>
      <c r="U421" s="1450">
        <v>0.05</v>
      </c>
      <c r="V421" s="1450">
        <v>0.05</v>
      </c>
      <c r="W421" s="1450">
        <v>0.05</v>
      </c>
      <c r="X421" s="1450">
        <v>0.05</v>
      </c>
      <c r="Y421" s="1450">
        <v>0.05</v>
      </c>
      <c r="Z421" s="1450">
        <v>0.05</v>
      </c>
      <c r="AA421" s="1432">
        <f>SUM(C421:Z421)</f>
        <v>1.2000000000000004</v>
      </c>
      <c r="AB421" s="1433">
        <f>AA421*SUM($C$8)</f>
        <v>13.200000000000005</v>
      </c>
    </row>
    <row r="422" spans="2:28" x14ac:dyDescent="0.3">
      <c r="B422" s="2102" t="s">
        <v>1468</v>
      </c>
      <c r="C422" s="2103"/>
      <c r="D422" s="2103"/>
      <c r="E422" s="2103"/>
      <c r="F422" s="2103"/>
      <c r="G422" s="2103"/>
      <c r="H422" s="2103"/>
      <c r="I422" s="2103"/>
      <c r="J422" s="2103"/>
      <c r="K422" s="2103"/>
      <c r="L422" s="2103"/>
      <c r="M422" s="2103"/>
      <c r="N422" s="2103"/>
      <c r="O422" s="2103"/>
      <c r="P422" s="2103"/>
      <c r="Q422" s="2103"/>
      <c r="R422" s="2103"/>
      <c r="S422" s="2103"/>
      <c r="T422" s="2103"/>
      <c r="U422" s="2103"/>
      <c r="V422" s="2103"/>
      <c r="W422" s="2103"/>
      <c r="X422" s="2103"/>
      <c r="Y422" s="2103"/>
      <c r="Z422" s="2103"/>
      <c r="AA422" s="2103"/>
      <c r="AB422" s="1421">
        <f>SUM(AB418:AB421)</f>
        <v>1669.1999999999996</v>
      </c>
    </row>
    <row r="423" spans="2:28" x14ac:dyDescent="0.3">
      <c r="B423" s="1395"/>
      <c r="C423" s="1395"/>
      <c r="D423" s="1395"/>
      <c r="E423" s="1395"/>
      <c r="F423" s="1395"/>
      <c r="G423" s="1395"/>
      <c r="H423" s="1395"/>
      <c r="I423" s="1395"/>
      <c r="J423" s="1395"/>
      <c r="K423" s="1395"/>
      <c r="L423" s="1395"/>
      <c r="M423" s="1395"/>
      <c r="N423" s="1395"/>
      <c r="O423" s="1395"/>
      <c r="P423" s="1395"/>
      <c r="Q423" s="1395"/>
      <c r="R423" s="1395"/>
      <c r="S423" s="1395"/>
      <c r="T423" s="1395"/>
      <c r="U423" s="1395"/>
      <c r="V423" s="1395"/>
      <c r="W423" s="1395"/>
      <c r="X423" s="1395"/>
      <c r="Y423" s="1395"/>
      <c r="Z423" s="1395"/>
      <c r="AA423" s="1395"/>
      <c r="AB423" s="1395"/>
    </row>
    <row r="424" spans="2:28" ht="15" customHeight="1" x14ac:dyDescent="0.3">
      <c r="B424" s="1395" t="s">
        <v>1434</v>
      </c>
      <c r="C424" s="2099" t="s">
        <v>1656</v>
      </c>
      <c r="D424" s="2100"/>
      <c r="E424" s="2100"/>
      <c r="F424" s="2100"/>
      <c r="G424" s="2100"/>
      <c r="H424" s="2100"/>
      <c r="I424" s="2100"/>
      <c r="J424" s="2100"/>
      <c r="K424" s="2100"/>
      <c r="L424" s="2100"/>
      <c r="M424" s="2100"/>
      <c r="N424" s="2100"/>
      <c r="O424" s="2100"/>
      <c r="P424" s="2100"/>
      <c r="Q424" s="2100"/>
      <c r="R424" s="2100"/>
      <c r="S424" s="2100"/>
      <c r="T424" s="2100"/>
      <c r="U424" s="2100"/>
      <c r="V424" s="2100"/>
      <c r="W424" s="2100"/>
      <c r="X424" s="2100"/>
      <c r="Y424" s="2100"/>
      <c r="Z424" s="2100"/>
      <c r="AA424" s="2100"/>
      <c r="AB424" s="2101"/>
    </row>
    <row r="425" spans="2:28" x14ac:dyDescent="0.3">
      <c r="B425" s="1395"/>
      <c r="C425" s="1395"/>
      <c r="D425" s="1395"/>
      <c r="E425" s="1395"/>
      <c r="F425" s="1395"/>
      <c r="G425" s="1395"/>
      <c r="H425" s="1395"/>
      <c r="I425" s="1395"/>
      <c r="J425" s="1395"/>
      <c r="K425" s="1395"/>
      <c r="L425" s="1395"/>
      <c r="M425" s="1395"/>
      <c r="N425" s="1395"/>
      <c r="O425" s="1395"/>
      <c r="P425" s="1395"/>
      <c r="Q425" s="1395"/>
      <c r="R425" s="1395"/>
      <c r="S425" s="1395"/>
      <c r="T425" s="1395"/>
      <c r="U425" s="1395"/>
      <c r="V425" s="1395"/>
      <c r="W425" s="1395"/>
      <c r="X425" s="1395"/>
      <c r="Y425" s="1395"/>
      <c r="Z425" s="1395"/>
      <c r="AA425" s="1395"/>
      <c r="AB425" s="1395"/>
    </row>
    <row r="426" spans="2:28" s="1420" customFormat="1" ht="21" customHeight="1" x14ac:dyDescent="0.3">
      <c r="B426" s="1419"/>
      <c r="C426" s="1418" t="s">
        <v>1435</v>
      </c>
      <c r="D426" s="1419" t="s">
        <v>1436</v>
      </c>
      <c r="E426" s="1419" t="s">
        <v>1437</v>
      </c>
      <c r="F426" s="1419" t="s">
        <v>1438</v>
      </c>
      <c r="G426" s="1419" t="s">
        <v>1439</v>
      </c>
      <c r="H426" s="1419" t="s">
        <v>1440</v>
      </c>
      <c r="I426" s="1419" t="s">
        <v>1441</v>
      </c>
      <c r="J426" s="1419" t="s">
        <v>1442</v>
      </c>
      <c r="K426" s="1419" t="s">
        <v>1443</v>
      </c>
      <c r="L426" s="1419" t="s">
        <v>1444</v>
      </c>
      <c r="M426" s="1419" t="s">
        <v>1445</v>
      </c>
      <c r="N426" s="1419" t="s">
        <v>1446</v>
      </c>
      <c r="O426" s="1419" t="s">
        <v>1447</v>
      </c>
      <c r="P426" s="1419" t="s">
        <v>1448</v>
      </c>
      <c r="Q426" s="1419" t="s">
        <v>1449</v>
      </c>
      <c r="R426" s="1419" t="s">
        <v>1450</v>
      </c>
      <c r="S426" s="1419" t="s">
        <v>1451</v>
      </c>
      <c r="T426" s="1419" t="s">
        <v>1452</v>
      </c>
      <c r="U426" s="1419" t="s">
        <v>1453</v>
      </c>
      <c r="V426" s="1419" t="s">
        <v>1454</v>
      </c>
      <c r="W426" s="1419" t="s">
        <v>1455</v>
      </c>
      <c r="X426" s="1419" t="s">
        <v>1456</v>
      </c>
      <c r="Y426" s="1419" t="s">
        <v>1457</v>
      </c>
      <c r="Z426" s="1419" t="s">
        <v>1458</v>
      </c>
      <c r="AA426" s="1419" t="s">
        <v>1466</v>
      </c>
      <c r="AB426" s="1419" t="s">
        <v>1467</v>
      </c>
    </row>
    <row r="427" spans="2:28" x14ac:dyDescent="0.3">
      <c r="B427" s="1437" t="s">
        <v>1461</v>
      </c>
      <c r="C427" s="1448">
        <v>0.05</v>
      </c>
      <c r="D427" s="1448">
        <v>0.05</v>
      </c>
      <c r="E427" s="1448">
        <v>0.05</v>
      </c>
      <c r="F427" s="1448">
        <v>0.05</v>
      </c>
      <c r="G427" s="1448">
        <v>0.05</v>
      </c>
      <c r="H427" s="1448">
        <v>0.05</v>
      </c>
      <c r="I427" s="1448">
        <v>0.05</v>
      </c>
      <c r="J427" s="1448">
        <v>0.4</v>
      </c>
      <c r="K427" s="1448">
        <v>0.7</v>
      </c>
      <c r="L427" s="1448">
        <v>0.9</v>
      </c>
      <c r="M427" s="1448">
        <v>0.9</v>
      </c>
      <c r="N427" s="1448">
        <v>0.9</v>
      </c>
      <c r="O427" s="1448">
        <v>0.8</v>
      </c>
      <c r="P427" s="1448">
        <v>0.9</v>
      </c>
      <c r="Q427" s="1448">
        <v>0.9</v>
      </c>
      <c r="R427" s="1448">
        <v>0.9</v>
      </c>
      <c r="S427" s="1448">
        <v>0.9</v>
      </c>
      <c r="T427" s="1448">
        <v>0.3</v>
      </c>
      <c r="U427" s="1448">
        <v>0.05</v>
      </c>
      <c r="V427" s="1448">
        <v>0.05</v>
      </c>
      <c r="W427" s="1448">
        <v>0.05</v>
      </c>
      <c r="X427" s="1448">
        <v>0.05</v>
      </c>
      <c r="Y427" s="1448">
        <v>0.05</v>
      </c>
      <c r="Z427" s="1448">
        <v>0.05</v>
      </c>
      <c r="AA427" s="1424">
        <f>SUM(C427:Z427)</f>
        <v>9.1500000000000057</v>
      </c>
      <c r="AB427" s="1425">
        <f>AA427*SUM($C$9:$C$13)</f>
        <v>2287.5000000000014</v>
      </c>
    </row>
    <row r="428" spans="2:28" x14ac:dyDescent="0.3">
      <c r="B428" s="1439" t="s">
        <v>1431</v>
      </c>
      <c r="C428" s="1449">
        <v>0.05</v>
      </c>
      <c r="D428" s="1449">
        <v>0.05</v>
      </c>
      <c r="E428" s="1449">
        <v>0.05</v>
      </c>
      <c r="F428" s="1449">
        <v>0.05</v>
      </c>
      <c r="G428" s="1449">
        <v>0.05</v>
      </c>
      <c r="H428" s="1449">
        <v>0.05</v>
      </c>
      <c r="I428" s="1449">
        <v>0.05</v>
      </c>
      <c r="J428" s="1449">
        <v>0.05</v>
      </c>
      <c r="K428" s="1449">
        <v>0.08</v>
      </c>
      <c r="L428" s="1449">
        <v>0.24</v>
      </c>
      <c r="M428" s="1449">
        <v>0.24</v>
      </c>
      <c r="N428" s="1449">
        <v>0.24</v>
      </c>
      <c r="O428" s="1449">
        <v>0.05</v>
      </c>
      <c r="P428" s="1449">
        <v>0.05</v>
      </c>
      <c r="Q428" s="1449">
        <v>0.05</v>
      </c>
      <c r="R428" s="1449">
        <v>0.05</v>
      </c>
      <c r="S428" s="1449">
        <v>0.05</v>
      </c>
      <c r="T428" s="1449">
        <v>0.05</v>
      </c>
      <c r="U428" s="1449">
        <v>0.05</v>
      </c>
      <c r="V428" s="1449">
        <v>0.05</v>
      </c>
      <c r="W428" s="1449">
        <v>0.05</v>
      </c>
      <c r="X428" s="1449">
        <v>0.05</v>
      </c>
      <c r="Y428" s="1449">
        <v>0.05</v>
      </c>
      <c r="Z428" s="1449">
        <v>0.05</v>
      </c>
      <c r="AA428" s="1428">
        <f>SUM(C428:Z428)</f>
        <v>1.8000000000000005</v>
      </c>
      <c r="AB428" s="1429">
        <f>AA428*SUM($C$14)</f>
        <v>93.600000000000023</v>
      </c>
    </row>
    <row r="429" spans="2:28" x14ac:dyDescent="0.3">
      <c r="B429" s="1439" t="s">
        <v>1432</v>
      </c>
      <c r="C429" s="1449">
        <v>0.05</v>
      </c>
      <c r="D429" s="1449">
        <v>0.05</v>
      </c>
      <c r="E429" s="1449">
        <v>0.05</v>
      </c>
      <c r="F429" s="1449">
        <v>0.05</v>
      </c>
      <c r="G429" s="1449">
        <v>0.05</v>
      </c>
      <c r="H429" s="1449">
        <v>0.05</v>
      </c>
      <c r="I429" s="1449">
        <v>0.05</v>
      </c>
      <c r="J429" s="1449">
        <v>0.05</v>
      </c>
      <c r="K429" s="1449">
        <v>0.05</v>
      </c>
      <c r="L429" s="1449">
        <v>0.05</v>
      </c>
      <c r="M429" s="1449">
        <v>0.05</v>
      </c>
      <c r="N429" s="1449">
        <v>0.05</v>
      </c>
      <c r="O429" s="1449">
        <v>0.05</v>
      </c>
      <c r="P429" s="1449">
        <v>0.05</v>
      </c>
      <c r="Q429" s="1449">
        <v>0.05</v>
      </c>
      <c r="R429" s="1449">
        <v>0.05</v>
      </c>
      <c r="S429" s="1449">
        <v>0.05</v>
      </c>
      <c r="T429" s="1449">
        <v>0.05</v>
      </c>
      <c r="U429" s="1449">
        <v>0.05</v>
      </c>
      <c r="V429" s="1449">
        <v>0.05</v>
      </c>
      <c r="W429" s="1449">
        <v>0.05</v>
      </c>
      <c r="X429" s="1449">
        <v>0.05</v>
      </c>
      <c r="Y429" s="1449">
        <v>0.05</v>
      </c>
      <c r="Z429" s="1449">
        <v>0.05</v>
      </c>
      <c r="AA429" s="1428">
        <f>SUM(C429:Z429)</f>
        <v>1.2000000000000004</v>
      </c>
      <c r="AB429" s="1429">
        <f>AA429*$C$15</f>
        <v>62.40000000000002</v>
      </c>
    </row>
    <row r="430" spans="2:28" x14ac:dyDescent="0.3">
      <c r="B430" s="1441" t="s">
        <v>1463</v>
      </c>
      <c r="C430" s="1450">
        <v>0.05</v>
      </c>
      <c r="D430" s="1450">
        <v>0.05</v>
      </c>
      <c r="E430" s="1450">
        <v>0.05</v>
      </c>
      <c r="F430" s="1450">
        <v>0.05</v>
      </c>
      <c r="G430" s="1450">
        <v>0.05</v>
      </c>
      <c r="H430" s="1450">
        <v>0.05</v>
      </c>
      <c r="I430" s="1450">
        <v>0.05</v>
      </c>
      <c r="J430" s="1450">
        <v>0.05</v>
      </c>
      <c r="K430" s="1450">
        <v>0.05</v>
      </c>
      <c r="L430" s="1450">
        <v>0.05</v>
      </c>
      <c r="M430" s="1450">
        <v>0.05</v>
      </c>
      <c r="N430" s="1450">
        <v>0.05</v>
      </c>
      <c r="O430" s="1450">
        <v>0.05</v>
      </c>
      <c r="P430" s="1450">
        <v>0.05</v>
      </c>
      <c r="Q430" s="1450">
        <v>0.05</v>
      </c>
      <c r="R430" s="1450">
        <v>0.05</v>
      </c>
      <c r="S430" s="1450">
        <v>0.05</v>
      </c>
      <c r="T430" s="1450">
        <v>0.05</v>
      </c>
      <c r="U430" s="1450">
        <v>0.05</v>
      </c>
      <c r="V430" s="1450">
        <v>0.05</v>
      </c>
      <c r="W430" s="1450">
        <v>0.05</v>
      </c>
      <c r="X430" s="1450">
        <v>0.05</v>
      </c>
      <c r="Y430" s="1450">
        <v>0.05</v>
      </c>
      <c r="Z430" s="1450">
        <v>0.05</v>
      </c>
      <c r="AA430" s="1432">
        <f>SUM(C430:Z430)</f>
        <v>1.2000000000000004</v>
      </c>
      <c r="AB430" s="1433">
        <f>AA430*SUM($C$8)</f>
        <v>13.200000000000005</v>
      </c>
    </row>
    <row r="431" spans="2:28" x14ac:dyDescent="0.3">
      <c r="B431" s="2102" t="s">
        <v>1468</v>
      </c>
      <c r="C431" s="2103"/>
      <c r="D431" s="2103"/>
      <c r="E431" s="2103"/>
      <c r="F431" s="2103"/>
      <c r="G431" s="2103"/>
      <c r="H431" s="2103"/>
      <c r="I431" s="2103"/>
      <c r="J431" s="2103"/>
      <c r="K431" s="2103"/>
      <c r="L431" s="2103"/>
      <c r="M431" s="2103"/>
      <c r="N431" s="2103"/>
      <c r="O431" s="2103"/>
      <c r="P431" s="2103"/>
      <c r="Q431" s="2103"/>
      <c r="R431" s="2103"/>
      <c r="S431" s="2103"/>
      <c r="T431" s="2103"/>
      <c r="U431" s="2103"/>
      <c r="V431" s="2103"/>
      <c r="W431" s="2103"/>
      <c r="X431" s="2103"/>
      <c r="Y431" s="2103"/>
      <c r="Z431" s="2103"/>
      <c r="AA431" s="2103"/>
      <c r="AB431" s="1421">
        <f>SUM(AB427:AB430)</f>
        <v>2456.7000000000012</v>
      </c>
    </row>
    <row r="432" spans="2:28" x14ac:dyDescent="0.3">
      <c r="B432" s="1395"/>
      <c r="C432" s="1395"/>
      <c r="D432" s="1395"/>
      <c r="E432" s="1395"/>
      <c r="F432" s="1395"/>
      <c r="G432" s="1395"/>
      <c r="H432" s="1395"/>
      <c r="I432" s="1395"/>
      <c r="J432" s="1395"/>
      <c r="K432" s="1395"/>
      <c r="L432" s="1395"/>
      <c r="M432" s="1395"/>
      <c r="N432" s="1395"/>
      <c r="O432" s="1395"/>
      <c r="P432" s="1395"/>
      <c r="Q432" s="1395"/>
      <c r="R432" s="1395"/>
      <c r="S432" s="1395"/>
      <c r="T432" s="1395"/>
      <c r="U432" s="1395"/>
      <c r="V432" s="1395"/>
      <c r="W432" s="1395"/>
      <c r="X432" s="1395"/>
      <c r="Y432" s="1395"/>
      <c r="Z432" s="1395"/>
      <c r="AA432" s="1395"/>
      <c r="AB432" s="1395"/>
    </row>
    <row r="433" spans="2:28" ht="15" customHeight="1" x14ac:dyDescent="0.3">
      <c r="B433" s="1395" t="s">
        <v>1434</v>
      </c>
      <c r="C433" s="2099" t="s">
        <v>1657</v>
      </c>
      <c r="D433" s="2100"/>
      <c r="E433" s="2100"/>
      <c r="F433" s="2100"/>
      <c r="G433" s="2100"/>
      <c r="H433" s="2100"/>
      <c r="I433" s="2100"/>
      <c r="J433" s="2100"/>
      <c r="K433" s="2100"/>
      <c r="L433" s="2100"/>
      <c r="M433" s="2100"/>
      <c r="N433" s="2100"/>
      <c r="O433" s="2100"/>
      <c r="P433" s="2100"/>
      <c r="Q433" s="2100"/>
      <c r="R433" s="2100"/>
      <c r="S433" s="2100"/>
      <c r="T433" s="2100"/>
      <c r="U433" s="2100"/>
      <c r="V433" s="2100"/>
      <c r="W433" s="2100"/>
      <c r="X433" s="2100"/>
      <c r="Y433" s="2100"/>
      <c r="Z433" s="2100"/>
      <c r="AA433" s="2100"/>
      <c r="AB433" s="2101"/>
    </row>
    <row r="434" spans="2:28" x14ac:dyDescent="0.3">
      <c r="B434" s="1395"/>
      <c r="C434" s="1395"/>
      <c r="D434" s="1395"/>
      <c r="E434" s="1395"/>
      <c r="F434" s="1395"/>
      <c r="G434" s="1395"/>
      <c r="H434" s="1395"/>
      <c r="I434" s="1395"/>
      <c r="J434" s="1395"/>
      <c r="K434" s="1395"/>
      <c r="L434" s="1395"/>
      <c r="M434" s="1395"/>
      <c r="N434" s="1395"/>
      <c r="O434" s="1395"/>
      <c r="P434" s="1395"/>
      <c r="Q434" s="1395"/>
      <c r="R434" s="1395"/>
      <c r="S434" s="1395"/>
      <c r="T434" s="1395"/>
      <c r="U434" s="1395"/>
      <c r="V434" s="1395"/>
      <c r="W434" s="1395"/>
      <c r="X434" s="1395"/>
      <c r="Y434" s="1395"/>
      <c r="Z434" s="1395"/>
      <c r="AA434" s="1395"/>
      <c r="AB434" s="1395"/>
    </row>
    <row r="435" spans="2:28" s="1420" customFormat="1" ht="21" customHeight="1" x14ac:dyDescent="0.3">
      <c r="B435" s="1419"/>
      <c r="C435" s="1418" t="s">
        <v>1435</v>
      </c>
      <c r="D435" s="1419" t="s">
        <v>1436</v>
      </c>
      <c r="E435" s="1419" t="s">
        <v>1437</v>
      </c>
      <c r="F435" s="1419" t="s">
        <v>1438</v>
      </c>
      <c r="G435" s="1419" t="s">
        <v>1439</v>
      </c>
      <c r="H435" s="1419" t="s">
        <v>1440</v>
      </c>
      <c r="I435" s="1419" t="s">
        <v>1441</v>
      </c>
      <c r="J435" s="1419" t="s">
        <v>1442</v>
      </c>
      <c r="K435" s="1419" t="s">
        <v>1443</v>
      </c>
      <c r="L435" s="1419" t="s">
        <v>1444</v>
      </c>
      <c r="M435" s="1419" t="s">
        <v>1445</v>
      </c>
      <c r="N435" s="1419" t="s">
        <v>1446</v>
      </c>
      <c r="O435" s="1419" t="s">
        <v>1447</v>
      </c>
      <c r="P435" s="1419" t="s">
        <v>1448</v>
      </c>
      <c r="Q435" s="1419" t="s">
        <v>1449</v>
      </c>
      <c r="R435" s="1419" t="s">
        <v>1450</v>
      </c>
      <c r="S435" s="1419" t="s">
        <v>1451</v>
      </c>
      <c r="T435" s="1419" t="s">
        <v>1452</v>
      </c>
      <c r="U435" s="1419" t="s">
        <v>1453</v>
      </c>
      <c r="V435" s="1419" t="s">
        <v>1454</v>
      </c>
      <c r="W435" s="1419" t="s">
        <v>1455</v>
      </c>
      <c r="X435" s="1419" t="s">
        <v>1456</v>
      </c>
      <c r="Y435" s="1419" t="s">
        <v>1457</v>
      </c>
      <c r="Z435" s="1419" t="s">
        <v>1458</v>
      </c>
      <c r="AA435" s="1419" t="s">
        <v>1466</v>
      </c>
      <c r="AB435" s="1419" t="s">
        <v>1467</v>
      </c>
    </row>
    <row r="436" spans="2:28" x14ac:dyDescent="0.3">
      <c r="B436" s="1437" t="s">
        <v>1461</v>
      </c>
      <c r="C436" s="1448">
        <v>0.02</v>
      </c>
      <c r="D436" s="1448">
        <v>0.02</v>
      </c>
      <c r="E436" s="1448">
        <v>0.02</v>
      </c>
      <c r="F436" s="1448">
        <v>0.02</v>
      </c>
      <c r="G436" s="1448">
        <v>0.05</v>
      </c>
      <c r="H436" s="1448">
        <v>7.0000000000000007E-2</v>
      </c>
      <c r="I436" s="1448">
        <v>7.0000000000000007E-2</v>
      </c>
      <c r="J436" s="1448">
        <v>0.1</v>
      </c>
      <c r="K436" s="1448">
        <v>0.3</v>
      </c>
      <c r="L436" s="1448">
        <v>0.36</v>
      </c>
      <c r="M436" s="1448">
        <v>0.36</v>
      </c>
      <c r="N436" s="1448">
        <v>0.46</v>
      </c>
      <c r="O436" s="1448">
        <v>0.56999999999999995</v>
      </c>
      <c r="P436" s="1448">
        <v>0.43</v>
      </c>
      <c r="Q436" s="1448">
        <v>0.38</v>
      </c>
      <c r="R436" s="1448">
        <v>0.4</v>
      </c>
      <c r="S436" s="1448">
        <v>0.3</v>
      </c>
      <c r="T436" s="1448">
        <v>0.18</v>
      </c>
      <c r="U436" s="1448">
        <v>0.03</v>
      </c>
      <c r="V436" s="1448">
        <v>0.03</v>
      </c>
      <c r="W436" s="1448">
        <v>0.03</v>
      </c>
      <c r="X436" s="1448">
        <v>0.03</v>
      </c>
      <c r="Y436" s="1448">
        <v>0.03</v>
      </c>
      <c r="Z436" s="1448">
        <v>0.03</v>
      </c>
      <c r="AA436" s="1424">
        <f>SUM(C436:Z436)</f>
        <v>4.2900000000000009</v>
      </c>
      <c r="AB436" s="1425">
        <f>AA436*SUM($C$9:$C$13)</f>
        <v>1072.5000000000002</v>
      </c>
    </row>
    <row r="437" spans="2:28" x14ac:dyDescent="0.3">
      <c r="B437" s="1439" t="s">
        <v>1431</v>
      </c>
      <c r="C437" s="1449">
        <v>0.02</v>
      </c>
      <c r="D437" s="1449">
        <v>0.02</v>
      </c>
      <c r="E437" s="1449">
        <v>0.02</v>
      </c>
      <c r="F437" s="1449">
        <v>0.02</v>
      </c>
      <c r="G437" s="1449">
        <v>0.02</v>
      </c>
      <c r="H437" s="1449">
        <v>0.02</v>
      </c>
      <c r="I437" s="1449">
        <v>0.02</v>
      </c>
      <c r="J437" s="1449">
        <v>0.02</v>
      </c>
      <c r="K437" s="1449">
        <v>0.06</v>
      </c>
      <c r="L437" s="1449">
        <v>0.12</v>
      </c>
      <c r="M437" s="1449">
        <v>0.12</v>
      </c>
      <c r="N437" s="1449">
        <v>0.17</v>
      </c>
      <c r="O437" s="1449">
        <v>0.04</v>
      </c>
      <c r="P437" s="1449">
        <v>0.04</v>
      </c>
      <c r="Q437" s="1449">
        <v>0.02</v>
      </c>
      <c r="R437" s="1449">
        <v>0.02</v>
      </c>
      <c r="S437" s="1449">
        <v>0.02</v>
      </c>
      <c r="T437" s="1449">
        <v>0.02</v>
      </c>
      <c r="U437" s="1449">
        <v>0.02</v>
      </c>
      <c r="V437" s="1449">
        <v>0.02</v>
      </c>
      <c r="W437" s="1449">
        <v>0.02</v>
      </c>
      <c r="X437" s="1449">
        <v>0.02</v>
      </c>
      <c r="Y437" s="1449">
        <v>0.02</v>
      </c>
      <c r="Z437" s="1449">
        <v>0.02</v>
      </c>
      <c r="AA437" s="1428">
        <f>SUM(C437:Z437)</f>
        <v>0.91000000000000025</v>
      </c>
      <c r="AB437" s="1429">
        <f>AA437*SUM($C$14)</f>
        <v>47.320000000000014</v>
      </c>
    </row>
    <row r="438" spans="2:28" x14ac:dyDescent="0.3">
      <c r="B438" s="1439" t="s">
        <v>1432</v>
      </c>
      <c r="C438" s="1449">
        <v>0.02</v>
      </c>
      <c r="D438" s="1449">
        <v>0.02</v>
      </c>
      <c r="E438" s="1449">
        <v>0.02</v>
      </c>
      <c r="F438" s="1449">
        <v>0.02</v>
      </c>
      <c r="G438" s="1449">
        <v>0.02</v>
      </c>
      <c r="H438" s="1449">
        <v>0.02</v>
      </c>
      <c r="I438" s="1449">
        <v>0.02</v>
      </c>
      <c r="J438" s="1449">
        <v>0.02</v>
      </c>
      <c r="K438" s="1449">
        <v>0.02</v>
      </c>
      <c r="L438" s="1449">
        <v>0.02</v>
      </c>
      <c r="M438" s="1449">
        <v>0.02</v>
      </c>
      <c r="N438" s="1449">
        <v>0.02</v>
      </c>
      <c r="O438" s="1449">
        <v>0.04</v>
      </c>
      <c r="P438" s="1449">
        <v>0.04</v>
      </c>
      <c r="Q438" s="1449">
        <v>0.02</v>
      </c>
      <c r="R438" s="1449">
        <v>0.02</v>
      </c>
      <c r="S438" s="1449">
        <v>0.02</v>
      </c>
      <c r="T438" s="1449">
        <v>0.02</v>
      </c>
      <c r="U438" s="1449">
        <v>0.02</v>
      </c>
      <c r="V438" s="1449">
        <v>0.02</v>
      </c>
      <c r="W438" s="1449">
        <v>0.02</v>
      </c>
      <c r="X438" s="1449">
        <v>0.02</v>
      </c>
      <c r="Y438" s="1449">
        <v>0.02</v>
      </c>
      <c r="Z438" s="1449">
        <v>0.02</v>
      </c>
      <c r="AA438" s="1428">
        <f>SUM(C438:Z438)</f>
        <v>0.52000000000000013</v>
      </c>
      <c r="AB438" s="1429">
        <f>AA438*$C$15</f>
        <v>27.040000000000006</v>
      </c>
    </row>
    <row r="439" spans="2:28" x14ac:dyDescent="0.3">
      <c r="B439" s="1441" t="s">
        <v>1463</v>
      </c>
      <c r="C439" s="1450">
        <v>0.02</v>
      </c>
      <c r="D439" s="1450">
        <v>0.02</v>
      </c>
      <c r="E439" s="1450">
        <v>0.02</v>
      </c>
      <c r="F439" s="1450">
        <v>0.02</v>
      </c>
      <c r="G439" s="1450">
        <v>0.02</v>
      </c>
      <c r="H439" s="1450">
        <v>0.02</v>
      </c>
      <c r="I439" s="1450">
        <v>0.02</v>
      </c>
      <c r="J439" s="1450">
        <v>0.02</v>
      </c>
      <c r="K439" s="1450">
        <v>0.02</v>
      </c>
      <c r="L439" s="1450">
        <v>0.02</v>
      </c>
      <c r="M439" s="1450">
        <v>0.02</v>
      </c>
      <c r="N439" s="1450">
        <v>0.02</v>
      </c>
      <c r="O439" s="1450">
        <v>0.04</v>
      </c>
      <c r="P439" s="1450">
        <v>0.04</v>
      </c>
      <c r="Q439" s="1450">
        <v>0.02</v>
      </c>
      <c r="R439" s="1450">
        <v>0.02</v>
      </c>
      <c r="S439" s="1450">
        <v>0.02</v>
      </c>
      <c r="T439" s="1450">
        <v>0.02</v>
      </c>
      <c r="U439" s="1450">
        <v>0.02</v>
      </c>
      <c r="V439" s="1450">
        <v>0.02</v>
      </c>
      <c r="W439" s="1450">
        <v>0.02</v>
      </c>
      <c r="X439" s="1450">
        <v>0.02</v>
      </c>
      <c r="Y439" s="1450">
        <v>0.02</v>
      </c>
      <c r="Z439" s="1450">
        <v>0.02</v>
      </c>
      <c r="AA439" s="1432">
        <f>SUM(C439:Z439)</f>
        <v>0.52000000000000013</v>
      </c>
      <c r="AB439" s="1433">
        <f>AA439*SUM($C$8)</f>
        <v>5.7200000000000015</v>
      </c>
    </row>
    <row r="440" spans="2:28" x14ac:dyDescent="0.3">
      <c r="B440" s="2102" t="s">
        <v>1468</v>
      </c>
      <c r="C440" s="2103"/>
      <c r="D440" s="2103"/>
      <c r="E440" s="2103"/>
      <c r="F440" s="2103"/>
      <c r="G440" s="2103"/>
      <c r="H440" s="2103"/>
      <c r="I440" s="2103"/>
      <c r="J440" s="2103"/>
      <c r="K440" s="2103"/>
      <c r="L440" s="2103"/>
      <c r="M440" s="2103"/>
      <c r="N440" s="2103"/>
      <c r="O440" s="2103"/>
      <c r="P440" s="2103"/>
      <c r="Q440" s="2103"/>
      <c r="R440" s="2103"/>
      <c r="S440" s="2103"/>
      <c r="T440" s="2103"/>
      <c r="U440" s="2103"/>
      <c r="V440" s="2103"/>
      <c r="W440" s="2103"/>
      <c r="X440" s="2103"/>
      <c r="Y440" s="2103"/>
      <c r="Z440" s="2103"/>
      <c r="AA440" s="2103"/>
      <c r="AB440" s="1421">
        <f>SUM(AB436:AB439)</f>
        <v>1152.5800000000002</v>
      </c>
    </row>
    <row r="441" spans="2:28" x14ac:dyDescent="0.3">
      <c r="B441" s="1395"/>
      <c r="C441" s="1395"/>
      <c r="D441" s="1395"/>
      <c r="E441" s="1395"/>
      <c r="F441" s="1395"/>
      <c r="G441" s="1395"/>
      <c r="H441" s="1395"/>
      <c r="I441" s="1395"/>
      <c r="J441" s="1395"/>
      <c r="K441" s="1395"/>
      <c r="L441" s="1395"/>
      <c r="M441" s="1395"/>
      <c r="N441" s="1395"/>
      <c r="O441" s="1395"/>
      <c r="P441" s="1395"/>
      <c r="Q441" s="1395"/>
      <c r="R441" s="1395"/>
      <c r="S441" s="1395"/>
      <c r="T441" s="1395"/>
      <c r="U441" s="1395"/>
      <c r="V441" s="1395"/>
      <c r="W441" s="1395"/>
      <c r="X441" s="1395"/>
      <c r="Y441" s="1395"/>
      <c r="Z441" s="1395"/>
      <c r="AA441" s="1395"/>
      <c r="AB441" s="1395"/>
    </row>
    <row r="442" spans="2:28" ht="15" customHeight="1" x14ac:dyDescent="0.3">
      <c r="B442" s="1395" t="s">
        <v>1434</v>
      </c>
      <c r="C442" s="2099" t="s">
        <v>1658</v>
      </c>
      <c r="D442" s="2100"/>
      <c r="E442" s="2100"/>
      <c r="F442" s="2100"/>
      <c r="G442" s="2100"/>
      <c r="H442" s="2100"/>
      <c r="I442" s="2100"/>
      <c r="J442" s="2100"/>
      <c r="K442" s="2100"/>
      <c r="L442" s="2100"/>
      <c r="M442" s="2100"/>
      <c r="N442" s="2100"/>
      <c r="O442" s="2100"/>
      <c r="P442" s="2100"/>
      <c r="Q442" s="2100"/>
      <c r="R442" s="2100"/>
      <c r="S442" s="2100"/>
      <c r="T442" s="2100"/>
      <c r="U442" s="2100"/>
      <c r="V442" s="2100"/>
      <c r="W442" s="2100"/>
      <c r="X442" s="2100"/>
      <c r="Y442" s="2100"/>
      <c r="Z442" s="2100"/>
      <c r="AA442" s="2100"/>
      <c r="AB442" s="2101"/>
    </row>
    <row r="443" spans="2:28" x14ac:dyDescent="0.3">
      <c r="B443" s="1395"/>
      <c r="C443" s="1395"/>
      <c r="D443" s="1395"/>
      <c r="E443" s="1395"/>
      <c r="F443" s="1395"/>
      <c r="G443" s="1395"/>
      <c r="H443" s="1395"/>
      <c r="I443" s="1395"/>
      <c r="J443" s="1395"/>
      <c r="K443" s="1395"/>
      <c r="L443" s="1395"/>
      <c r="M443" s="1395"/>
      <c r="N443" s="1395"/>
      <c r="O443" s="1395"/>
      <c r="P443" s="1395"/>
      <c r="Q443" s="1395"/>
      <c r="R443" s="1395"/>
      <c r="S443" s="1395"/>
      <c r="T443" s="1395"/>
      <c r="U443" s="1395"/>
      <c r="V443" s="1395"/>
      <c r="W443" s="1395"/>
      <c r="X443" s="1395"/>
      <c r="Y443" s="1395"/>
      <c r="Z443" s="1395"/>
      <c r="AA443" s="1395"/>
      <c r="AB443" s="1395"/>
    </row>
    <row r="444" spans="2:28" s="1420" customFormat="1" ht="21" customHeight="1" x14ac:dyDescent="0.3">
      <c r="B444" s="1419"/>
      <c r="C444" s="1418" t="s">
        <v>1435</v>
      </c>
      <c r="D444" s="1419" t="s">
        <v>1436</v>
      </c>
      <c r="E444" s="1419" t="s">
        <v>1437</v>
      </c>
      <c r="F444" s="1419" t="s">
        <v>1438</v>
      </c>
      <c r="G444" s="1419" t="s">
        <v>1439</v>
      </c>
      <c r="H444" s="1419" t="s">
        <v>1440</v>
      </c>
      <c r="I444" s="1419" t="s">
        <v>1441</v>
      </c>
      <c r="J444" s="1419" t="s">
        <v>1442</v>
      </c>
      <c r="K444" s="1419" t="s">
        <v>1443</v>
      </c>
      <c r="L444" s="1419" t="s">
        <v>1444</v>
      </c>
      <c r="M444" s="1419" t="s">
        <v>1445</v>
      </c>
      <c r="N444" s="1419" t="s">
        <v>1446</v>
      </c>
      <c r="O444" s="1419" t="s">
        <v>1447</v>
      </c>
      <c r="P444" s="1419" t="s">
        <v>1448</v>
      </c>
      <c r="Q444" s="1419" t="s">
        <v>1449</v>
      </c>
      <c r="R444" s="1419" t="s">
        <v>1450</v>
      </c>
      <c r="S444" s="1419" t="s">
        <v>1451</v>
      </c>
      <c r="T444" s="1419" t="s">
        <v>1452</v>
      </c>
      <c r="U444" s="1419" t="s">
        <v>1453</v>
      </c>
      <c r="V444" s="1419" t="s">
        <v>1454</v>
      </c>
      <c r="W444" s="1419" t="s">
        <v>1455</v>
      </c>
      <c r="X444" s="1419" t="s">
        <v>1456</v>
      </c>
      <c r="Y444" s="1419" t="s">
        <v>1457</v>
      </c>
      <c r="Z444" s="1419" t="s">
        <v>1458</v>
      </c>
      <c r="AA444" s="1419" t="s">
        <v>1466</v>
      </c>
      <c r="AB444" s="1419" t="s">
        <v>1467</v>
      </c>
    </row>
    <row r="445" spans="2:28" x14ac:dyDescent="0.3">
      <c r="B445" s="1437" t="s">
        <v>1461</v>
      </c>
      <c r="C445" s="1448">
        <v>0</v>
      </c>
      <c r="D445" s="1448">
        <v>0</v>
      </c>
      <c r="E445" s="1448">
        <v>0</v>
      </c>
      <c r="F445" s="1448">
        <v>0</v>
      </c>
      <c r="G445" s="1448">
        <v>0</v>
      </c>
      <c r="H445" s="1448">
        <v>0</v>
      </c>
      <c r="I445" s="1448">
        <v>0</v>
      </c>
      <c r="J445" s="1448">
        <v>0</v>
      </c>
      <c r="K445" s="1448">
        <v>0</v>
      </c>
      <c r="L445" s="1448">
        <v>0</v>
      </c>
      <c r="M445" s="1448">
        <v>0.3</v>
      </c>
      <c r="N445" s="1448">
        <v>0</v>
      </c>
      <c r="O445" s="1448">
        <v>0</v>
      </c>
      <c r="P445" s="1448">
        <v>0</v>
      </c>
      <c r="Q445" s="1448">
        <v>0</v>
      </c>
      <c r="R445" s="1448">
        <v>0.4</v>
      </c>
      <c r="S445" s="1448">
        <v>0</v>
      </c>
      <c r="T445" s="1448">
        <v>0</v>
      </c>
      <c r="U445" s="1448">
        <v>0</v>
      </c>
      <c r="V445" s="1448">
        <v>0</v>
      </c>
      <c r="W445" s="1448">
        <v>0</v>
      </c>
      <c r="X445" s="1448">
        <v>0</v>
      </c>
      <c r="Y445" s="1448">
        <v>0</v>
      </c>
      <c r="Z445" s="1448">
        <v>0</v>
      </c>
      <c r="AA445" s="1424">
        <f>SUM(C445:Z445)</f>
        <v>0.7</v>
      </c>
      <c r="AB445" s="1425">
        <f>AA445*SUM($C$9:$C$13)</f>
        <v>175</v>
      </c>
    </row>
    <row r="446" spans="2:28" x14ac:dyDescent="0.3">
      <c r="B446" s="1439" t="s">
        <v>1431</v>
      </c>
      <c r="C446" s="1449">
        <v>0</v>
      </c>
      <c r="D446" s="1449">
        <v>0</v>
      </c>
      <c r="E446" s="1449">
        <v>0</v>
      </c>
      <c r="F446" s="1449">
        <v>0</v>
      </c>
      <c r="G446" s="1449">
        <v>0</v>
      </c>
      <c r="H446" s="1449">
        <v>0</v>
      </c>
      <c r="I446" s="1449">
        <v>0</v>
      </c>
      <c r="J446" s="1449">
        <v>0</v>
      </c>
      <c r="K446" s="1449">
        <v>0</v>
      </c>
      <c r="L446" s="1449">
        <v>0</v>
      </c>
      <c r="M446" s="1449">
        <v>0</v>
      </c>
      <c r="N446" s="1449">
        <v>0</v>
      </c>
      <c r="O446" s="1449">
        <v>0</v>
      </c>
      <c r="P446" s="1449">
        <v>0</v>
      </c>
      <c r="Q446" s="1449">
        <v>0</v>
      </c>
      <c r="R446" s="1449">
        <v>0</v>
      </c>
      <c r="S446" s="1449">
        <v>0</v>
      </c>
      <c r="T446" s="1449">
        <v>0</v>
      </c>
      <c r="U446" s="1449">
        <v>0</v>
      </c>
      <c r="V446" s="1449">
        <v>0</v>
      </c>
      <c r="W446" s="1449">
        <v>0</v>
      </c>
      <c r="X446" s="1449">
        <v>0</v>
      </c>
      <c r="Y446" s="1449">
        <v>0</v>
      </c>
      <c r="Z446" s="1449">
        <v>0</v>
      </c>
      <c r="AA446" s="1428">
        <f>SUM(C446:Z446)</f>
        <v>0</v>
      </c>
      <c r="AB446" s="1429">
        <f>AA446*SUM($C$14)</f>
        <v>0</v>
      </c>
    </row>
    <row r="447" spans="2:28" x14ac:dyDescent="0.3">
      <c r="B447" s="1439" t="s">
        <v>1432</v>
      </c>
      <c r="C447" s="1449">
        <v>0</v>
      </c>
      <c r="D447" s="1449">
        <v>0</v>
      </c>
      <c r="E447" s="1449">
        <v>0</v>
      </c>
      <c r="F447" s="1449">
        <v>0</v>
      </c>
      <c r="G447" s="1449">
        <v>0</v>
      </c>
      <c r="H447" s="1449">
        <v>0</v>
      </c>
      <c r="I447" s="1449">
        <v>0</v>
      </c>
      <c r="J447" s="1449">
        <v>0</v>
      </c>
      <c r="K447" s="1449">
        <v>0</v>
      </c>
      <c r="L447" s="1449">
        <v>0</v>
      </c>
      <c r="M447" s="1449">
        <v>0</v>
      </c>
      <c r="N447" s="1449">
        <v>0</v>
      </c>
      <c r="O447" s="1449">
        <v>0</v>
      </c>
      <c r="P447" s="1449">
        <v>0</v>
      </c>
      <c r="Q447" s="1449">
        <v>0</v>
      </c>
      <c r="R447" s="1449">
        <v>0</v>
      </c>
      <c r="S447" s="1449">
        <v>0</v>
      </c>
      <c r="T447" s="1449">
        <v>0</v>
      </c>
      <c r="U447" s="1449">
        <v>0</v>
      </c>
      <c r="V447" s="1449">
        <v>0</v>
      </c>
      <c r="W447" s="1449">
        <v>0</v>
      </c>
      <c r="X447" s="1449">
        <v>0</v>
      </c>
      <c r="Y447" s="1449">
        <v>0</v>
      </c>
      <c r="Z447" s="1449">
        <v>0</v>
      </c>
      <c r="AA447" s="1428">
        <f>SUM(C447:Z447)</f>
        <v>0</v>
      </c>
      <c r="AB447" s="1429">
        <f>AA447*$C$15</f>
        <v>0</v>
      </c>
    </row>
    <row r="448" spans="2:28" x14ac:dyDescent="0.3">
      <c r="B448" s="1441" t="s">
        <v>1463</v>
      </c>
      <c r="C448" s="1450">
        <v>0</v>
      </c>
      <c r="D448" s="1450">
        <v>0</v>
      </c>
      <c r="E448" s="1450">
        <v>0</v>
      </c>
      <c r="F448" s="1450">
        <v>0</v>
      </c>
      <c r="G448" s="1450">
        <v>0</v>
      </c>
      <c r="H448" s="1450">
        <v>0</v>
      </c>
      <c r="I448" s="1450">
        <v>0</v>
      </c>
      <c r="J448" s="1450">
        <v>0</v>
      </c>
      <c r="K448" s="1450">
        <v>0</v>
      </c>
      <c r="L448" s="1450">
        <v>0</v>
      </c>
      <c r="M448" s="1450">
        <v>0</v>
      </c>
      <c r="N448" s="1450">
        <v>0</v>
      </c>
      <c r="O448" s="1450">
        <v>0</v>
      </c>
      <c r="P448" s="1450">
        <v>0</v>
      </c>
      <c r="Q448" s="1450">
        <v>0</v>
      </c>
      <c r="R448" s="1450">
        <v>0</v>
      </c>
      <c r="S448" s="1450">
        <v>0</v>
      </c>
      <c r="T448" s="1450">
        <v>0</v>
      </c>
      <c r="U448" s="1450">
        <v>0</v>
      </c>
      <c r="V448" s="1450">
        <v>0</v>
      </c>
      <c r="W448" s="1450">
        <v>0</v>
      </c>
      <c r="X448" s="1450">
        <v>0</v>
      </c>
      <c r="Y448" s="1450">
        <v>0</v>
      </c>
      <c r="Z448" s="1450">
        <v>0</v>
      </c>
      <c r="AA448" s="1432">
        <f>SUM(C448:Z448)</f>
        <v>0</v>
      </c>
      <c r="AB448" s="1433">
        <f>AA448*SUM($C$8)</f>
        <v>0</v>
      </c>
    </row>
    <row r="449" spans="2:28" x14ac:dyDescent="0.3">
      <c r="B449" s="2102" t="s">
        <v>1468</v>
      </c>
      <c r="C449" s="2103"/>
      <c r="D449" s="2103"/>
      <c r="E449" s="2103"/>
      <c r="F449" s="2103"/>
      <c r="G449" s="2103"/>
      <c r="H449" s="2103"/>
      <c r="I449" s="2103"/>
      <c r="J449" s="2103"/>
      <c r="K449" s="2103"/>
      <c r="L449" s="2103"/>
      <c r="M449" s="2103"/>
      <c r="N449" s="2103"/>
      <c r="O449" s="2103"/>
      <c r="P449" s="2103"/>
      <c r="Q449" s="2103"/>
      <c r="R449" s="2103"/>
      <c r="S449" s="2103"/>
      <c r="T449" s="2103"/>
      <c r="U449" s="2103"/>
      <c r="V449" s="2103"/>
      <c r="W449" s="2103"/>
      <c r="X449" s="2103"/>
      <c r="Y449" s="2103"/>
      <c r="Z449" s="2103"/>
      <c r="AA449" s="2103"/>
      <c r="AB449" s="1421">
        <f>SUM(AB445:AB448)</f>
        <v>175</v>
      </c>
    </row>
    <row r="450" spans="2:28" x14ac:dyDescent="0.3">
      <c r="B450" s="1395"/>
      <c r="C450" s="1395"/>
      <c r="D450" s="1395"/>
      <c r="E450" s="1395"/>
      <c r="F450" s="1395"/>
      <c r="G450" s="1395"/>
      <c r="H450" s="1395"/>
      <c r="I450" s="1395"/>
      <c r="J450" s="1395"/>
      <c r="K450" s="1395"/>
      <c r="L450" s="1395"/>
      <c r="M450" s="1395"/>
      <c r="N450" s="1395"/>
      <c r="O450" s="1395"/>
      <c r="P450" s="1395"/>
      <c r="Q450" s="1395"/>
      <c r="R450" s="1395"/>
      <c r="S450" s="1395"/>
      <c r="T450" s="1395"/>
      <c r="U450" s="1395"/>
      <c r="V450" s="1395"/>
      <c r="W450" s="1395"/>
      <c r="X450" s="1395"/>
      <c r="Y450" s="1395"/>
      <c r="Z450" s="1395"/>
      <c r="AA450" s="1395"/>
      <c r="AB450" s="1395"/>
    </row>
    <row r="451" spans="2:28" x14ac:dyDescent="0.3">
      <c r="B451" s="1405" t="s">
        <v>1659</v>
      </c>
      <c r="C451" s="1395"/>
      <c r="D451" s="1395"/>
      <c r="E451" s="1395"/>
      <c r="F451" s="1395"/>
      <c r="G451" s="1395"/>
      <c r="H451" s="1395"/>
      <c r="I451" s="1395"/>
      <c r="J451" s="1395"/>
      <c r="K451" s="1395"/>
      <c r="L451" s="1395"/>
      <c r="M451" s="1395"/>
      <c r="N451" s="1395"/>
      <c r="O451" s="1395"/>
      <c r="P451" s="1395"/>
      <c r="Q451" s="1395"/>
      <c r="R451" s="1395"/>
      <c r="S451" s="1395"/>
      <c r="T451" s="1395"/>
      <c r="U451" s="1395"/>
      <c r="V451" s="1395"/>
      <c r="W451" s="1395"/>
      <c r="X451" s="1395"/>
      <c r="Y451" s="1395"/>
      <c r="Z451" s="1395"/>
      <c r="AA451" s="1395"/>
      <c r="AB451" s="1395"/>
    </row>
    <row r="452" spans="2:28" x14ac:dyDescent="0.3">
      <c r="B452" s="1395"/>
      <c r="C452" s="1395"/>
      <c r="D452" s="1395"/>
      <c r="E452" s="1395"/>
      <c r="F452" s="1395"/>
      <c r="G452" s="1395"/>
      <c r="H452" s="1395"/>
      <c r="I452" s="1395"/>
      <c r="J452" s="1395"/>
      <c r="K452" s="1395"/>
      <c r="L452" s="1395"/>
      <c r="M452" s="1395"/>
      <c r="N452" s="1395"/>
      <c r="O452" s="1395"/>
      <c r="P452" s="1395"/>
      <c r="Q452" s="1395"/>
      <c r="R452" s="1395"/>
      <c r="S452" s="1395"/>
      <c r="T452" s="1395"/>
      <c r="U452" s="1395"/>
      <c r="V452" s="1395"/>
      <c r="W452" s="1395"/>
      <c r="X452" s="1395"/>
      <c r="Y452" s="1395"/>
      <c r="Z452" s="1395"/>
      <c r="AA452" s="1395"/>
      <c r="AB452" s="1395"/>
    </row>
    <row r="453" spans="2:28" ht="15" customHeight="1" x14ac:dyDescent="0.3">
      <c r="B453" s="1395" t="s">
        <v>1434</v>
      </c>
      <c r="C453" s="2099" t="s">
        <v>1660</v>
      </c>
      <c r="D453" s="2100"/>
      <c r="E453" s="2100"/>
      <c r="F453" s="2100"/>
      <c r="G453" s="2100"/>
      <c r="H453" s="2100"/>
      <c r="I453" s="2100"/>
      <c r="J453" s="2100"/>
      <c r="K453" s="2100"/>
      <c r="L453" s="2100"/>
      <c r="M453" s="2100"/>
      <c r="N453" s="2100"/>
      <c r="O453" s="2100"/>
      <c r="P453" s="2100"/>
      <c r="Q453" s="2100"/>
      <c r="R453" s="2100"/>
      <c r="S453" s="2100"/>
      <c r="T453" s="2100"/>
      <c r="U453" s="2100"/>
      <c r="V453" s="2100"/>
      <c r="W453" s="2100"/>
      <c r="X453" s="2100"/>
      <c r="Y453" s="2100"/>
      <c r="Z453" s="2100"/>
      <c r="AA453" s="2100"/>
      <c r="AB453" s="2101"/>
    </row>
    <row r="454" spans="2:28" x14ac:dyDescent="0.3">
      <c r="B454" s="1395"/>
      <c r="C454" s="1395"/>
      <c r="D454" s="1395"/>
      <c r="E454" s="1395"/>
      <c r="F454" s="1395"/>
      <c r="G454" s="1395"/>
      <c r="H454" s="1395"/>
      <c r="I454" s="1395"/>
      <c r="J454" s="1395"/>
      <c r="K454" s="1395"/>
      <c r="L454" s="1395"/>
      <c r="M454" s="1395"/>
      <c r="N454" s="1395"/>
      <c r="O454" s="1395"/>
      <c r="P454" s="1395"/>
      <c r="Q454" s="1395"/>
      <c r="R454" s="1395"/>
      <c r="S454" s="1395"/>
      <c r="T454" s="1395"/>
      <c r="U454" s="1395"/>
      <c r="V454" s="1395"/>
      <c r="W454" s="1395"/>
      <c r="X454" s="1395"/>
      <c r="Y454" s="1395"/>
      <c r="Z454" s="1395"/>
      <c r="AA454" s="1395"/>
      <c r="AB454" s="1395"/>
    </row>
    <row r="455" spans="2:28" s="1420" customFormat="1" ht="21" customHeight="1" x14ac:dyDescent="0.3">
      <c r="B455" s="1419"/>
      <c r="C455" s="1418" t="s">
        <v>1435</v>
      </c>
      <c r="D455" s="1419" t="s">
        <v>1436</v>
      </c>
      <c r="E455" s="1419" t="s">
        <v>1437</v>
      </c>
      <c r="F455" s="1419" t="s">
        <v>1438</v>
      </c>
      <c r="G455" s="1419" t="s">
        <v>1439</v>
      </c>
      <c r="H455" s="1419" t="s">
        <v>1440</v>
      </c>
      <c r="I455" s="1419" t="s">
        <v>1441</v>
      </c>
      <c r="J455" s="1419" t="s">
        <v>1442</v>
      </c>
      <c r="K455" s="1419" t="s">
        <v>1443</v>
      </c>
      <c r="L455" s="1419" t="s">
        <v>1444</v>
      </c>
      <c r="M455" s="1419" t="s">
        <v>1445</v>
      </c>
      <c r="N455" s="1419" t="s">
        <v>1446</v>
      </c>
      <c r="O455" s="1419" t="s">
        <v>1447</v>
      </c>
      <c r="P455" s="1419" t="s">
        <v>1448</v>
      </c>
      <c r="Q455" s="1419" t="s">
        <v>1449</v>
      </c>
      <c r="R455" s="1419" t="s">
        <v>1450</v>
      </c>
      <c r="S455" s="1419" t="s">
        <v>1451</v>
      </c>
      <c r="T455" s="1419" t="s">
        <v>1452</v>
      </c>
      <c r="U455" s="1419" t="s">
        <v>1453</v>
      </c>
      <c r="V455" s="1419" t="s">
        <v>1454</v>
      </c>
      <c r="W455" s="1419" t="s">
        <v>1455</v>
      </c>
      <c r="X455" s="1419" t="s">
        <v>1456</v>
      </c>
      <c r="Y455" s="1419" t="s">
        <v>1457</v>
      </c>
      <c r="Z455" s="1419" t="s">
        <v>1458</v>
      </c>
      <c r="AA455" s="1419" t="s">
        <v>1459</v>
      </c>
      <c r="AB455" s="1419" t="s">
        <v>1460</v>
      </c>
    </row>
    <row r="456" spans="2:28" x14ac:dyDescent="0.3">
      <c r="B456" s="1437" t="s">
        <v>1461</v>
      </c>
      <c r="C456" s="1451">
        <v>0</v>
      </c>
      <c r="D456" s="1451">
        <v>0</v>
      </c>
      <c r="E456" s="1451">
        <v>0</v>
      </c>
      <c r="F456" s="1451">
        <v>0</v>
      </c>
      <c r="G456" s="1451">
        <v>0</v>
      </c>
      <c r="H456" s="1451">
        <v>1</v>
      </c>
      <c r="I456" s="1451">
        <v>1</v>
      </c>
      <c r="J456" s="1451">
        <v>1</v>
      </c>
      <c r="K456" s="1451">
        <v>1</v>
      </c>
      <c r="L456" s="1451">
        <v>1</v>
      </c>
      <c r="M456" s="1451">
        <v>1</v>
      </c>
      <c r="N456" s="1451">
        <v>1</v>
      </c>
      <c r="O456" s="1451">
        <v>1</v>
      </c>
      <c r="P456" s="1451">
        <v>1</v>
      </c>
      <c r="Q456" s="1451">
        <v>1</v>
      </c>
      <c r="R456" s="1451">
        <v>1</v>
      </c>
      <c r="S456" s="1451">
        <v>1</v>
      </c>
      <c r="T456" s="1451">
        <v>1</v>
      </c>
      <c r="U456" s="1451">
        <v>1</v>
      </c>
      <c r="V456" s="1451">
        <v>1</v>
      </c>
      <c r="W456" s="1451">
        <v>1</v>
      </c>
      <c r="X456" s="1451">
        <v>1</v>
      </c>
      <c r="Y456" s="1451">
        <v>1</v>
      </c>
      <c r="Z456" s="1451">
        <v>0</v>
      </c>
      <c r="AA456" s="1424">
        <f>SUM(C456:Z456)</f>
        <v>18</v>
      </c>
      <c r="AB456" s="1425">
        <f>AA456*SUM($C$9:$C$13)</f>
        <v>4500</v>
      </c>
    </row>
    <row r="457" spans="2:28" x14ac:dyDescent="0.3">
      <c r="B457" s="1439" t="s">
        <v>1431</v>
      </c>
      <c r="C457" s="1452">
        <v>0</v>
      </c>
      <c r="D457" s="1452">
        <v>0</v>
      </c>
      <c r="E457" s="1452">
        <v>0</v>
      </c>
      <c r="F457" s="1452">
        <v>0</v>
      </c>
      <c r="G457" s="1452">
        <v>0</v>
      </c>
      <c r="H457" s="1452">
        <v>0</v>
      </c>
      <c r="I457" s="1452">
        <v>1</v>
      </c>
      <c r="J457" s="1452">
        <v>1</v>
      </c>
      <c r="K457" s="1452">
        <v>1</v>
      </c>
      <c r="L457" s="1452">
        <v>1</v>
      </c>
      <c r="M457" s="1452">
        <v>1</v>
      </c>
      <c r="N457" s="1452">
        <v>1</v>
      </c>
      <c r="O457" s="1452">
        <v>1</v>
      </c>
      <c r="P457" s="1452">
        <v>1</v>
      </c>
      <c r="Q457" s="1452">
        <v>1</v>
      </c>
      <c r="R457" s="1452">
        <v>1</v>
      </c>
      <c r="S457" s="1452">
        <v>1</v>
      </c>
      <c r="T457" s="1452">
        <v>1</v>
      </c>
      <c r="U457" s="1452">
        <v>1</v>
      </c>
      <c r="V457" s="1452">
        <v>1</v>
      </c>
      <c r="W457" s="1452">
        <v>1</v>
      </c>
      <c r="X457" s="1452">
        <v>1</v>
      </c>
      <c r="Y457" s="1452">
        <v>1</v>
      </c>
      <c r="Z457" s="1452">
        <v>0</v>
      </c>
      <c r="AA457" s="1428">
        <f>SUM(C457:Z457)</f>
        <v>17</v>
      </c>
      <c r="AB457" s="1429">
        <f>AA457*SUM($C$14)</f>
        <v>884</v>
      </c>
    </row>
    <row r="458" spans="2:28" x14ac:dyDescent="0.3">
      <c r="B458" s="1439" t="s">
        <v>1432</v>
      </c>
      <c r="C458" s="1452">
        <v>0</v>
      </c>
      <c r="D458" s="1452">
        <v>0</v>
      </c>
      <c r="E458" s="1452">
        <v>0</v>
      </c>
      <c r="F458" s="1452">
        <v>0</v>
      </c>
      <c r="G458" s="1452">
        <v>0</v>
      </c>
      <c r="H458" s="1452">
        <v>0</v>
      </c>
      <c r="I458" s="1452">
        <v>1</v>
      </c>
      <c r="J458" s="1452">
        <v>1</v>
      </c>
      <c r="K458" s="1452">
        <v>1</v>
      </c>
      <c r="L458" s="1452">
        <v>1</v>
      </c>
      <c r="M458" s="1452">
        <v>1</v>
      </c>
      <c r="N458" s="1452">
        <v>1</v>
      </c>
      <c r="O458" s="1452">
        <v>1</v>
      </c>
      <c r="P458" s="1452">
        <v>1</v>
      </c>
      <c r="Q458" s="1452">
        <v>1</v>
      </c>
      <c r="R458" s="1452">
        <v>1</v>
      </c>
      <c r="S458" s="1452">
        <v>1</v>
      </c>
      <c r="T458" s="1452">
        <v>1</v>
      </c>
      <c r="U458" s="1452">
        <v>1</v>
      </c>
      <c r="V458" s="1452">
        <v>1</v>
      </c>
      <c r="W458" s="1452">
        <v>1</v>
      </c>
      <c r="X458" s="1452">
        <v>1</v>
      </c>
      <c r="Y458" s="1452">
        <v>1</v>
      </c>
      <c r="Z458" s="1452">
        <v>0</v>
      </c>
      <c r="AA458" s="1428">
        <f>SUM(C458:Z458)</f>
        <v>17</v>
      </c>
      <c r="AB458" s="1429">
        <f>AA458*$C$15</f>
        <v>884</v>
      </c>
    </row>
    <row r="459" spans="2:28" x14ac:dyDescent="0.3">
      <c r="B459" s="1441" t="s">
        <v>1432</v>
      </c>
      <c r="C459" s="1453">
        <v>0</v>
      </c>
      <c r="D459" s="1453">
        <v>0</v>
      </c>
      <c r="E459" s="1453">
        <v>0</v>
      </c>
      <c r="F459" s="1453">
        <v>0</v>
      </c>
      <c r="G459" s="1453">
        <v>0</v>
      </c>
      <c r="H459" s="1453">
        <v>0</v>
      </c>
      <c r="I459" s="1453">
        <v>1</v>
      </c>
      <c r="J459" s="1453">
        <v>1</v>
      </c>
      <c r="K459" s="1453">
        <v>1</v>
      </c>
      <c r="L459" s="1453">
        <v>1</v>
      </c>
      <c r="M459" s="1453">
        <v>1</v>
      </c>
      <c r="N459" s="1453">
        <v>1</v>
      </c>
      <c r="O459" s="1453">
        <v>1</v>
      </c>
      <c r="P459" s="1453">
        <v>1</v>
      </c>
      <c r="Q459" s="1453">
        <v>1</v>
      </c>
      <c r="R459" s="1453">
        <v>1</v>
      </c>
      <c r="S459" s="1453">
        <v>1</v>
      </c>
      <c r="T459" s="1453">
        <v>1</v>
      </c>
      <c r="U459" s="1453">
        <v>1</v>
      </c>
      <c r="V459" s="1453">
        <v>1</v>
      </c>
      <c r="W459" s="1453">
        <v>1</v>
      </c>
      <c r="X459" s="1453">
        <v>1</v>
      </c>
      <c r="Y459" s="1453">
        <v>1</v>
      </c>
      <c r="Z459" s="1453">
        <v>0</v>
      </c>
      <c r="AA459" s="1432">
        <f>SUM(C459:Z459)</f>
        <v>17</v>
      </c>
      <c r="AB459" s="1433">
        <f>AA459*SUM($C$8)</f>
        <v>187</v>
      </c>
    </row>
    <row r="460" spans="2:28" x14ac:dyDescent="0.3">
      <c r="B460" s="2102" t="s">
        <v>1464</v>
      </c>
      <c r="C460" s="2103"/>
      <c r="D460" s="2103"/>
      <c r="E460" s="2103"/>
      <c r="F460" s="2103"/>
      <c r="G460" s="2103"/>
      <c r="H460" s="2103"/>
      <c r="I460" s="2103"/>
      <c r="J460" s="2103"/>
      <c r="K460" s="2103"/>
      <c r="L460" s="2103"/>
      <c r="M460" s="2103"/>
      <c r="N460" s="2103"/>
      <c r="O460" s="2103"/>
      <c r="P460" s="2103"/>
      <c r="Q460" s="2103"/>
      <c r="R460" s="2103"/>
      <c r="S460" s="2103"/>
      <c r="T460" s="2103"/>
      <c r="U460" s="2103"/>
      <c r="V460" s="2103"/>
      <c r="W460" s="2103"/>
      <c r="X460" s="2103"/>
      <c r="Y460" s="2103"/>
      <c r="Z460" s="2103"/>
      <c r="AA460" s="2103"/>
      <c r="AB460" s="1421">
        <f>SUM(AB456:AB459)</f>
        <v>6455</v>
      </c>
    </row>
    <row r="461" spans="2:28" x14ac:dyDescent="0.3">
      <c r="B461" s="1395"/>
      <c r="C461" s="1395"/>
      <c r="D461" s="1395"/>
      <c r="E461" s="1395"/>
      <c r="F461" s="1395"/>
      <c r="G461" s="1395"/>
      <c r="H461" s="1395"/>
      <c r="I461" s="1395"/>
      <c r="J461" s="1395"/>
      <c r="K461" s="1395"/>
      <c r="L461" s="1395"/>
      <c r="M461" s="1395"/>
      <c r="N461" s="1395"/>
      <c r="O461" s="1395"/>
      <c r="P461" s="1395"/>
      <c r="Q461" s="1395"/>
      <c r="R461" s="1395"/>
      <c r="S461" s="1395"/>
      <c r="T461" s="1395"/>
      <c r="U461" s="1395"/>
      <c r="V461" s="1395"/>
      <c r="W461" s="1395"/>
      <c r="X461" s="1395"/>
      <c r="Y461" s="1395"/>
      <c r="Z461" s="1395"/>
      <c r="AA461" s="1395"/>
      <c r="AB461" s="1395"/>
    </row>
    <row r="462" spans="2:28" ht="15" customHeight="1" x14ac:dyDescent="0.3">
      <c r="B462" s="1395" t="s">
        <v>1434</v>
      </c>
      <c r="C462" s="2099" t="s">
        <v>1661</v>
      </c>
      <c r="D462" s="2100"/>
      <c r="E462" s="2100"/>
      <c r="F462" s="2100"/>
      <c r="G462" s="2100"/>
      <c r="H462" s="2100"/>
      <c r="I462" s="2100"/>
      <c r="J462" s="2100"/>
      <c r="K462" s="2100"/>
      <c r="L462" s="2100"/>
      <c r="M462" s="2100"/>
      <c r="N462" s="2100"/>
      <c r="O462" s="2100"/>
      <c r="P462" s="2100"/>
      <c r="Q462" s="2100"/>
      <c r="R462" s="2100"/>
      <c r="S462" s="2100"/>
      <c r="T462" s="2100"/>
      <c r="U462" s="2100"/>
      <c r="V462" s="2100"/>
      <c r="W462" s="2100"/>
      <c r="X462" s="2100"/>
      <c r="Y462" s="2100"/>
      <c r="Z462" s="2100"/>
      <c r="AA462" s="2100"/>
      <c r="AB462" s="2101"/>
    </row>
    <row r="463" spans="2:28" x14ac:dyDescent="0.3">
      <c r="B463" s="1395"/>
      <c r="C463" s="1395"/>
      <c r="D463" s="1395"/>
      <c r="E463" s="1395"/>
      <c r="F463" s="1395"/>
      <c r="G463" s="1395"/>
      <c r="H463" s="1395"/>
      <c r="I463" s="1395"/>
      <c r="J463" s="1395"/>
      <c r="K463" s="1395"/>
      <c r="L463" s="1395"/>
      <c r="M463" s="1395"/>
      <c r="N463" s="1395"/>
      <c r="O463" s="1395"/>
      <c r="P463" s="1395"/>
      <c r="Q463" s="1395"/>
      <c r="R463" s="1395"/>
      <c r="S463" s="1395"/>
      <c r="T463" s="1395"/>
      <c r="U463" s="1395"/>
      <c r="V463" s="1395"/>
      <c r="W463" s="1395"/>
      <c r="X463" s="1395"/>
      <c r="Y463" s="1395"/>
      <c r="Z463" s="1395"/>
      <c r="AA463" s="1395"/>
      <c r="AB463" s="1395"/>
    </row>
    <row r="464" spans="2:28" s="1420" customFormat="1" ht="21" customHeight="1" x14ac:dyDescent="0.3">
      <c r="B464" s="1419"/>
      <c r="C464" s="1418" t="s">
        <v>1435</v>
      </c>
      <c r="D464" s="1419" t="s">
        <v>1436</v>
      </c>
      <c r="E464" s="1419" t="s">
        <v>1437</v>
      </c>
      <c r="F464" s="1419" t="s">
        <v>1438</v>
      </c>
      <c r="G464" s="1419" t="s">
        <v>1439</v>
      </c>
      <c r="H464" s="1419" t="s">
        <v>1440</v>
      </c>
      <c r="I464" s="1419" t="s">
        <v>1441</v>
      </c>
      <c r="J464" s="1419" t="s">
        <v>1442</v>
      </c>
      <c r="K464" s="1419" t="s">
        <v>1443</v>
      </c>
      <c r="L464" s="1419" t="s">
        <v>1444</v>
      </c>
      <c r="M464" s="1419" t="s">
        <v>1445</v>
      </c>
      <c r="N464" s="1419" t="s">
        <v>1446</v>
      </c>
      <c r="O464" s="1419" t="s">
        <v>1447</v>
      </c>
      <c r="P464" s="1419" t="s">
        <v>1448</v>
      </c>
      <c r="Q464" s="1419" t="s">
        <v>1449</v>
      </c>
      <c r="R464" s="1419" t="s">
        <v>1450</v>
      </c>
      <c r="S464" s="1419" t="s">
        <v>1451</v>
      </c>
      <c r="T464" s="1419" t="s">
        <v>1452</v>
      </c>
      <c r="U464" s="1419" t="s">
        <v>1453</v>
      </c>
      <c r="V464" s="1419" t="s">
        <v>1454</v>
      </c>
      <c r="W464" s="1419" t="s">
        <v>1455</v>
      </c>
      <c r="X464" s="1419" t="s">
        <v>1456</v>
      </c>
      <c r="Y464" s="1419" t="s">
        <v>1457</v>
      </c>
      <c r="Z464" s="1419" t="s">
        <v>1458</v>
      </c>
      <c r="AA464" s="1419" t="s">
        <v>1466</v>
      </c>
      <c r="AB464" s="1419" t="s">
        <v>1467</v>
      </c>
    </row>
    <row r="465" spans="2:28" x14ac:dyDescent="0.3">
      <c r="B465" s="1437" t="s">
        <v>1461</v>
      </c>
      <c r="C465" s="1448">
        <v>0</v>
      </c>
      <c r="D465" s="1448">
        <v>0</v>
      </c>
      <c r="E465" s="1448">
        <v>0</v>
      </c>
      <c r="F465" s="1448">
        <v>0</v>
      </c>
      <c r="G465" s="1448">
        <v>0</v>
      </c>
      <c r="H465" s="1448">
        <v>0</v>
      </c>
      <c r="I465" s="1448">
        <v>0</v>
      </c>
      <c r="J465" s="1448">
        <v>0</v>
      </c>
      <c r="K465" s="1448">
        <v>0.2</v>
      </c>
      <c r="L465" s="1448">
        <v>0.2</v>
      </c>
      <c r="M465" s="1448">
        <v>0.2</v>
      </c>
      <c r="N465" s="1448">
        <v>0.8</v>
      </c>
      <c r="O465" s="1448">
        <v>0.8</v>
      </c>
      <c r="P465" s="1448">
        <v>0.8</v>
      </c>
      <c r="Q465" s="1448">
        <v>0.8</v>
      </c>
      <c r="R465" s="1448">
        <v>0.8</v>
      </c>
      <c r="S465" s="1448">
        <v>0.8</v>
      </c>
      <c r="T465" s="1448">
        <v>0.8</v>
      </c>
      <c r="U465" s="1448">
        <v>0.2</v>
      </c>
      <c r="V465" s="1448">
        <v>0.2</v>
      </c>
      <c r="W465" s="1448">
        <v>0.2</v>
      </c>
      <c r="X465" s="1448">
        <v>0.2</v>
      </c>
      <c r="Y465" s="1448">
        <v>0.1</v>
      </c>
      <c r="Z465" s="1448">
        <v>0</v>
      </c>
      <c r="AA465" s="1424">
        <f>SUM(C465:Z465)</f>
        <v>7.1</v>
      </c>
      <c r="AB465" s="1425">
        <f>AA465*SUM($C$9:$C$13)</f>
        <v>1775</v>
      </c>
    </row>
    <row r="466" spans="2:28" x14ac:dyDescent="0.3">
      <c r="B466" s="1439" t="s">
        <v>1431</v>
      </c>
      <c r="C466" s="1449">
        <v>0</v>
      </c>
      <c r="D466" s="1449">
        <v>0</v>
      </c>
      <c r="E466" s="1449">
        <v>0</v>
      </c>
      <c r="F466" s="1449">
        <v>0</v>
      </c>
      <c r="G466" s="1449">
        <v>0</v>
      </c>
      <c r="H466" s="1449">
        <v>0</v>
      </c>
      <c r="I466" s="1449">
        <v>0</v>
      </c>
      <c r="J466" s="1449">
        <v>0</v>
      </c>
      <c r="K466" s="1449">
        <v>0.2</v>
      </c>
      <c r="L466" s="1449">
        <v>0.2</v>
      </c>
      <c r="M466" s="1449">
        <v>0.2</v>
      </c>
      <c r="N466" s="1449">
        <v>0.6</v>
      </c>
      <c r="O466" s="1449">
        <v>0.6</v>
      </c>
      <c r="P466" s="1449">
        <v>0.6</v>
      </c>
      <c r="Q466" s="1449">
        <v>0.6</v>
      </c>
      <c r="R466" s="1449">
        <v>0.6</v>
      </c>
      <c r="S466" s="1449">
        <v>0.6</v>
      </c>
      <c r="T466" s="1449">
        <v>0.6</v>
      </c>
      <c r="U466" s="1449">
        <v>0.6</v>
      </c>
      <c r="V466" s="1449">
        <v>0.6</v>
      </c>
      <c r="W466" s="1449">
        <v>0.6</v>
      </c>
      <c r="X466" s="1449">
        <v>0.8</v>
      </c>
      <c r="Y466" s="1449">
        <v>0.1</v>
      </c>
      <c r="Z466" s="1449">
        <v>0</v>
      </c>
      <c r="AA466" s="1428">
        <f>SUM(C466:Z466)</f>
        <v>7.4999999999999982</v>
      </c>
      <c r="AB466" s="1429">
        <f>AA466*SUM($C$14)</f>
        <v>389.99999999999989</v>
      </c>
    </row>
    <row r="467" spans="2:28" x14ac:dyDescent="0.3">
      <c r="B467" s="1439" t="s">
        <v>1432</v>
      </c>
      <c r="C467" s="1449">
        <v>0</v>
      </c>
      <c r="D467" s="1449">
        <v>0</v>
      </c>
      <c r="E467" s="1449">
        <v>0</v>
      </c>
      <c r="F467" s="1449">
        <v>0</v>
      </c>
      <c r="G467" s="1449">
        <v>0</v>
      </c>
      <c r="H467" s="1449">
        <v>0</v>
      </c>
      <c r="I467" s="1449">
        <v>0</v>
      </c>
      <c r="J467" s="1449">
        <v>0</v>
      </c>
      <c r="K467" s="1449">
        <v>0.1</v>
      </c>
      <c r="L467" s="1449">
        <v>0.1</v>
      </c>
      <c r="M467" s="1449">
        <v>0.1</v>
      </c>
      <c r="N467" s="1449">
        <v>0.1</v>
      </c>
      <c r="O467" s="1449">
        <v>0.1</v>
      </c>
      <c r="P467" s="1449">
        <v>0.7</v>
      </c>
      <c r="Q467" s="1449">
        <v>0.7</v>
      </c>
      <c r="R467" s="1449">
        <v>0.7</v>
      </c>
      <c r="S467" s="1449">
        <v>0.7</v>
      </c>
      <c r="T467" s="1449">
        <v>0.7</v>
      </c>
      <c r="U467" s="1449">
        <v>0.7</v>
      </c>
      <c r="V467" s="1449">
        <v>0.7</v>
      </c>
      <c r="W467" s="1449">
        <v>0.7</v>
      </c>
      <c r="X467" s="1449">
        <v>0.7</v>
      </c>
      <c r="Y467" s="1449">
        <v>0.2</v>
      </c>
      <c r="Z467" s="1449">
        <v>0</v>
      </c>
      <c r="AA467" s="1428">
        <f>SUM(C467:Z467)</f>
        <v>7.0000000000000009</v>
      </c>
      <c r="AB467" s="1429">
        <f>AA467*$C$15</f>
        <v>364.00000000000006</v>
      </c>
    </row>
    <row r="468" spans="2:28" x14ac:dyDescent="0.3">
      <c r="B468" s="1441" t="s">
        <v>1432</v>
      </c>
      <c r="C468" s="1450">
        <v>0</v>
      </c>
      <c r="D468" s="1450">
        <v>0</v>
      </c>
      <c r="E468" s="1450">
        <v>0</v>
      </c>
      <c r="F468" s="1450">
        <v>0</v>
      </c>
      <c r="G468" s="1450">
        <v>0</v>
      </c>
      <c r="H468" s="1450">
        <v>0</v>
      </c>
      <c r="I468" s="1450">
        <v>0</v>
      </c>
      <c r="J468" s="1450">
        <v>0</v>
      </c>
      <c r="K468" s="1450">
        <v>0.1</v>
      </c>
      <c r="L468" s="1450">
        <v>0.1</v>
      </c>
      <c r="M468" s="1450">
        <v>0.1</v>
      </c>
      <c r="N468" s="1450">
        <v>0.1</v>
      </c>
      <c r="O468" s="1450">
        <v>0.1</v>
      </c>
      <c r="P468" s="1450">
        <v>0.7</v>
      </c>
      <c r="Q468" s="1450">
        <v>0.7</v>
      </c>
      <c r="R468" s="1450">
        <v>0.7</v>
      </c>
      <c r="S468" s="1450">
        <v>0.7</v>
      </c>
      <c r="T468" s="1450">
        <v>0.7</v>
      </c>
      <c r="U468" s="1450">
        <v>0.7</v>
      </c>
      <c r="V468" s="1450">
        <v>0.7</v>
      </c>
      <c r="W468" s="1450">
        <v>0.7</v>
      </c>
      <c r="X468" s="1450">
        <v>0.7</v>
      </c>
      <c r="Y468" s="1450">
        <v>0.2</v>
      </c>
      <c r="Z468" s="1450">
        <v>0</v>
      </c>
      <c r="AA468" s="1432">
        <f>SUM(C468:Z468)</f>
        <v>7.0000000000000009</v>
      </c>
      <c r="AB468" s="1433">
        <f>AA468*SUM($C$8)</f>
        <v>77.000000000000014</v>
      </c>
    </row>
    <row r="469" spans="2:28" x14ac:dyDescent="0.3">
      <c r="B469" s="2102" t="s">
        <v>1468</v>
      </c>
      <c r="C469" s="2103"/>
      <c r="D469" s="2103"/>
      <c r="E469" s="2103"/>
      <c r="F469" s="2103"/>
      <c r="G469" s="2103"/>
      <c r="H469" s="2103"/>
      <c r="I469" s="2103"/>
      <c r="J469" s="2103"/>
      <c r="K469" s="2103"/>
      <c r="L469" s="2103"/>
      <c r="M469" s="2103"/>
      <c r="N469" s="2103"/>
      <c r="O469" s="2103"/>
      <c r="P469" s="2103"/>
      <c r="Q469" s="2103"/>
      <c r="R469" s="2103"/>
      <c r="S469" s="2103"/>
      <c r="T469" s="2103"/>
      <c r="U469" s="2103"/>
      <c r="V469" s="2103"/>
      <c r="W469" s="2103"/>
      <c r="X469" s="2103"/>
      <c r="Y469" s="2103"/>
      <c r="Z469" s="2103"/>
      <c r="AA469" s="2103"/>
      <c r="AB469" s="1421">
        <f>SUM(AB465:AB468)</f>
        <v>2606</v>
      </c>
    </row>
    <row r="470" spans="2:28" x14ac:dyDescent="0.3">
      <c r="B470" s="1395"/>
      <c r="C470" s="1395"/>
      <c r="D470" s="1395"/>
      <c r="E470" s="1395"/>
      <c r="F470" s="1395"/>
      <c r="G470" s="1395"/>
      <c r="H470" s="1395"/>
      <c r="I470" s="1395"/>
      <c r="J470" s="1395"/>
      <c r="K470" s="1395"/>
      <c r="L470" s="1395"/>
      <c r="M470" s="1395"/>
      <c r="N470" s="1395"/>
      <c r="O470" s="1395"/>
      <c r="P470" s="1395"/>
      <c r="Q470" s="1395"/>
      <c r="R470" s="1395"/>
      <c r="S470" s="1395"/>
      <c r="T470" s="1395"/>
      <c r="U470" s="1395"/>
      <c r="V470" s="1395"/>
      <c r="W470" s="1395"/>
      <c r="X470" s="1395"/>
      <c r="Y470" s="1395"/>
      <c r="Z470" s="1395"/>
      <c r="AA470" s="1395"/>
      <c r="AB470" s="1395"/>
    </row>
    <row r="471" spans="2:28" ht="15" customHeight="1" x14ac:dyDescent="0.3">
      <c r="B471" s="1395" t="s">
        <v>1434</v>
      </c>
      <c r="C471" s="2099" t="s">
        <v>1662</v>
      </c>
      <c r="D471" s="2100"/>
      <c r="E471" s="2100"/>
      <c r="F471" s="2100"/>
      <c r="G471" s="2100"/>
      <c r="H471" s="2100"/>
      <c r="I471" s="2100"/>
      <c r="J471" s="2100"/>
      <c r="K471" s="2100"/>
      <c r="L471" s="2100"/>
      <c r="M471" s="2100"/>
      <c r="N471" s="2100"/>
      <c r="O471" s="2100"/>
      <c r="P471" s="2100"/>
      <c r="Q471" s="2100"/>
      <c r="R471" s="2100"/>
      <c r="S471" s="2100"/>
      <c r="T471" s="2100"/>
      <c r="U471" s="2100"/>
      <c r="V471" s="2100"/>
      <c r="W471" s="2100"/>
      <c r="X471" s="2100"/>
      <c r="Y471" s="2100"/>
      <c r="Z471" s="2100"/>
      <c r="AA471" s="2100"/>
      <c r="AB471" s="2101"/>
    </row>
    <row r="472" spans="2:28" x14ac:dyDescent="0.3">
      <c r="B472" s="1395"/>
      <c r="C472" s="1395"/>
      <c r="D472" s="1395"/>
      <c r="E472" s="1395"/>
      <c r="F472" s="1395"/>
      <c r="G472" s="1395"/>
      <c r="H472" s="1395"/>
      <c r="I472" s="1395"/>
      <c r="J472" s="1395"/>
      <c r="K472" s="1395"/>
      <c r="L472" s="1395"/>
      <c r="M472" s="1395"/>
      <c r="N472" s="1395"/>
      <c r="O472" s="1395"/>
      <c r="P472" s="1395"/>
      <c r="Q472" s="1395"/>
      <c r="R472" s="1395"/>
      <c r="S472" s="1395"/>
      <c r="T472" s="1395"/>
      <c r="U472" s="1395"/>
      <c r="V472" s="1395"/>
      <c r="W472" s="1395"/>
      <c r="X472" s="1395"/>
      <c r="Y472" s="1395"/>
      <c r="Z472" s="1395"/>
      <c r="AA472" s="1395"/>
      <c r="AB472" s="1395"/>
    </row>
    <row r="473" spans="2:28" s="1420" customFormat="1" ht="21" customHeight="1" x14ac:dyDescent="0.3">
      <c r="B473" s="1419"/>
      <c r="C473" s="1418" t="s">
        <v>1435</v>
      </c>
      <c r="D473" s="1419" t="s">
        <v>1436</v>
      </c>
      <c r="E473" s="1419" t="s">
        <v>1437</v>
      </c>
      <c r="F473" s="1419" t="s">
        <v>1438</v>
      </c>
      <c r="G473" s="1419" t="s">
        <v>1439</v>
      </c>
      <c r="H473" s="1419" t="s">
        <v>1440</v>
      </c>
      <c r="I473" s="1419" t="s">
        <v>1441</v>
      </c>
      <c r="J473" s="1419" t="s">
        <v>1442</v>
      </c>
      <c r="K473" s="1419" t="s">
        <v>1443</v>
      </c>
      <c r="L473" s="1419" t="s">
        <v>1444</v>
      </c>
      <c r="M473" s="1419" t="s">
        <v>1445</v>
      </c>
      <c r="N473" s="1419" t="s">
        <v>1446</v>
      </c>
      <c r="O473" s="1419" t="s">
        <v>1447</v>
      </c>
      <c r="P473" s="1419" t="s">
        <v>1448</v>
      </c>
      <c r="Q473" s="1419" t="s">
        <v>1449</v>
      </c>
      <c r="R473" s="1419" t="s">
        <v>1450</v>
      </c>
      <c r="S473" s="1419" t="s">
        <v>1451</v>
      </c>
      <c r="T473" s="1419" t="s">
        <v>1452</v>
      </c>
      <c r="U473" s="1419" t="s">
        <v>1453</v>
      </c>
      <c r="V473" s="1419" t="s">
        <v>1454</v>
      </c>
      <c r="W473" s="1419" t="s">
        <v>1455</v>
      </c>
      <c r="X473" s="1419" t="s">
        <v>1456</v>
      </c>
      <c r="Y473" s="1419" t="s">
        <v>1457</v>
      </c>
      <c r="Z473" s="1419" t="s">
        <v>1458</v>
      </c>
      <c r="AA473" s="1419" t="s">
        <v>1466</v>
      </c>
      <c r="AB473" s="1419" t="s">
        <v>1467</v>
      </c>
    </row>
    <row r="474" spans="2:28" x14ac:dyDescent="0.3">
      <c r="B474" s="1437" t="s">
        <v>1461</v>
      </c>
      <c r="C474" s="1448">
        <v>0.05</v>
      </c>
      <c r="D474" s="1448">
        <v>0.05</v>
      </c>
      <c r="E474" s="1448">
        <v>0.05</v>
      </c>
      <c r="F474" s="1448">
        <v>0.05</v>
      </c>
      <c r="G474" s="1448">
        <v>0.05</v>
      </c>
      <c r="H474" s="1448">
        <v>0.05</v>
      </c>
      <c r="I474" s="1448">
        <v>0.35</v>
      </c>
      <c r="J474" s="1448">
        <v>0.35</v>
      </c>
      <c r="K474" s="1448">
        <v>0.35</v>
      </c>
      <c r="L474" s="1448">
        <v>0.65</v>
      </c>
      <c r="M474" s="1448">
        <v>0.65</v>
      </c>
      <c r="N474" s="1448">
        <v>0.65</v>
      </c>
      <c r="O474" s="1448">
        <v>0.65</v>
      </c>
      <c r="P474" s="1448">
        <v>0.65</v>
      </c>
      <c r="Q474" s="1448">
        <v>0.65</v>
      </c>
      <c r="R474" s="1448">
        <v>0.65</v>
      </c>
      <c r="S474" s="1448">
        <v>0.65</v>
      </c>
      <c r="T474" s="1448">
        <v>0.65</v>
      </c>
      <c r="U474" s="1448">
        <v>0.65</v>
      </c>
      <c r="V474" s="1448">
        <v>0.65</v>
      </c>
      <c r="W474" s="1448">
        <v>0.65</v>
      </c>
      <c r="X474" s="1448">
        <v>0.65</v>
      </c>
      <c r="Y474" s="1448">
        <v>0.25</v>
      </c>
      <c r="Z474" s="1448">
        <v>0.05</v>
      </c>
      <c r="AA474" s="1424">
        <f>SUM(C474:Z474)</f>
        <v>10.100000000000003</v>
      </c>
      <c r="AB474" s="1425">
        <f>AA474*SUM($C$9:$C$13)</f>
        <v>2525.0000000000009</v>
      </c>
    </row>
    <row r="475" spans="2:28" x14ac:dyDescent="0.3">
      <c r="B475" s="1439" t="s">
        <v>1431</v>
      </c>
      <c r="C475" s="1449">
        <v>0.05</v>
      </c>
      <c r="D475" s="1449">
        <v>0.05</v>
      </c>
      <c r="E475" s="1449">
        <v>0.05</v>
      </c>
      <c r="F475" s="1449">
        <v>0.05</v>
      </c>
      <c r="G475" s="1449">
        <v>0.05</v>
      </c>
      <c r="H475" s="1449">
        <v>0.05</v>
      </c>
      <c r="I475" s="1449">
        <v>0.05</v>
      </c>
      <c r="J475" s="1449">
        <v>0.3</v>
      </c>
      <c r="K475" s="1449">
        <v>0.3</v>
      </c>
      <c r="L475" s="1449">
        <v>0.4</v>
      </c>
      <c r="M475" s="1449">
        <v>0.4</v>
      </c>
      <c r="N475" s="1449">
        <v>0.4</v>
      </c>
      <c r="O475" s="1449">
        <v>0.4</v>
      </c>
      <c r="P475" s="1449">
        <v>0.4</v>
      </c>
      <c r="Q475" s="1449">
        <v>0.4</v>
      </c>
      <c r="R475" s="1449">
        <v>0.4</v>
      </c>
      <c r="S475" s="1449">
        <v>0.4</v>
      </c>
      <c r="T475" s="1449">
        <v>0.4</v>
      </c>
      <c r="U475" s="1449">
        <v>0.4</v>
      </c>
      <c r="V475" s="1449">
        <v>0.4</v>
      </c>
      <c r="W475" s="1449">
        <v>0.4</v>
      </c>
      <c r="X475" s="1449">
        <v>0.4</v>
      </c>
      <c r="Y475" s="1449">
        <v>0.4</v>
      </c>
      <c r="Z475" s="1449">
        <v>0.05</v>
      </c>
      <c r="AA475" s="1428">
        <f>SUM(C475:Z475)</f>
        <v>6.6000000000000014</v>
      </c>
      <c r="AB475" s="1429">
        <f>AA475*SUM($C$14)</f>
        <v>343.20000000000005</v>
      </c>
    </row>
    <row r="476" spans="2:28" x14ac:dyDescent="0.3">
      <c r="B476" s="1439" t="s">
        <v>1432</v>
      </c>
      <c r="C476" s="1449">
        <v>0.05</v>
      </c>
      <c r="D476" s="1449">
        <v>0.05</v>
      </c>
      <c r="E476" s="1449">
        <v>0.05</v>
      </c>
      <c r="F476" s="1449">
        <v>0.05</v>
      </c>
      <c r="G476" s="1449">
        <v>0.05</v>
      </c>
      <c r="H476" s="1449">
        <v>0.05</v>
      </c>
      <c r="I476" s="1449">
        <v>0.05</v>
      </c>
      <c r="J476" s="1449">
        <v>0.3</v>
      </c>
      <c r="K476" s="1449">
        <v>0.3</v>
      </c>
      <c r="L476" s="1449">
        <v>0.3</v>
      </c>
      <c r="M476" s="1449">
        <v>0.3</v>
      </c>
      <c r="N476" s="1449">
        <v>0.3</v>
      </c>
      <c r="O476" s="1449">
        <v>0.55000000000000004</v>
      </c>
      <c r="P476" s="1449">
        <v>0.55000000000000004</v>
      </c>
      <c r="Q476" s="1449">
        <v>0.55000000000000004</v>
      </c>
      <c r="R476" s="1449">
        <v>0.55000000000000004</v>
      </c>
      <c r="S476" s="1449">
        <v>0.55000000000000004</v>
      </c>
      <c r="T476" s="1449">
        <v>0.55000000000000004</v>
      </c>
      <c r="U476" s="1449">
        <v>0.55000000000000004</v>
      </c>
      <c r="V476" s="1449">
        <v>0.55000000000000004</v>
      </c>
      <c r="W476" s="1449">
        <v>0.55000000000000004</v>
      </c>
      <c r="X476" s="1449">
        <v>0.55000000000000004</v>
      </c>
      <c r="Y476" s="1449">
        <v>0.05</v>
      </c>
      <c r="Z476" s="1449">
        <v>0.05</v>
      </c>
      <c r="AA476" s="1428">
        <f>SUM(C476:Z476)</f>
        <v>7.4499999999999984</v>
      </c>
      <c r="AB476" s="1429">
        <f>AA476*$C$15</f>
        <v>387.39999999999992</v>
      </c>
    </row>
    <row r="477" spans="2:28" x14ac:dyDescent="0.3">
      <c r="B477" s="1441" t="s">
        <v>1432</v>
      </c>
      <c r="C477" s="1450">
        <v>0.05</v>
      </c>
      <c r="D477" s="1450">
        <v>0.05</v>
      </c>
      <c r="E477" s="1450">
        <v>0.05</v>
      </c>
      <c r="F477" s="1450">
        <v>0.05</v>
      </c>
      <c r="G477" s="1450">
        <v>0.05</v>
      </c>
      <c r="H477" s="1450">
        <v>0.05</v>
      </c>
      <c r="I477" s="1450">
        <v>0.05</v>
      </c>
      <c r="J477" s="1450">
        <v>0.3</v>
      </c>
      <c r="K477" s="1450">
        <v>0.3</v>
      </c>
      <c r="L477" s="1450">
        <v>0.3</v>
      </c>
      <c r="M477" s="1450">
        <v>0.3</v>
      </c>
      <c r="N477" s="1450">
        <v>0.3</v>
      </c>
      <c r="O477" s="1450">
        <v>0.55000000000000004</v>
      </c>
      <c r="P477" s="1450">
        <v>0.55000000000000004</v>
      </c>
      <c r="Q477" s="1450">
        <v>0.55000000000000004</v>
      </c>
      <c r="R477" s="1450">
        <v>0.55000000000000004</v>
      </c>
      <c r="S477" s="1450">
        <v>0.55000000000000004</v>
      </c>
      <c r="T477" s="1450">
        <v>0.55000000000000004</v>
      </c>
      <c r="U477" s="1450">
        <v>0.55000000000000004</v>
      </c>
      <c r="V477" s="1450">
        <v>0.55000000000000004</v>
      </c>
      <c r="W477" s="1450">
        <v>0.55000000000000004</v>
      </c>
      <c r="X477" s="1450">
        <v>0.55000000000000004</v>
      </c>
      <c r="Y477" s="1450">
        <v>0.05</v>
      </c>
      <c r="Z477" s="1450">
        <v>0.05</v>
      </c>
      <c r="AA477" s="1432">
        <f>SUM(C477:Z477)</f>
        <v>7.4499999999999984</v>
      </c>
      <c r="AB477" s="1433">
        <f>AA477*SUM($C$8)</f>
        <v>81.949999999999989</v>
      </c>
    </row>
    <row r="478" spans="2:28" x14ac:dyDescent="0.3">
      <c r="B478" s="2102" t="s">
        <v>1468</v>
      </c>
      <c r="C478" s="2103"/>
      <c r="D478" s="2103"/>
      <c r="E478" s="2103"/>
      <c r="F478" s="2103"/>
      <c r="G478" s="2103"/>
      <c r="H478" s="2103"/>
      <c r="I478" s="2103"/>
      <c r="J478" s="2103"/>
      <c r="K478" s="2103"/>
      <c r="L478" s="2103"/>
      <c r="M478" s="2103"/>
      <c r="N478" s="2103"/>
      <c r="O478" s="2103"/>
      <c r="P478" s="2103"/>
      <c r="Q478" s="2103"/>
      <c r="R478" s="2103"/>
      <c r="S478" s="2103"/>
      <c r="T478" s="2103"/>
      <c r="U478" s="2103"/>
      <c r="V478" s="2103"/>
      <c r="W478" s="2103"/>
      <c r="X478" s="2103"/>
      <c r="Y478" s="2103"/>
      <c r="Z478" s="2103"/>
      <c r="AA478" s="2103"/>
      <c r="AB478" s="1421">
        <f>SUM(AB474:AB477)</f>
        <v>3337.5500000000006</v>
      </c>
    </row>
    <row r="479" spans="2:28" x14ac:dyDescent="0.3">
      <c r="B479" s="1395"/>
      <c r="C479" s="1395"/>
      <c r="D479" s="1395"/>
      <c r="E479" s="1395"/>
      <c r="F479" s="1395"/>
      <c r="G479" s="1395"/>
      <c r="H479" s="1395"/>
      <c r="I479" s="1395"/>
      <c r="J479" s="1395"/>
      <c r="K479" s="1395"/>
      <c r="L479" s="1395"/>
      <c r="M479" s="1395"/>
      <c r="N479" s="1395"/>
      <c r="O479" s="1395"/>
      <c r="P479" s="1395"/>
      <c r="Q479" s="1395"/>
      <c r="R479" s="1395"/>
      <c r="S479" s="1395"/>
      <c r="T479" s="1395"/>
      <c r="U479" s="1395"/>
      <c r="V479" s="1395"/>
      <c r="W479" s="1395"/>
      <c r="X479" s="1395"/>
      <c r="Y479" s="1395"/>
      <c r="Z479" s="1395"/>
      <c r="AA479" s="1395"/>
      <c r="AB479" s="1395"/>
    </row>
    <row r="480" spans="2:28" ht="15" customHeight="1" x14ac:dyDescent="0.3">
      <c r="B480" s="1395" t="s">
        <v>1434</v>
      </c>
      <c r="C480" s="2099" t="s">
        <v>1663</v>
      </c>
      <c r="D480" s="2100"/>
      <c r="E480" s="2100"/>
      <c r="F480" s="2100"/>
      <c r="G480" s="2100"/>
      <c r="H480" s="2100"/>
      <c r="I480" s="2100"/>
      <c r="J480" s="2100"/>
      <c r="K480" s="2100"/>
      <c r="L480" s="2100"/>
      <c r="M480" s="2100"/>
      <c r="N480" s="2100"/>
      <c r="O480" s="2100"/>
      <c r="P480" s="2100"/>
      <c r="Q480" s="2100"/>
      <c r="R480" s="2100"/>
      <c r="S480" s="2100"/>
      <c r="T480" s="2100"/>
      <c r="U480" s="2100"/>
      <c r="V480" s="2100"/>
      <c r="W480" s="2100"/>
      <c r="X480" s="2100"/>
      <c r="Y480" s="2100"/>
      <c r="Z480" s="2100"/>
      <c r="AA480" s="2100"/>
      <c r="AB480" s="2101"/>
    </row>
    <row r="481" spans="2:28" x14ac:dyDescent="0.3">
      <c r="B481" s="1395"/>
      <c r="C481" s="1395"/>
      <c r="D481" s="1395"/>
      <c r="E481" s="1395"/>
      <c r="F481" s="1395"/>
      <c r="G481" s="1395"/>
      <c r="H481" s="1395"/>
      <c r="I481" s="1395"/>
      <c r="J481" s="1395"/>
      <c r="K481" s="1395"/>
      <c r="L481" s="1395"/>
      <c r="M481" s="1395"/>
      <c r="N481" s="1395"/>
      <c r="O481" s="1395"/>
      <c r="P481" s="1395"/>
      <c r="Q481" s="1395"/>
      <c r="R481" s="1395"/>
      <c r="S481" s="1395"/>
      <c r="T481" s="1395"/>
      <c r="U481" s="1395"/>
      <c r="V481" s="1395"/>
      <c r="W481" s="1395"/>
      <c r="X481" s="1395"/>
      <c r="Y481" s="1395"/>
      <c r="Z481" s="1395"/>
      <c r="AA481" s="1395"/>
      <c r="AB481" s="1395"/>
    </row>
    <row r="482" spans="2:28" s="1420" customFormat="1" ht="21" customHeight="1" x14ac:dyDescent="0.3">
      <c r="B482" s="1419"/>
      <c r="C482" s="1418" t="s">
        <v>1435</v>
      </c>
      <c r="D482" s="1419" t="s">
        <v>1436</v>
      </c>
      <c r="E482" s="1419" t="s">
        <v>1437</v>
      </c>
      <c r="F482" s="1419" t="s">
        <v>1438</v>
      </c>
      <c r="G482" s="1419" t="s">
        <v>1439</v>
      </c>
      <c r="H482" s="1419" t="s">
        <v>1440</v>
      </c>
      <c r="I482" s="1419" t="s">
        <v>1441</v>
      </c>
      <c r="J482" s="1419" t="s">
        <v>1442</v>
      </c>
      <c r="K482" s="1419" t="s">
        <v>1443</v>
      </c>
      <c r="L482" s="1419" t="s">
        <v>1444</v>
      </c>
      <c r="M482" s="1419" t="s">
        <v>1445</v>
      </c>
      <c r="N482" s="1419" t="s">
        <v>1446</v>
      </c>
      <c r="O482" s="1419" t="s">
        <v>1447</v>
      </c>
      <c r="P482" s="1419" t="s">
        <v>1448</v>
      </c>
      <c r="Q482" s="1419" t="s">
        <v>1449</v>
      </c>
      <c r="R482" s="1419" t="s">
        <v>1450</v>
      </c>
      <c r="S482" s="1419" t="s">
        <v>1451</v>
      </c>
      <c r="T482" s="1419" t="s">
        <v>1452</v>
      </c>
      <c r="U482" s="1419" t="s">
        <v>1453</v>
      </c>
      <c r="V482" s="1419" t="s">
        <v>1454</v>
      </c>
      <c r="W482" s="1419" t="s">
        <v>1455</v>
      </c>
      <c r="X482" s="1419" t="s">
        <v>1456</v>
      </c>
      <c r="Y482" s="1419" t="s">
        <v>1457</v>
      </c>
      <c r="Z482" s="1419" t="s">
        <v>1458</v>
      </c>
      <c r="AA482" s="1419" t="s">
        <v>1466</v>
      </c>
      <c r="AB482" s="1419" t="s">
        <v>1467</v>
      </c>
    </row>
    <row r="483" spans="2:28" x14ac:dyDescent="0.3">
      <c r="B483" s="1437" t="s">
        <v>1461</v>
      </c>
      <c r="C483" s="1448">
        <v>0.05</v>
      </c>
      <c r="D483" s="1448">
        <v>0.05</v>
      </c>
      <c r="E483" s="1448">
        <v>0.05</v>
      </c>
      <c r="F483" s="1448">
        <v>0.05</v>
      </c>
      <c r="G483" s="1448">
        <v>0.05</v>
      </c>
      <c r="H483" s="1448">
        <v>0.05</v>
      </c>
      <c r="I483" s="1448">
        <v>0.4</v>
      </c>
      <c r="J483" s="1448">
        <v>0.4</v>
      </c>
      <c r="K483" s="1448">
        <v>0.4</v>
      </c>
      <c r="L483" s="1448">
        <v>0.75</v>
      </c>
      <c r="M483" s="1448">
        <v>0.75</v>
      </c>
      <c r="N483" s="1448">
        <v>0.75</v>
      </c>
      <c r="O483" s="1448">
        <v>0.75</v>
      </c>
      <c r="P483" s="1448">
        <v>0.75</v>
      </c>
      <c r="Q483" s="1448">
        <v>0.75</v>
      </c>
      <c r="R483" s="1448">
        <v>0.75</v>
      </c>
      <c r="S483" s="1448">
        <v>0.75</v>
      </c>
      <c r="T483" s="1448">
        <v>0.75</v>
      </c>
      <c r="U483" s="1448">
        <v>0.75</v>
      </c>
      <c r="V483" s="1448">
        <v>0.75</v>
      </c>
      <c r="W483" s="1448">
        <v>0.75</v>
      </c>
      <c r="X483" s="1448">
        <v>0.75</v>
      </c>
      <c r="Y483" s="1448">
        <v>0.25</v>
      </c>
      <c r="Z483" s="1448">
        <v>0.05</v>
      </c>
      <c r="AA483" s="1424">
        <f>SUM(C483:Z483)</f>
        <v>11.55</v>
      </c>
      <c r="AB483" s="1425">
        <f>AA483*SUM($C$9:$C$13)</f>
        <v>2887.5</v>
      </c>
    </row>
    <row r="484" spans="2:28" x14ac:dyDescent="0.3">
      <c r="B484" s="1439" t="s">
        <v>1431</v>
      </c>
      <c r="C484" s="1449">
        <v>0.05</v>
      </c>
      <c r="D484" s="1449">
        <v>0.05</v>
      </c>
      <c r="E484" s="1449">
        <v>0.05</v>
      </c>
      <c r="F484" s="1449">
        <v>0.05</v>
      </c>
      <c r="G484" s="1449">
        <v>0.05</v>
      </c>
      <c r="H484" s="1449">
        <v>0.05</v>
      </c>
      <c r="I484" s="1449">
        <v>0.05</v>
      </c>
      <c r="J484" s="1449">
        <v>0.3</v>
      </c>
      <c r="K484" s="1449">
        <v>0.3</v>
      </c>
      <c r="L484" s="1449">
        <v>0.5</v>
      </c>
      <c r="M484" s="1449">
        <v>0.5</v>
      </c>
      <c r="N484" s="1449">
        <v>0.5</v>
      </c>
      <c r="O484" s="1449">
        <v>0.5</v>
      </c>
      <c r="P484" s="1449">
        <v>0.5</v>
      </c>
      <c r="Q484" s="1449">
        <v>0.5</v>
      </c>
      <c r="R484" s="1449">
        <v>0.5</v>
      </c>
      <c r="S484" s="1449">
        <v>0.5</v>
      </c>
      <c r="T484" s="1449">
        <v>0.5</v>
      </c>
      <c r="U484" s="1449">
        <v>0.5</v>
      </c>
      <c r="V484" s="1449">
        <v>0.5</v>
      </c>
      <c r="W484" s="1449">
        <v>0.5</v>
      </c>
      <c r="X484" s="1449">
        <v>0.5</v>
      </c>
      <c r="Y484" s="1449">
        <v>0.5</v>
      </c>
      <c r="Z484" s="1449">
        <v>0.05</v>
      </c>
      <c r="AA484" s="1428">
        <f>SUM(C484:Z484)</f>
        <v>8</v>
      </c>
      <c r="AB484" s="1429">
        <f>AA484*SUM($C$14)</f>
        <v>416</v>
      </c>
    </row>
    <row r="485" spans="2:28" x14ac:dyDescent="0.3">
      <c r="B485" s="1439" t="s">
        <v>1432</v>
      </c>
      <c r="C485" s="1449">
        <v>0.05</v>
      </c>
      <c r="D485" s="1449">
        <v>0.05</v>
      </c>
      <c r="E485" s="1449">
        <v>0.05</v>
      </c>
      <c r="F485" s="1449">
        <v>0.05</v>
      </c>
      <c r="G485" s="1449">
        <v>0.05</v>
      </c>
      <c r="H485" s="1449">
        <v>0.05</v>
      </c>
      <c r="I485" s="1449">
        <v>0.05</v>
      </c>
      <c r="J485" s="1449">
        <v>0.3</v>
      </c>
      <c r="K485" s="1449">
        <v>0.3</v>
      </c>
      <c r="L485" s="1449">
        <v>0.3</v>
      </c>
      <c r="M485" s="1449">
        <v>0.3</v>
      </c>
      <c r="N485" s="1449">
        <v>0.3</v>
      </c>
      <c r="O485" s="1449">
        <v>0.65</v>
      </c>
      <c r="P485" s="1449">
        <v>0.65</v>
      </c>
      <c r="Q485" s="1449">
        <v>0.65</v>
      </c>
      <c r="R485" s="1449">
        <v>0.65</v>
      </c>
      <c r="S485" s="1449">
        <v>0.65</v>
      </c>
      <c r="T485" s="1449">
        <v>0.65</v>
      </c>
      <c r="U485" s="1449">
        <v>0.65</v>
      </c>
      <c r="V485" s="1449">
        <v>0.65</v>
      </c>
      <c r="W485" s="1449">
        <v>0.65</v>
      </c>
      <c r="X485" s="1449">
        <v>0.65</v>
      </c>
      <c r="Y485" s="1449">
        <v>0.05</v>
      </c>
      <c r="Z485" s="1449">
        <v>0.05</v>
      </c>
      <c r="AA485" s="1428">
        <f>SUM(C485:Z485)</f>
        <v>8.4500000000000028</v>
      </c>
      <c r="AB485" s="1429">
        <f>AA485*$C$15</f>
        <v>439.40000000000015</v>
      </c>
    </row>
    <row r="486" spans="2:28" x14ac:dyDescent="0.3">
      <c r="B486" s="1441" t="s">
        <v>1432</v>
      </c>
      <c r="C486" s="1450">
        <v>0.05</v>
      </c>
      <c r="D486" s="1450">
        <v>0.05</v>
      </c>
      <c r="E486" s="1450">
        <v>0.05</v>
      </c>
      <c r="F486" s="1450">
        <v>0.05</v>
      </c>
      <c r="G486" s="1450">
        <v>0.05</v>
      </c>
      <c r="H486" s="1450">
        <v>0.05</v>
      </c>
      <c r="I486" s="1450">
        <v>0.05</v>
      </c>
      <c r="J486" s="1450">
        <v>0.3</v>
      </c>
      <c r="K486" s="1450">
        <v>0.3</v>
      </c>
      <c r="L486" s="1450">
        <v>0.3</v>
      </c>
      <c r="M486" s="1450">
        <v>0.3</v>
      </c>
      <c r="N486" s="1450">
        <v>0.3</v>
      </c>
      <c r="O486" s="1450">
        <v>0.65</v>
      </c>
      <c r="P486" s="1450">
        <v>0.65</v>
      </c>
      <c r="Q486" s="1450">
        <v>0.65</v>
      </c>
      <c r="R486" s="1450">
        <v>0.65</v>
      </c>
      <c r="S486" s="1450">
        <v>0.65</v>
      </c>
      <c r="T486" s="1450">
        <v>0.65</v>
      </c>
      <c r="U486" s="1450">
        <v>0.65</v>
      </c>
      <c r="V486" s="1450">
        <v>0.65</v>
      </c>
      <c r="W486" s="1450">
        <v>0.65</v>
      </c>
      <c r="X486" s="1450">
        <v>0.65</v>
      </c>
      <c r="Y486" s="1450">
        <v>0.05</v>
      </c>
      <c r="Z486" s="1450">
        <v>0.05</v>
      </c>
      <c r="AA486" s="1432">
        <f>SUM(C486:Z486)</f>
        <v>8.4500000000000028</v>
      </c>
      <c r="AB486" s="1433">
        <f>AA486*SUM($C$8)</f>
        <v>92.950000000000031</v>
      </c>
    </row>
    <row r="487" spans="2:28" x14ac:dyDescent="0.3">
      <c r="B487" s="2102" t="s">
        <v>1468</v>
      </c>
      <c r="C487" s="2103"/>
      <c r="D487" s="2103"/>
      <c r="E487" s="2103"/>
      <c r="F487" s="2103"/>
      <c r="G487" s="2103"/>
      <c r="H487" s="2103"/>
      <c r="I487" s="2103"/>
      <c r="J487" s="2103"/>
      <c r="K487" s="2103"/>
      <c r="L487" s="2103"/>
      <c r="M487" s="2103"/>
      <c r="N487" s="2103"/>
      <c r="O487" s="2103"/>
      <c r="P487" s="2103"/>
      <c r="Q487" s="2103"/>
      <c r="R487" s="2103"/>
      <c r="S487" s="2103"/>
      <c r="T487" s="2103"/>
      <c r="U487" s="2103"/>
      <c r="V487" s="2103"/>
      <c r="W487" s="2103"/>
      <c r="X487" s="2103"/>
      <c r="Y487" s="2103"/>
      <c r="Z487" s="2103"/>
      <c r="AA487" s="2103"/>
      <c r="AB487" s="1421">
        <f>SUM(AB483:AB486)</f>
        <v>3835.85</v>
      </c>
    </row>
    <row r="488" spans="2:28" x14ac:dyDescent="0.3">
      <c r="B488" s="1395"/>
      <c r="C488" s="1395"/>
      <c r="D488" s="1395"/>
      <c r="E488" s="1395"/>
      <c r="F488" s="1395"/>
      <c r="G488" s="1395"/>
      <c r="H488" s="1395"/>
      <c r="I488" s="1395"/>
      <c r="J488" s="1395"/>
      <c r="K488" s="1395"/>
      <c r="L488" s="1395"/>
      <c r="M488" s="1395"/>
      <c r="N488" s="1395"/>
      <c r="O488" s="1395"/>
      <c r="P488" s="1395"/>
      <c r="Q488" s="1395"/>
      <c r="R488" s="1395"/>
      <c r="S488" s="1395"/>
      <c r="T488" s="1395"/>
      <c r="U488" s="1395"/>
      <c r="V488" s="1395"/>
      <c r="W488" s="1395"/>
      <c r="X488" s="1395"/>
      <c r="Y488" s="1395"/>
      <c r="Z488" s="1395"/>
      <c r="AA488" s="1395"/>
      <c r="AB488" s="1395"/>
    </row>
    <row r="489" spans="2:28" ht="15" customHeight="1" x14ac:dyDescent="0.3">
      <c r="B489" s="1395" t="s">
        <v>1434</v>
      </c>
      <c r="C489" s="2099" t="s">
        <v>1664</v>
      </c>
      <c r="D489" s="2100"/>
      <c r="E489" s="2100"/>
      <c r="F489" s="2100"/>
      <c r="G489" s="2100"/>
      <c r="H489" s="2100"/>
      <c r="I489" s="2100"/>
      <c r="J489" s="2100"/>
      <c r="K489" s="2100"/>
      <c r="L489" s="2100"/>
      <c r="M489" s="2100"/>
      <c r="N489" s="2100"/>
      <c r="O489" s="2100"/>
      <c r="P489" s="2100"/>
      <c r="Q489" s="2100"/>
      <c r="R489" s="2100"/>
      <c r="S489" s="2100"/>
      <c r="T489" s="2100"/>
      <c r="U489" s="2100"/>
      <c r="V489" s="2100"/>
      <c r="W489" s="2100"/>
      <c r="X489" s="2100"/>
      <c r="Y489" s="2100"/>
      <c r="Z489" s="2100"/>
      <c r="AA489" s="2100"/>
      <c r="AB489" s="2101"/>
    </row>
    <row r="490" spans="2:28" x14ac:dyDescent="0.3">
      <c r="B490" s="1395"/>
      <c r="C490" s="1395"/>
      <c r="D490" s="1395"/>
      <c r="E490" s="1395"/>
      <c r="F490" s="1395"/>
      <c r="G490" s="1395"/>
      <c r="H490" s="1395"/>
      <c r="I490" s="1395"/>
      <c r="J490" s="1395"/>
      <c r="K490" s="1395"/>
      <c r="L490" s="1395"/>
      <c r="M490" s="1395"/>
      <c r="N490" s="1395"/>
      <c r="O490" s="1395"/>
      <c r="P490" s="1395"/>
      <c r="Q490" s="1395"/>
      <c r="R490" s="1395"/>
      <c r="S490" s="1395"/>
      <c r="T490" s="1395"/>
      <c r="U490" s="1395"/>
      <c r="V490" s="1395"/>
      <c r="W490" s="1395"/>
      <c r="X490" s="1395"/>
      <c r="Y490" s="1395"/>
      <c r="Z490" s="1395"/>
      <c r="AA490" s="1395"/>
      <c r="AB490" s="1395"/>
    </row>
    <row r="491" spans="2:28" s="1420" customFormat="1" ht="21" customHeight="1" x14ac:dyDescent="0.3">
      <c r="B491" s="1419"/>
      <c r="C491" s="1418" t="s">
        <v>1435</v>
      </c>
      <c r="D491" s="1419" t="s">
        <v>1436</v>
      </c>
      <c r="E491" s="1419" t="s">
        <v>1437</v>
      </c>
      <c r="F491" s="1419" t="s">
        <v>1438</v>
      </c>
      <c r="G491" s="1419" t="s">
        <v>1439</v>
      </c>
      <c r="H491" s="1419" t="s">
        <v>1440</v>
      </c>
      <c r="I491" s="1419" t="s">
        <v>1441</v>
      </c>
      <c r="J491" s="1419" t="s">
        <v>1442</v>
      </c>
      <c r="K491" s="1419" t="s">
        <v>1443</v>
      </c>
      <c r="L491" s="1419" t="s">
        <v>1444</v>
      </c>
      <c r="M491" s="1419" t="s">
        <v>1445</v>
      </c>
      <c r="N491" s="1419" t="s">
        <v>1446</v>
      </c>
      <c r="O491" s="1419" t="s">
        <v>1447</v>
      </c>
      <c r="P491" s="1419" t="s">
        <v>1448</v>
      </c>
      <c r="Q491" s="1419" t="s">
        <v>1449</v>
      </c>
      <c r="R491" s="1419" t="s">
        <v>1450</v>
      </c>
      <c r="S491" s="1419" t="s">
        <v>1451</v>
      </c>
      <c r="T491" s="1419" t="s">
        <v>1452</v>
      </c>
      <c r="U491" s="1419" t="s">
        <v>1453</v>
      </c>
      <c r="V491" s="1419" t="s">
        <v>1454</v>
      </c>
      <c r="W491" s="1419" t="s">
        <v>1455</v>
      </c>
      <c r="X491" s="1419" t="s">
        <v>1456</v>
      </c>
      <c r="Y491" s="1419" t="s">
        <v>1457</v>
      </c>
      <c r="Z491" s="1419" t="s">
        <v>1458</v>
      </c>
      <c r="AA491" s="1419" t="s">
        <v>1466</v>
      </c>
      <c r="AB491" s="1419" t="s">
        <v>1467</v>
      </c>
    </row>
    <row r="492" spans="2:28" x14ac:dyDescent="0.3">
      <c r="B492" s="1437" t="s">
        <v>1461</v>
      </c>
      <c r="C492" s="1448">
        <v>0</v>
      </c>
      <c r="D492" s="1448">
        <v>0</v>
      </c>
      <c r="E492" s="1448">
        <v>0</v>
      </c>
      <c r="F492" s="1448">
        <v>0</v>
      </c>
      <c r="G492" s="1448">
        <v>0</v>
      </c>
      <c r="H492" s="1448">
        <v>0</v>
      </c>
      <c r="I492" s="1448">
        <v>0</v>
      </c>
      <c r="J492" s="1448">
        <v>0</v>
      </c>
      <c r="K492" s="1448">
        <v>0</v>
      </c>
      <c r="L492" s="1448">
        <v>0.05</v>
      </c>
      <c r="M492" s="1448">
        <v>0.05</v>
      </c>
      <c r="N492" s="1448">
        <v>0.35</v>
      </c>
      <c r="O492" s="1448">
        <v>0.05</v>
      </c>
      <c r="P492" s="1448">
        <v>0.05</v>
      </c>
      <c r="Q492" s="1448">
        <v>0.05</v>
      </c>
      <c r="R492" s="1448">
        <v>0.05</v>
      </c>
      <c r="S492" s="1448">
        <v>0.05</v>
      </c>
      <c r="T492" s="1448">
        <v>0</v>
      </c>
      <c r="U492" s="1448">
        <v>0</v>
      </c>
      <c r="V492" s="1448">
        <v>0</v>
      </c>
      <c r="W492" s="1448">
        <v>0</v>
      </c>
      <c r="X492" s="1448">
        <v>0</v>
      </c>
      <c r="Y492" s="1448">
        <v>0</v>
      </c>
      <c r="Z492" s="1448">
        <v>0</v>
      </c>
      <c r="AA492" s="1424">
        <f>SUM(C492:Z492)</f>
        <v>0.70000000000000007</v>
      </c>
      <c r="AB492" s="1425">
        <f>AA492*SUM($C$9:$C$13)</f>
        <v>175.00000000000003</v>
      </c>
    </row>
    <row r="493" spans="2:28" x14ac:dyDescent="0.3">
      <c r="B493" s="1439" t="s">
        <v>1431</v>
      </c>
      <c r="C493" s="1449">
        <v>0</v>
      </c>
      <c r="D493" s="1449">
        <v>0</v>
      </c>
      <c r="E493" s="1449">
        <v>0</v>
      </c>
      <c r="F493" s="1449">
        <v>0</v>
      </c>
      <c r="G493" s="1449">
        <v>0</v>
      </c>
      <c r="H493" s="1449">
        <v>0</v>
      </c>
      <c r="I493" s="1449">
        <v>0</v>
      </c>
      <c r="J493" s="1449">
        <v>0</v>
      </c>
      <c r="K493" s="1449">
        <v>0</v>
      </c>
      <c r="L493" s="1449">
        <v>0.05</v>
      </c>
      <c r="M493" s="1449">
        <v>0.05</v>
      </c>
      <c r="N493" s="1449">
        <v>0.2</v>
      </c>
      <c r="O493" s="1449">
        <v>0</v>
      </c>
      <c r="P493" s="1449">
        <v>0</v>
      </c>
      <c r="Q493" s="1449">
        <v>0</v>
      </c>
      <c r="R493" s="1449">
        <v>0</v>
      </c>
      <c r="S493" s="1449">
        <v>0</v>
      </c>
      <c r="T493" s="1449">
        <v>0</v>
      </c>
      <c r="U493" s="1449">
        <v>0</v>
      </c>
      <c r="V493" s="1449">
        <v>0.65</v>
      </c>
      <c r="W493" s="1449">
        <v>0.3</v>
      </c>
      <c r="X493" s="1449">
        <v>0</v>
      </c>
      <c r="Y493" s="1449">
        <v>0</v>
      </c>
      <c r="Z493" s="1449">
        <v>0</v>
      </c>
      <c r="AA493" s="1428">
        <f>SUM(C493:Z493)</f>
        <v>1.25</v>
      </c>
      <c r="AB493" s="1429">
        <f>AA493*SUM($C$14)</f>
        <v>65</v>
      </c>
    </row>
    <row r="494" spans="2:28" x14ac:dyDescent="0.3">
      <c r="B494" s="1439" t="s">
        <v>1432</v>
      </c>
      <c r="C494" s="1449">
        <v>0</v>
      </c>
      <c r="D494" s="1449">
        <v>0</v>
      </c>
      <c r="E494" s="1449">
        <v>0</v>
      </c>
      <c r="F494" s="1449">
        <v>0</v>
      </c>
      <c r="G494" s="1449">
        <v>0</v>
      </c>
      <c r="H494" s="1449">
        <v>0</v>
      </c>
      <c r="I494" s="1449">
        <v>0</v>
      </c>
      <c r="J494" s="1449">
        <v>0</v>
      </c>
      <c r="K494" s="1449">
        <v>0</v>
      </c>
      <c r="L494" s="1449">
        <v>0.05</v>
      </c>
      <c r="M494" s="1449">
        <v>0.05</v>
      </c>
      <c r="N494" s="1449">
        <v>0.1</v>
      </c>
      <c r="O494" s="1449">
        <v>0</v>
      </c>
      <c r="P494" s="1449">
        <v>0</v>
      </c>
      <c r="Q494" s="1449">
        <v>0</v>
      </c>
      <c r="R494" s="1449">
        <v>0</v>
      </c>
      <c r="S494" s="1449">
        <v>0</v>
      </c>
      <c r="T494" s="1449">
        <v>0</v>
      </c>
      <c r="U494" s="1449">
        <v>0</v>
      </c>
      <c r="V494" s="1449">
        <v>0.65</v>
      </c>
      <c r="W494" s="1449">
        <v>0.3</v>
      </c>
      <c r="X494" s="1449">
        <v>0</v>
      </c>
      <c r="Y494" s="1449">
        <v>0</v>
      </c>
      <c r="Z494" s="1449">
        <v>0</v>
      </c>
      <c r="AA494" s="1428">
        <f>SUM(C494:Z494)</f>
        <v>1.1500000000000001</v>
      </c>
      <c r="AB494" s="1429">
        <f>AA494*$C$15</f>
        <v>59.800000000000004</v>
      </c>
    </row>
    <row r="495" spans="2:28" x14ac:dyDescent="0.3">
      <c r="B495" s="1441" t="s">
        <v>1432</v>
      </c>
      <c r="C495" s="1450">
        <v>0</v>
      </c>
      <c r="D495" s="1450">
        <v>0</v>
      </c>
      <c r="E495" s="1450">
        <v>0</v>
      </c>
      <c r="F495" s="1450">
        <v>0</v>
      </c>
      <c r="G495" s="1450">
        <v>0</v>
      </c>
      <c r="H495" s="1450">
        <v>0</v>
      </c>
      <c r="I495" s="1450">
        <v>0</v>
      </c>
      <c r="J495" s="1450">
        <v>0</v>
      </c>
      <c r="K495" s="1450">
        <v>0</v>
      </c>
      <c r="L495" s="1450">
        <v>0.05</v>
      </c>
      <c r="M495" s="1450">
        <v>0.05</v>
      </c>
      <c r="N495" s="1450">
        <v>0.1</v>
      </c>
      <c r="O495" s="1450">
        <v>0</v>
      </c>
      <c r="P495" s="1450">
        <v>0</v>
      </c>
      <c r="Q495" s="1450">
        <v>0</v>
      </c>
      <c r="R495" s="1450">
        <v>0</v>
      </c>
      <c r="S495" s="1450">
        <v>0</v>
      </c>
      <c r="T495" s="1450">
        <v>0</v>
      </c>
      <c r="U495" s="1450">
        <v>0</v>
      </c>
      <c r="V495" s="1450">
        <v>0.65</v>
      </c>
      <c r="W495" s="1450">
        <v>0.3</v>
      </c>
      <c r="X495" s="1450">
        <v>0</v>
      </c>
      <c r="Y495" s="1450">
        <v>0</v>
      </c>
      <c r="Z495" s="1450">
        <v>0</v>
      </c>
      <c r="AA495" s="1432">
        <f>SUM(C495:Z495)</f>
        <v>1.1500000000000001</v>
      </c>
      <c r="AB495" s="1433">
        <f>AA495*SUM($C$8)</f>
        <v>12.650000000000002</v>
      </c>
    </row>
    <row r="496" spans="2:28" x14ac:dyDescent="0.3">
      <c r="B496" s="2102" t="s">
        <v>1468</v>
      </c>
      <c r="C496" s="2103"/>
      <c r="D496" s="2103"/>
      <c r="E496" s="2103"/>
      <c r="F496" s="2103"/>
      <c r="G496" s="2103"/>
      <c r="H496" s="2103"/>
      <c r="I496" s="2103"/>
      <c r="J496" s="2103"/>
      <c r="K496" s="2103"/>
      <c r="L496" s="2103"/>
      <c r="M496" s="2103"/>
      <c r="N496" s="2103"/>
      <c r="O496" s="2103"/>
      <c r="P496" s="2103"/>
      <c r="Q496" s="2103"/>
      <c r="R496" s="2103"/>
      <c r="S496" s="2103"/>
      <c r="T496" s="2103"/>
      <c r="U496" s="2103"/>
      <c r="V496" s="2103"/>
      <c r="W496" s="2103"/>
      <c r="X496" s="2103"/>
      <c r="Y496" s="2103"/>
      <c r="Z496" s="2103"/>
      <c r="AA496" s="2103"/>
      <c r="AB496" s="1421">
        <f>SUM(AB492:AB495)</f>
        <v>312.45</v>
      </c>
    </row>
    <row r="497" spans="2:28" x14ac:dyDescent="0.3">
      <c r="B497" s="1395"/>
      <c r="C497" s="1395"/>
      <c r="D497" s="1395"/>
      <c r="E497" s="1395"/>
      <c r="F497" s="1395"/>
      <c r="G497" s="1395"/>
      <c r="H497" s="1395"/>
      <c r="I497" s="1395"/>
      <c r="J497" s="1395"/>
      <c r="K497" s="1395"/>
      <c r="L497" s="1395"/>
      <c r="M497" s="1395"/>
      <c r="N497" s="1395"/>
      <c r="O497" s="1395"/>
      <c r="P497" s="1395"/>
      <c r="Q497" s="1395"/>
      <c r="R497" s="1395"/>
      <c r="S497" s="1395"/>
      <c r="T497" s="1395"/>
      <c r="U497" s="1395"/>
      <c r="V497" s="1395"/>
      <c r="W497" s="1395"/>
      <c r="X497" s="1395"/>
      <c r="Y497" s="1395"/>
      <c r="Z497" s="1395"/>
      <c r="AA497" s="1395"/>
      <c r="AB497" s="1395"/>
    </row>
    <row r="498" spans="2:28" x14ac:dyDescent="0.3">
      <c r="B498" s="1395"/>
      <c r="C498" s="1395"/>
      <c r="D498" s="1395"/>
      <c r="E498" s="1395"/>
      <c r="F498" s="1395"/>
      <c r="G498" s="1395"/>
      <c r="H498" s="1395"/>
      <c r="I498" s="1395"/>
      <c r="J498" s="1395"/>
      <c r="K498" s="1395"/>
      <c r="L498" s="1395"/>
      <c r="M498" s="1395"/>
      <c r="N498" s="1395"/>
      <c r="O498" s="1395"/>
      <c r="P498" s="1395"/>
      <c r="Q498" s="1395"/>
      <c r="R498" s="1395"/>
      <c r="S498" s="1395"/>
      <c r="T498" s="1395"/>
      <c r="U498" s="1395"/>
      <c r="V498" s="1395"/>
      <c r="W498" s="1395"/>
      <c r="X498" s="1395"/>
      <c r="Y498" s="1395"/>
      <c r="Z498" s="1395"/>
      <c r="AA498" s="1395"/>
      <c r="AB498" s="1395"/>
    </row>
    <row r="499" spans="2:28" x14ac:dyDescent="0.3">
      <c r="B499" s="1395"/>
      <c r="C499" s="1395"/>
      <c r="D499" s="1395"/>
      <c r="E499" s="1395"/>
      <c r="F499" s="1395"/>
      <c r="G499" s="1395"/>
      <c r="H499" s="1395"/>
      <c r="I499" s="1395"/>
      <c r="J499" s="1395"/>
      <c r="K499" s="1395"/>
      <c r="L499" s="1395"/>
      <c r="M499" s="1395"/>
      <c r="N499" s="1395"/>
      <c r="O499" s="1395"/>
      <c r="P499" s="1395"/>
      <c r="Q499" s="1395"/>
      <c r="R499" s="1395"/>
      <c r="S499" s="1395"/>
      <c r="T499" s="1395"/>
      <c r="U499" s="1395"/>
      <c r="V499" s="1395"/>
      <c r="W499" s="1395"/>
      <c r="X499" s="1395"/>
      <c r="Y499" s="1395"/>
      <c r="Z499" s="1395"/>
      <c r="AA499" s="1395"/>
      <c r="AB499" s="1395"/>
    </row>
    <row r="500" spans="2:28" x14ac:dyDescent="0.3">
      <c r="B500" s="886"/>
      <c r="C500" s="886"/>
      <c r="D500" s="886"/>
      <c r="E500" s="886"/>
      <c r="F500" s="886"/>
      <c r="G500" s="886"/>
      <c r="H500" s="886"/>
      <c r="I500" s="886"/>
      <c r="J500" s="886"/>
      <c r="K500" s="886"/>
      <c r="L500" s="886"/>
      <c r="M500" s="886"/>
      <c r="N500" s="886"/>
      <c r="O500" s="886"/>
      <c r="P500" s="886"/>
      <c r="Q500" s="886"/>
      <c r="R500" s="886"/>
      <c r="S500" s="886"/>
      <c r="T500" s="886"/>
      <c r="U500" s="886"/>
      <c r="V500" s="886"/>
      <c r="W500" s="886"/>
      <c r="X500" s="886"/>
      <c r="Y500" s="886"/>
      <c r="Z500" s="886"/>
      <c r="AA500" s="886"/>
      <c r="AB500" s="886"/>
    </row>
  </sheetData>
  <sheetProtection algorithmName="SHA-512" hashValue="Fi+iSkqWj5fPKt8UvOb6pddxjSBgH7r6buJ1BqPE765TOg8ji8b3Dwer3iEkRbPrfMW/dX3wkCVq0FjzfYkJrw==" saltValue="1U+saUQsMWvO9JvVFcmtvw==" spinCount="100000" sheet="1" objects="1" scenarios="1"/>
  <mergeCells count="100">
    <mergeCell ref="C51:O51"/>
    <mergeCell ref="C62:O62"/>
    <mergeCell ref="B43:AA43"/>
    <mergeCell ref="B5:Z5"/>
    <mergeCell ref="B6:AB6"/>
    <mergeCell ref="B27:AA27"/>
    <mergeCell ref="C21:O21"/>
    <mergeCell ref="C32:O32"/>
    <mergeCell ref="C112:AB112"/>
    <mergeCell ref="B57:AA57"/>
    <mergeCell ref="B73:AA73"/>
    <mergeCell ref="C82:AB82"/>
    <mergeCell ref="C88:AB88"/>
    <mergeCell ref="B94:AA94"/>
    <mergeCell ref="C96:AB96"/>
    <mergeCell ref="B102:AA102"/>
    <mergeCell ref="C104:AB104"/>
    <mergeCell ref="B110:AA110"/>
    <mergeCell ref="B169:AA169"/>
    <mergeCell ref="B118:AA118"/>
    <mergeCell ref="C126:AB126"/>
    <mergeCell ref="B133:AA133"/>
    <mergeCell ref="C135:AB135"/>
    <mergeCell ref="B142:AA142"/>
    <mergeCell ref="C144:AB144"/>
    <mergeCell ref="B151:AA151"/>
    <mergeCell ref="C153:AB153"/>
    <mergeCell ref="B160:AA160"/>
    <mergeCell ref="C162:AB162"/>
    <mergeCell ref="B122:O122"/>
    <mergeCell ref="B225:AA225"/>
    <mergeCell ref="C171:AB171"/>
    <mergeCell ref="B178:AA178"/>
    <mergeCell ref="C182:AB182"/>
    <mergeCell ref="B189:AA189"/>
    <mergeCell ref="C191:AB191"/>
    <mergeCell ref="B198:AA198"/>
    <mergeCell ref="C200:AB200"/>
    <mergeCell ref="B207:AA207"/>
    <mergeCell ref="C209:AB209"/>
    <mergeCell ref="B216:AA216"/>
    <mergeCell ref="C218:AB218"/>
    <mergeCell ref="B281:AA281"/>
    <mergeCell ref="C227:AB227"/>
    <mergeCell ref="B234:AA234"/>
    <mergeCell ref="C238:AB238"/>
    <mergeCell ref="B245:AA245"/>
    <mergeCell ref="C247:AB247"/>
    <mergeCell ref="B254:AA254"/>
    <mergeCell ref="C256:AB256"/>
    <mergeCell ref="B263:AA263"/>
    <mergeCell ref="C265:AB265"/>
    <mergeCell ref="B272:AA272"/>
    <mergeCell ref="C274:AB274"/>
    <mergeCell ref="B337:AA337"/>
    <mergeCell ref="C283:AB283"/>
    <mergeCell ref="B290:AA290"/>
    <mergeCell ref="C294:AB294"/>
    <mergeCell ref="B301:AA301"/>
    <mergeCell ref="C303:AB303"/>
    <mergeCell ref="B310:AA310"/>
    <mergeCell ref="C312:AB312"/>
    <mergeCell ref="B319:AA319"/>
    <mergeCell ref="C321:AB321"/>
    <mergeCell ref="B328:AA328"/>
    <mergeCell ref="C330:AB330"/>
    <mergeCell ref="B393:AA393"/>
    <mergeCell ref="C339:AB339"/>
    <mergeCell ref="B346:AA346"/>
    <mergeCell ref="C350:AB350"/>
    <mergeCell ref="B357:AA357"/>
    <mergeCell ref="C359:AB359"/>
    <mergeCell ref="B366:AA366"/>
    <mergeCell ref="C368:AB368"/>
    <mergeCell ref="B375:AA375"/>
    <mergeCell ref="C377:AB377"/>
    <mergeCell ref="B384:AA384"/>
    <mergeCell ref="C386:AB386"/>
    <mergeCell ref="B449:AA449"/>
    <mergeCell ref="C397:AB397"/>
    <mergeCell ref="B404:AA404"/>
    <mergeCell ref="C406:AB406"/>
    <mergeCell ref="B413:AA413"/>
    <mergeCell ref="C415:AB415"/>
    <mergeCell ref="B422:AA422"/>
    <mergeCell ref="C424:AB424"/>
    <mergeCell ref="B431:AA431"/>
    <mergeCell ref="C433:AB433"/>
    <mergeCell ref="B440:AA440"/>
    <mergeCell ref="C442:AB442"/>
    <mergeCell ref="C480:AB480"/>
    <mergeCell ref="B487:AA487"/>
    <mergeCell ref="C489:AB489"/>
    <mergeCell ref="B496:AA496"/>
    <mergeCell ref="C453:AB453"/>
    <mergeCell ref="B460:AA460"/>
    <mergeCell ref="C462:AB462"/>
    <mergeCell ref="B469:AA469"/>
    <mergeCell ref="C471:AB471"/>
    <mergeCell ref="B478:AA478"/>
  </mergeCells>
  <dataValidations count="2">
    <dataValidation type="list" errorStyle="warning" allowBlank="1" showErrorMessage="1" error="Enter a value of &quot;1&quot; or &quot;0&quot;" sqref="C35:Z42 C24:Z26 C185:Z188 C129:Z132 C456:Z459 C241:Z244 C353:Z356 C297:Z300 C400:Z403" xr:uid="{00000000-0002-0000-0500-000000000000}">
      <formula1>"1,0"</formula1>
    </dataValidation>
    <dataValidation type="decimal" errorStyle="warning" allowBlank="1" showErrorMessage="1" error="Enter a percentage value between 0% and 100%" sqref="C54:Z56 C65:Z72 C99:Z101 C107:Z109" xr:uid="{00000000-0002-0000-0500-000001000000}">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7" r:id="rId4" name="btnEFLH_On_Off_Abbreviated">
              <controlPr defaultSize="0" print="0" autoFill="0" autoPict="0" macro="[0]!CopyPasteRange">
                <anchor moveWithCells="1">
                  <from>
                    <xdr:col>1</xdr:col>
                    <xdr:colOff>22860</xdr:colOff>
                    <xdr:row>28</xdr:row>
                    <xdr:rowOff>45720</xdr:rowOff>
                  </from>
                  <to>
                    <xdr:col>3</xdr:col>
                    <xdr:colOff>106680</xdr:colOff>
                    <xdr:row>28</xdr:row>
                    <xdr:rowOff>312420</xdr:rowOff>
                  </to>
                </anchor>
              </controlPr>
            </control>
          </mc:Choice>
        </mc:AlternateContent>
        <mc:AlternateContent xmlns:mc="http://schemas.openxmlformats.org/markup-compatibility/2006">
          <mc:Choice Requires="x14">
            <control shapeId="169988" r:id="rId5" name="btnEFLH_On_Off_Detailed">
              <controlPr defaultSize="0" print="0" autoFill="0" autoPict="0" macro="[0]!CopyPasteRange">
                <anchor moveWithCells="1">
                  <from>
                    <xdr:col>0</xdr:col>
                    <xdr:colOff>76200</xdr:colOff>
                    <xdr:row>44</xdr:row>
                    <xdr:rowOff>60960</xdr:rowOff>
                  </from>
                  <to>
                    <xdr:col>2</xdr:col>
                    <xdr:colOff>563880</xdr:colOff>
                    <xdr:row>44</xdr:row>
                    <xdr:rowOff>327660</xdr:rowOff>
                  </to>
                </anchor>
              </controlPr>
            </control>
          </mc:Choice>
        </mc:AlternateContent>
        <mc:AlternateContent xmlns:mc="http://schemas.openxmlformats.org/markup-compatibility/2006">
          <mc:Choice Requires="x14">
            <control shapeId="169990" r:id="rId6" name="btnEFLH_Fraction_Abbreviated">
              <controlPr defaultSize="0" print="0" autoFill="0" autoPict="0" macro="[0]!CopyPasteRange">
                <anchor moveWithCells="1">
                  <from>
                    <xdr:col>0</xdr:col>
                    <xdr:colOff>99060</xdr:colOff>
                    <xdr:row>58</xdr:row>
                    <xdr:rowOff>45720</xdr:rowOff>
                  </from>
                  <to>
                    <xdr:col>3</xdr:col>
                    <xdr:colOff>0</xdr:colOff>
                    <xdr:row>58</xdr:row>
                    <xdr:rowOff>312420</xdr:rowOff>
                  </to>
                </anchor>
              </controlPr>
            </control>
          </mc:Choice>
        </mc:AlternateContent>
        <mc:AlternateContent xmlns:mc="http://schemas.openxmlformats.org/markup-compatibility/2006">
          <mc:Choice Requires="x14">
            <control shapeId="169991" r:id="rId7" name="btnEFLH_Fraction_Detailed">
              <controlPr defaultSize="0" print="0" autoFill="0" autoPict="0" macro="[0]!CopyPasteRange">
                <anchor moveWithCells="1">
                  <from>
                    <xdr:col>0</xdr:col>
                    <xdr:colOff>60960</xdr:colOff>
                    <xdr:row>74</xdr:row>
                    <xdr:rowOff>22860</xdr:rowOff>
                  </from>
                  <to>
                    <xdr:col>2</xdr:col>
                    <xdr:colOff>541020</xdr:colOff>
                    <xdr:row>74</xdr:row>
                    <xdr:rowOff>289560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HP248"/>
  <sheetViews>
    <sheetView zoomScale="70" zoomScaleNormal="70" workbookViewId="0"/>
  </sheetViews>
  <sheetFormatPr defaultColWidth="9.109375" defaultRowHeight="14.4" outlineLevelCol="1" x14ac:dyDescent="0.3"/>
  <cols>
    <col min="1" max="1" width="1.6640625" customWidth="1"/>
    <col min="2" max="2" width="13.88671875" customWidth="1"/>
    <col min="3" max="3" width="29.44140625" customWidth="1"/>
    <col min="4" max="21" width="9.6640625" customWidth="1"/>
    <col min="22" max="23" width="2.77734375" style="759" customWidth="1"/>
    <col min="24" max="24" width="50.77734375" style="759" customWidth="1"/>
    <col min="25" max="26" width="9.109375" style="759"/>
    <col min="27" max="27" width="11" style="759" customWidth="1"/>
    <col min="28" max="29" width="9.109375" style="759"/>
    <col min="30" max="30" width="41.6640625" style="759" hidden="1" customWidth="1" outlineLevel="1"/>
    <col min="31" max="31" width="9.109375" style="759" collapsed="1"/>
    <col min="32" max="224" width="9.109375" style="759"/>
  </cols>
  <sheetData>
    <row r="1" spans="1:24" x14ac:dyDescent="0.3">
      <c r="A1" s="717" t="s">
        <v>1299</v>
      </c>
      <c r="B1" s="88"/>
      <c r="C1" s="88"/>
      <c r="D1" s="88"/>
      <c r="E1" s="88"/>
      <c r="F1" s="88"/>
      <c r="G1" s="87"/>
      <c r="H1" s="88"/>
      <c r="I1" s="87"/>
      <c r="J1" s="87"/>
      <c r="K1" s="88"/>
      <c r="L1" s="88"/>
      <c r="M1" s="88"/>
      <c r="N1" s="88"/>
      <c r="O1" s="88"/>
      <c r="P1" s="88"/>
      <c r="Q1" s="88"/>
      <c r="R1" s="88"/>
      <c r="S1" s="88"/>
      <c r="T1" s="88"/>
      <c r="U1" s="88"/>
    </row>
    <row r="2" spans="1:24" ht="25.2" x14ac:dyDescent="0.3">
      <c r="A2" s="717" t="s">
        <v>1299</v>
      </c>
      <c r="B2" s="40" t="s">
        <v>1379</v>
      </c>
      <c r="C2" s="40"/>
      <c r="D2" s="40"/>
      <c r="E2" s="40"/>
      <c r="F2" s="40"/>
      <c r="G2" s="40"/>
      <c r="H2" s="40"/>
      <c r="I2" s="40"/>
      <c r="J2" s="40"/>
      <c r="K2" s="40"/>
      <c r="L2" s="40"/>
      <c r="M2" s="40"/>
      <c r="N2" s="40"/>
      <c r="O2" s="40"/>
      <c r="P2" s="40"/>
      <c r="Q2" s="40"/>
      <c r="R2" s="40"/>
      <c r="S2" s="40"/>
      <c r="T2" s="40"/>
      <c r="U2" s="40"/>
    </row>
    <row r="3" spans="1:24" x14ac:dyDescent="0.3">
      <c r="A3" s="717" t="s">
        <v>1299</v>
      </c>
      <c r="B3" s="88"/>
      <c r="C3" s="88"/>
      <c r="D3" s="88"/>
      <c r="E3" s="88"/>
      <c r="F3" s="88"/>
      <c r="G3" s="87"/>
      <c r="H3" s="88"/>
      <c r="I3" s="87"/>
      <c r="J3" s="87"/>
      <c r="K3" s="88"/>
      <c r="L3" s="88"/>
      <c r="M3" s="88"/>
      <c r="N3" s="88"/>
      <c r="O3" s="88"/>
      <c r="P3" s="88"/>
      <c r="Q3" s="88"/>
      <c r="R3" s="88"/>
      <c r="S3" s="88"/>
      <c r="T3" s="88"/>
      <c r="U3" s="88"/>
    </row>
    <row r="4" spans="1:24" x14ac:dyDescent="0.3">
      <c r="A4" s="835" t="s">
        <v>1299</v>
      </c>
      <c r="B4" s="574"/>
      <c r="C4" s="574"/>
      <c r="D4" s="574"/>
      <c r="E4" s="574"/>
      <c r="F4" s="574"/>
      <c r="G4" s="574"/>
      <c r="H4" s="574"/>
      <c r="I4" s="574"/>
      <c r="J4" s="574"/>
      <c r="K4" s="574"/>
      <c r="L4" s="574"/>
      <c r="M4" s="574"/>
      <c r="N4" s="574"/>
      <c r="O4" s="574"/>
      <c r="P4" s="574"/>
      <c r="Q4" s="574"/>
      <c r="R4" s="759"/>
      <c r="S4" s="759"/>
      <c r="T4" s="759"/>
      <c r="U4" s="759"/>
    </row>
    <row r="5" spans="1:24" x14ac:dyDescent="0.3">
      <c r="A5" s="835" t="s">
        <v>1299</v>
      </c>
      <c r="B5" s="780" t="s">
        <v>1380</v>
      </c>
      <c r="C5" s="780"/>
      <c r="D5" s="769"/>
      <c r="E5" s="769"/>
      <c r="F5" s="769"/>
      <c r="G5" s="769"/>
      <c r="H5" s="769"/>
      <c r="I5" s="769"/>
      <c r="J5" s="769"/>
      <c r="K5" s="769"/>
      <c r="L5" s="769"/>
      <c r="M5" s="769"/>
      <c r="N5" s="769"/>
      <c r="O5" s="769"/>
      <c r="P5" s="769"/>
      <c r="Q5" s="769"/>
      <c r="R5" s="779"/>
      <c r="S5" s="779"/>
      <c r="T5" s="779"/>
      <c r="U5" s="779"/>
      <c r="V5" s="779"/>
      <c r="X5" s="759" t="s">
        <v>2090</v>
      </c>
    </row>
    <row r="6" spans="1:24" x14ac:dyDescent="0.3">
      <c r="A6" s="835" t="s">
        <v>1299</v>
      </c>
      <c r="B6" s="769"/>
      <c r="C6" s="769"/>
      <c r="D6" s="769"/>
      <c r="E6" s="769"/>
      <c r="F6" s="769"/>
      <c r="G6" s="769"/>
      <c r="H6" s="769"/>
      <c r="I6" s="769"/>
      <c r="J6" s="769"/>
      <c r="K6" s="769"/>
      <c r="L6" s="769"/>
      <c r="M6" s="769"/>
      <c r="N6" s="769"/>
      <c r="O6" s="769"/>
      <c r="P6" s="769"/>
      <c r="Q6" s="769"/>
      <c r="R6" s="759"/>
      <c r="S6" s="759"/>
      <c r="T6" s="759"/>
      <c r="U6" s="759"/>
    </row>
    <row r="7" spans="1:24" ht="15.6" x14ac:dyDescent="0.3">
      <c r="A7" s="835" t="s">
        <v>1299</v>
      </c>
      <c r="B7" s="764" t="s">
        <v>1410</v>
      </c>
      <c r="C7" s="764"/>
      <c r="D7" s="769"/>
      <c r="E7" s="769"/>
      <c r="F7" s="769"/>
      <c r="G7" s="769"/>
      <c r="H7" s="769"/>
      <c r="I7" s="769"/>
      <c r="J7" s="769"/>
      <c r="K7" s="769"/>
      <c r="L7" s="769"/>
      <c r="M7" s="769"/>
      <c r="N7" s="769"/>
      <c r="O7" s="769"/>
      <c r="P7" s="769"/>
      <c r="Q7" s="769"/>
      <c r="R7" s="759"/>
      <c r="S7" s="759"/>
      <c r="T7" s="759"/>
      <c r="U7" s="759"/>
    </row>
    <row r="8" spans="1:24" x14ac:dyDescent="0.3">
      <c r="A8" s="835" t="s">
        <v>1299</v>
      </c>
      <c r="B8" s="574"/>
      <c r="C8" s="574"/>
      <c r="D8" s="574"/>
      <c r="E8" s="574"/>
      <c r="F8" s="574"/>
      <c r="G8" s="574"/>
      <c r="H8" s="574"/>
      <c r="I8" s="574"/>
      <c r="J8" s="574"/>
      <c r="K8" s="574"/>
      <c r="L8" s="574"/>
      <c r="M8" s="574"/>
      <c r="N8" s="574"/>
      <c r="O8" s="574"/>
      <c r="P8" s="574"/>
      <c r="Q8" s="574"/>
      <c r="R8" s="759"/>
      <c r="S8" s="759"/>
      <c r="T8" s="759"/>
      <c r="U8" s="759"/>
    </row>
    <row r="9" spans="1:24" x14ac:dyDescent="0.3">
      <c r="A9" s="836" t="s">
        <v>1299</v>
      </c>
      <c r="B9" s="2203" t="s">
        <v>1358</v>
      </c>
      <c r="C9" s="2204"/>
      <c r="D9" s="2085" t="s">
        <v>1359</v>
      </c>
      <c r="E9" s="2087"/>
      <c r="F9" s="2085" t="s">
        <v>1360</v>
      </c>
      <c r="G9" s="2087"/>
      <c r="H9" s="2085" t="s">
        <v>1361</v>
      </c>
      <c r="I9" s="2087"/>
      <c r="J9" s="2085" t="s">
        <v>1362</v>
      </c>
      <c r="K9" s="2087"/>
      <c r="L9" s="2085" t="s">
        <v>1363</v>
      </c>
      <c r="M9" s="2087"/>
      <c r="N9" s="2085" t="s">
        <v>1364</v>
      </c>
      <c r="O9" s="2087"/>
      <c r="P9" s="2085" t="s">
        <v>1365</v>
      </c>
      <c r="Q9" s="2087"/>
      <c r="R9" s="2085" t="s">
        <v>1376</v>
      </c>
      <c r="S9" s="2087"/>
      <c r="T9" s="2085" t="s">
        <v>1377</v>
      </c>
      <c r="U9" s="2087"/>
    </row>
    <row r="10" spans="1:24" ht="39.6" x14ac:dyDescent="0.3">
      <c r="A10" s="836" t="s">
        <v>1299</v>
      </c>
      <c r="B10" s="2205"/>
      <c r="C10" s="2206"/>
      <c r="D10" s="1414" t="s">
        <v>1405</v>
      </c>
      <c r="E10" s="1704" t="str">
        <f>CONCATENATE("Average Floor Area",IF(SI_IP_Units="IP"," (sq ft)"," (sq m)"))</f>
        <v>Average Floor Area (sq m)</v>
      </c>
      <c r="F10" s="1414" t="s">
        <v>1405</v>
      </c>
      <c r="G10" s="1704" t="str">
        <f>CONCATENATE("Average Floor Area",IF(SI_IP_Units="IP"," (sq ft)"," (sq m)"))</f>
        <v>Average Floor Area (sq m)</v>
      </c>
      <c r="H10" s="1414" t="s">
        <v>1405</v>
      </c>
      <c r="I10" s="1704" t="str">
        <f>CONCATENATE("Average Floor Area",IF(SI_IP_Units="IP"," (sq ft)"," (sq m)"))</f>
        <v>Average Floor Area (sq m)</v>
      </c>
      <c r="J10" s="1414" t="s">
        <v>1405</v>
      </c>
      <c r="K10" s="1704" t="str">
        <f>CONCATENATE("Average Floor Area",IF(SI_IP_Units="IP"," (sq ft)"," (sq m)"))</f>
        <v>Average Floor Area (sq m)</v>
      </c>
      <c r="L10" s="1414" t="s">
        <v>1405</v>
      </c>
      <c r="M10" s="1704" t="str">
        <f>CONCATENATE("Average Floor Area",IF(SI_IP_Units="IP"," (sq ft)"," (sq m)"))</f>
        <v>Average Floor Area (sq m)</v>
      </c>
      <c r="N10" s="1414" t="s">
        <v>1405</v>
      </c>
      <c r="O10" s="1704" t="str">
        <f>CONCATENATE("Average Floor Area",IF(SI_IP_Units="IP"," (sq ft)"," (sq m)"))</f>
        <v>Average Floor Area (sq m)</v>
      </c>
      <c r="P10" s="1414" t="s">
        <v>1405</v>
      </c>
      <c r="Q10" s="1704" t="str">
        <f>CONCATENATE("Average Floor Area",IF(SI_IP_Units="IP"," (sq ft)"," (sq m)"))</f>
        <v>Average Floor Area (sq m)</v>
      </c>
      <c r="R10" s="1414" t="s">
        <v>1405</v>
      </c>
      <c r="S10" s="1704" t="str">
        <f>CONCATENATE("Average Floor Area",IF(SI_IP_Units="IP"," (sq ft)"," (sq m)"))</f>
        <v>Average Floor Area (sq m)</v>
      </c>
      <c r="T10" s="1414" t="s">
        <v>1405</v>
      </c>
      <c r="U10" s="1704" t="str">
        <f>CONCATENATE("Average Floor Area",IF(SI_IP_Units="IP"," (sq ft)"," (sq m)"))</f>
        <v>Average Floor Area (sq m)</v>
      </c>
    </row>
    <row r="11" spans="1:24" hidden="1" x14ac:dyDescent="0.3">
      <c r="A11" s="836" t="s">
        <v>1299</v>
      </c>
      <c r="B11" s="789" t="s">
        <v>1358</v>
      </c>
      <c r="C11" s="789"/>
      <c r="D11" s="789" t="s">
        <v>1391</v>
      </c>
      <c r="E11" s="789" t="s">
        <v>1387</v>
      </c>
      <c r="F11" s="789" t="s">
        <v>1388</v>
      </c>
      <c r="G11" s="789" t="s">
        <v>1389</v>
      </c>
      <c r="H11" s="789" t="s">
        <v>1390</v>
      </c>
      <c r="I11" s="790" t="s">
        <v>1392</v>
      </c>
      <c r="J11" s="789" t="s">
        <v>1393</v>
      </c>
      <c r="K11" s="789" t="s">
        <v>1394</v>
      </c>
      <c r="L11" s="789" t="s">
        <v>1395</v>
      </c>
      <c r="M11" s="789" t="s">
        <v>1396</v>
      </c>
      <c r="N11" s="789" t="s">
        <v>1397</v>
      </c>
      <c r="O11" s="789" t="s">
        <v>1398</v>
      </c>
      <c r="P11" s="789" t="s">
        <v>1399</v>
      </c>
      <c r="Q11" s="789" t="s">
        <v>1400</v>
      </c>
      <c r="R11" s="789" t="s">
        <v>1401</v>
      </c>
      <c r="S11" s="789" t="s">
        <v>1402</v>
      </c>
      <c r="T11" s="789" t="s">
        <v>1403</v>
      </c>
      <c r="U11" s="791" t="s">
        <v>1404</v>
      </c>
    </row>
    <row r="12" spans="1:24" ht="15" customHeight="1" x14ac:dyDescent="0.3">
      <c r="A12" s="751" t="s">
        <v>1299</v>
      </c>
      <c r="B12" s="800" t="str">
        <f>'Multiple Buildings Details'!B24</f>
        <v>Saudi Aramco Corporate Academy - Dhahran</v>
      </c>
      <c r="C12" s="972"/>
      <c r="D12" s="1705"/>
      <c r="E12" s="1373"/>
      <c r="F12" s="1373"/>
      <c r="G12" s="1373"/>
      <c r="H12" s="1373"/>
      <c r="I12" s="1706"/>
      <c r="J12" s="1373"/>
      <c r="K12" s="1373"/>
      <c r="L12" s="1373"/>
      <c r="M12" s="1373"/>
      <c r="N12" s="1373"/>
      <c r="O12" s="1373"/>
      <c r="P12" s="1373"/>
      <c r="Q12" s="1373"/>
      <c r="R12" s="1373"/>
      <c r="S12" s="1373"/>
      <c r="T12" s="1373"/>
      <c r="U12" s="1707"/>
      <c r="X12" s="1892"/>
    </row>
    <row r="13" spans="1:24" x14ac:dyDescent="0.3">
      <c r="A13" s="751" t="s">
        <v>1299</v>
      </c>
      <c r="B13" s="2196" t="s">
        <v>1366</v>
      </c>
      <c r="C13" s="2197"/>
      <c r="D13" s="2197"/>
      <c r="E13" s="2197"/>
      <c r="F13" s="2197"/>
      <c r="G13" s="2197"/>
      <c r="H13" s="2197"/>
      <c r="I13" s="2197"/>
      <c r="J13" s="2197"/>
      <c r="K13" s="2197"/>
      <c r="L13" s="2197"/>
      <c r="M13" s="2197"/>
      <c r="N13" s="2197"/>
      <c r="O13" s="2197"/>
      <c r="P13" s="2197"/>
      <c r="Q13" s="2197"/>
      <c r="R13" s="2197"/>
      <c r="S13" s="2198"/>
      <c r="T13" s="1708"/>
      <c r="U13" s="803">
        <f ca="1">SUM(OFFSET(MD_BUS_Index,1,MATCH($D$11,MD_BUS_Hdr,0)-1,COUNTA(MD_BUS_Index),1),
OFFSET(MD_BUS_Index,1,MATCH($F$11,MD_BUS_Hdr,0)-1,COUNTA(MD_BUS_Index),1),
OFFSET(MD_BUS_Index,1,MATCH($H$11,MD_BUS_Hdr,0)-1,COUNTA(MD_BUS_Index),1),
OFFSET(MD_BUS_Index,1,MATCH($J$11,MD_BUS_Hdr,0)-1,COUNTA(MD_BUS_Index),1),
OFFSET(MD_BUS_Index,1,MATCH($L$11,MD_BUS_Hdr,0)-1,COUNTA(MD_BUS_Index),1),
OFFSET(MD_BUS_Index,1,MATCH($N$11,MD_BUS_Hdr,0)-1,COUNTA(MD_BUS_Index),1),
OFFSET(MD_BUS_Index,1,MATCH($P$11,MD_BUS_Hdr,0)-1,COUNTA(MD_BUS_Index),1),
OFFSET(MD_BUS_Index,1,MATCH($R$11,MD_BUS_Hdr,0)-1,COUNTA(MD_BUS_Index),1),
OFFSET(MD_BUS_Index,1,MATCH($T$11,MD_BUS_Hdr,0)-1,COUNTA(MD_BUS_Index),1),
)</f>
        <v>0</v>
      </c>
      <c r="V13" s="783"/>
      <c r="X13" s="1892"/>
    </row>
    <row r="14" spans="1:24" x14ac:dyDescent="0.3">
      <c r="A14" s="751" t="s">
        <v>1299</v>
      </c>
      <c r="B14" s="2196" t="s">
        <v>1367</v>
      </c>
      <c r="C14" s="2197"/>
      <c r="D14" s="2197"/>
      <c r="E14" s="2197"/>
      <c r="F14" s="2197"/>
      <c r="G14" s="2197"/>
      <c r="H14" s="2197"/>
      <c r="I14" s="2197"/>
      <c r="J14" s="2197"/>
      <c r="K14" s="2197"/>
      <c r="L14" s="2197"/>
      <c r="M14" s="2197"/>
      <c r="N14" s="2197"/>
      <c r="O14" s="2197"/>
      <c r="P14" s="2197"/>
      <c r="Q14" s="2197"/>
      <c r="R14" s="2197"/>
      <c r="S14" s="2198"/>
      <c r="T14" s="1709"/>
      <c r="U14" s="801">
        <f t="array" aca="1" ref="U14" ca="1">SUM(OFFSET(MD_BUS_Index,1,MATCH($D$11,MD_BUS_Hdr,0)-1,COUNTA(MD_BUS_Index),1),
OFFSET(MD_BUS_Index,1,MATCH($F$11,MD_BUS_Hdr,0)-1,COUNTA(MD_BUS_Index),1),
OFFSET(MD_BUS_Index,1,MATCH($H$11,MD_BUS_Hdr,0)-1,COUNTA(MD_BUS_Index),1)*2,
OFFSET(MD_BUS_Index,1,MATCH($J$11,MD_BUS_Hdr,0)-1,COUNTA(MD_BUS_Index),1)*3,
OFFSET(MD_BUS_Index,1,MATCH($L$11,MD_BUS_Hdr,0)-1,COUNTA(MD_BUS_Index),1)*4,
OFFSET(MD_BUS_Index,1,MATCH($N$11,MD_BUS_Hdr,0)-1,COUNTA(MD_BUS_Index),1)*5,
OFFSET(MD_BUS_Index,1,MATCH($P$11,MD_BUS_Hdr,0)-1,COUNTA(MD_BUS_Index),1)*6,
OFFSET(MD_BUS_Index,1,MATCH($R$11,MD_BUS_Hdr,0)-1,COUNTA(MD_BUS_Index),1)*7,
OFFSET(MD_BUS_Index,1,MATCH($T$11,MD_BUS_Hdr,0)-1,COUNTA(MD_BUS_Index),1)*8,
)</f>
        <v>0</v>
      </c>
      <c r="V14" s="783"/>
      <c r="X14" s="1892"/>
    </row>
    <row r="15" spans="1:24" x14ac:dyDescent="0.3">
      <c r="A15" s="751" t="s">
        <v>1299</v>
      </c>
      <c r="B15" s="2196" t="str">
        <f>CONCATENATE("Total Area of Dwelling Units",IF(SI_IP_Units="IP"," (square feet)"," (square meters)"))</f>
        <v>Total Area of Dwelling Units (square meters)</v>
      </c>
      <c r="C15" s="2197"/>
      <c r="D15" s="2197"/>
      <c r="E15" s="2197"/>
      <c r="F15" s="2197"/>
      <c r="G15" s="2197"/>
      <c r="H15" s="2197"/>
      <c r="I15" s="2197"/>
      <c r="J15" s="2197"/>
      <c r="K15" s="2197"/>
      <c r="L15" s="2197"/>
      <c r="M15" s="2197"/>
      <c r="N15" s="2197"/>
      <c r="O15" s="2197"/>
      <c r="P15" s="2197"/>
      <c r="Q15" s="2197"/>
      <c r="R15" s="2197"/>
      <c r="S15" s="2198"/>
      <c r="T15" s="1709"/>
      <c r="U15" s="801">
        <f t="array" aca="1" ref="U15" ca="1">SUM(OFFSET(MD_BUS_Index,1,MATCH($D$11,MD_BUS_Hdr,0)-1,COUNTA(MD_BUS_Index),1)*OFFSET(MD_BUS_Index,1,MATCH($E$11,MD_BUS_Hdr,0)-1,COUNTA(MD_BUS_Index),1),
OFFSET(MD_BUS_Index,1,MATCH($F$11,MD_BUS_Hdr,0)-1,COUNTA(MD_BUS_Index),1)*OFFSET(MD_BUS_Index,1,MATCH($G$11,MD_BUS_Hdr,0)-1,COUNTA(MD_BUS_Index),1),
OFFSET(MD_BUS_Index,1,MATCH($H$11,MD_BUS_Hdr,0)-1,COUNTA(MD_BUS_Index),1)*OFFSET(MD_BUS_Index,1,MATCH($I$11,MD_BUS_Hdr,0)-1,COUNTA(MD_BUS_Index),1),
OFFSET(MD_BUS_Index,1,MATCH($J$11,MD_BUS_Hdr,0)-1,COUNTA(MD_BUS_Index),1)*OFFSET(MD_BUS_Index,1,MATCH($K$11,MD_BUS_Hdr,0)-1,COUNTA(MD_BUS_Index),1),
OFFSET(MD_BUS_Index,1,MATCH($L$11,MD_BUS_Hdr,0)-1,COUNTA(MD_BUS_Index),1)*OFFSET(MD_BUS_Index,1,MATCH($M$11,MD_BUS_Hdr,0)-1,COUNTA(MD_BUS_Index),1),
OFFSET(MD_BUS_Index,1,MATCH($N$11,MD_BUS_Hdr,0)-1,COUNTA(MD_BUS_Index),1)*OFFSET(MD_BUS_Index,1,MATCH($O$11,MD_BUS_Hdr,0)-1,COUNTA(MD_BUS_Index),1),
OFFSET(MD_BUS_Index,1,MATCH($P$11,MD_BUS_Hdr,0)-1,COUNTA(MD_BUS_Index),1)*OFFSET(MD_BUS_Index,1,MATCH($Q$11,MD_BUS_Hdr,0)-1,COUNTA(MD_BUS_Index),1),
OFFSET(MD_BUS_Index,1,MATCH($R$11,MD_BUS_Hdr,0)-1,COUNTA(MD_BUS_Index),1)*OFFSET(MD_BUS_Index,1,MATCH($S$11,MD_BUS_Hdr,0)-1,COUNTA(MD_BUS_Index),1),
OFFSET(MD_BUS_Index,1,MATCH($T$11,MD_BUS_Hdr,0)-1,COUNTA(MD_BUS_Index),1)*OFFSET(MD_BUS_Index,1,MATCH($U$11,MD_BUS_Hdr,0)-1,COUNTA(MD_BUS_Index),1),
)</f>
        <v>0</v>
      </c>
      <c r="X15" s="1892"/>
    </row>
    <row r="16" spans="1:24" hidden="1" x14ac:dyDescent="0.3">
      <c r="A16" s="751" t="s">
        <v>1299</v>
      </c>
      <c r="B16" s="2196" t="s">
        <v>1378</v>
      </c>
      <c r="C16" s="2197"/>
      <c r="D16" s="2197"/>
      <c r="E16" s="2197"/>
      <c r="F16" s="2197"/>
      <c r="G16" s="2197"/>
      <c r="H16" s="2197"/>
      <c r="I16" s="2197"/>
      <c r="J16" s="2197"/>
      <c r="K16" s="2197"/>
      <c r="L16" s="2197"/>
      <c r="M16" s="2197"/>
      <c r="N16" s="2197"/>
      <c r="O16" s="2197"/>
      <c r="P16" s="2197"/>
      <c r="Q16" s="2197"/>
      <c r="R16" s="2197"/>
      <c r="S16" s="2202"/>
      <c r="T16" s="804"/>
      <c r="U16" s="802">
        <f ca="1">IF(ISERROR(1/U13),0,U14/U13)</f>
        <v>0</v>
      </c>
    </row>
    <row r="17" spans="1:224" hidden="1" x14ac:dyDescent="0.3">
      <c r="A17" s="751" t="s">
        <v>1299</v>
      </c>
      <c r="B17" s="2196" t="str">
        <f>CONCATENATE("Average Floor Area Per Unit",IF(SI_IP_Units="IP"," (square feet)"," (square meters)"))</f>
        <v>Average Floor Area Per Unit (square meters)</v>
      </c>
      <c r="C17" s="2197"/>
      <c r="D17" s="2197"/>
      <c r="E17" s="2197"/>
      <c r="F17" s="2197"/>
      <c r="G17" s="2197"/>
      <c r="H17" s="2197"/>
      <c r="I17" s="2197"/>
      <c r="J17" s="2197"/>
      <c r="K17" s="2197"/>
      <c r="L17" s="2197"/>
      <c r="M17" s="2197"/>
      <c r="N17" s="2197"/>
      <c r="O17" s="2197"/>
      <c r="P17" s="2197"/>
      <c r="Q17" s="2197"/>
      <c r="R17" s="2197"/>
      <c r="S17" s="2202"/>
      <c r="T17" s="804"/>
      <c r="U17" s="801">
        <f ca="1">IF(ISERROR(1/U13),0,U15/U13)</f>
        <v>0</v>
      </c>
    </row>
    <row r="18" spans="1:224" hidden="1" x14ac:dyDescent="0.3">
      <c r="A18" s="751" t="s">
        <v>1299</v>
      </c>
      <c r="B18" s="2196" t="str">
        <f>CONCATENATE("Average Floor Area Per Unit for Reference Building",IF(SI_IP_Units="IP"," (square feet)"," (square meters)"))</f>
        <v>Average Floor Area Per Unit for Reference Building (square meters)</v>
      </c>
      <c r="C18" s="2197"/>
      <c r="D18" s="2197"/>
      <c r="E18" s="2197"/>
      <c r="F18" s="2197"/>
      <c r="G18" s="2197"/>
      <c r="H18" s="2197"/>
      <c r="I18" s="2197"/>
      <c r="J18" s="2197"/>
      <c r="K18" s="2197"/>
      <c r="L18" s="2197"/>
      <c r="M18" s="2197"/>
      <c r="N18" s="2197"/>
      <c r="O18" s="2197"/>
      <c r="P18" s="2197"/>
      <c r="Q18" s="2197"/>
      <c r="R18" s="2197"/>
      <c r="S18" s="2202"/>
      <c r="T18" s="804"/>
      <c r="U18" s="801">
        <f ca="1">IF(ISERROR(1/Avg_Bedrooms),0,ROUNDDOWN((Avg_Bedrooms-1)*(IF(SI_IP_Units="IP",600,55.6)),0)+IF(SI_IP_Units="IP",1000,93))</f>
        <v>0</v>
      </c>
    </row>
    <row r="19" spans="1:224" hidden="1" x14ac:dyDescent="0.3">
      <c r="A19" s="751" t="s">
        <v>1299</v>
      </c>
      <c r="B19" s="2196" t="s">
        <v>1381</v>
      </c>
      <c r="C19" s="2197"/>
      <c r="D19" s="2197"/>
      <c r="E19" s="2197"/>
      <c r="F19" s="2197"/>
      <c r="G19" s="2197"/>
      <c r="H19" s="2197"/>
      <c r="I19" s="2197"/>
      <c r="J19" s="2197"/>
      <c r="K19" s="2197"/>
      <c r="L19" s="2197"/>
      <c r="M19" s="2197"/>
      <c r="N19" s="2197"/>
      <c r="O19" s="2197"/>
      <c r="P19" s="2197"/>
      <c r="Q19" s="2197"/>
      <c r="R19" s="2197"/>
      <c r="S19" s="2202"/>
      <c r="T19" s="804"/>
      <c r="U19" s="801">
        <f ca="1">IF(ISERROR(1/U18),0,ROUNDDOWN((U18-Avg_Bedroom_Area)/(U18*4%),0))</f>
        <v>0</v>
      </c>
    </row>
    <row r="20" spans="1:224" x14ac:dyDescent="0.3">
      <c r="A20" s="751" t="s">
        <v>1299</v>
      </c>
      <c r="B20" s="759"/>
      <c r="C20" s="759"/>
      <c r="D20" s="759"/>
      <c r="E20" s="759"/>
      <c r="F20" s="759"/>
      <c r="G20" s="759"/>
      <c r="H20" s="759"/>
      <c r="I20" s="759"/>
      <c r="J20" s="759"/>
      <c r="K20" s="759"/>
      <c r="L20" s="759"/>
      <c r="M20" s="759"/>
      <c r="N20" s="759"/>
      <c r="O20" s="759"/>
      <c r="P20" s="759"/>
      <c r="Q20" s="759"/>
      <c r="R20" s="759"/>
      <c r="S20" s="759"/>
      <c r="T20" s="759"/>
      <c r="U20" s="759"/>
    </row>
    <row r="21" spans="1:224" ht="26.4" x14ac:dyDescent="0.3">
      <c r="A21" s="751" t="s">
        <v>1299</v>
      </c>
      <c r="B21" s="798" t="s">
        <v>1358</v>
      </c>
      <c r="C21" s="785"/>
      <c r="D21" s="785" t="s">
        <v>1408</v>
      </c>
      <c r="E21" s="786"/>
      <c r="F21" s="785" t="s">
        <v>1406</v>
      </c>
      <c r="G21" s="786"/>
      <c r="H21" s="785" t="s">
        <v>1407</v>
      </c>
      <c r="I21" s="787"/>
      <c r="J21" s="786"/>
      <c r="K21" s="785" t="s">
        <v>1378</v>
      </c>
      <c r="L21" s="787"/>
      <c r="M21" s="786"/>
      <c r="N21" s="785" t="str">
        <f>CONCATENATE("Average Floor Area per Unit",IF(SI_IP_Units="IP"," (square feet)"," (square meter)"))</f>
        <v>Average Floor Area per Unit (square meter)</v>
      </c>
      <c r="O21" s="787"/>
      <c r="P21" s="786"/>
      <c r="Q21" s="2193" t="str">
        <f>CONCATENATE("Average Floor Area Per Unit for Reference Building",IF(SI_IP_Units="IP"," (square feet)"," (square meter)"))</f>
        <v>Average Floor Area Per Unit for Reference Building (square meter)</v>
      </c>
      <c r="R21" s="2194"/>
      <c r="S21" s="2194"/>
      <c r="T21" s="2194"/>
      <c r="U21" s="2195"/>
      <c r="AD21" s="759" t="s">
        <v>1381</v>
      </c>
    </row>
    <row r="22" spans="1:224" ht="15" customHeight="1" x14ac:dyDescent="0.3">
      <c r="A22" s="751" t="s">
        <v>1299</v>
      </c>
      <c r="B22" s="973" t="str">
        <f>'Multiple Buildings Details'!B24</f>
        <v>Saudi Aramco Corporate Academy - Dhahran</v>
      </c>
      <c r="C22" s="974"/>
      <c r="D22" s="974">
        <f>SUM(INDEX(MD_BUS_Table,MATCH($B22,MD_BUS_Index,0),MATCH($D$11,MD_BUS_Hdr,0)),
INDEX(MD_BUS_Table,MATCH($B22,MD_BUS_Index,0),MATCH($F$11,MD_BUS_Hdr,0)),
INDEX(MD_BUS_Table,MATCH($B22,MD_BUS_Index,0),MATCH($H$11,MD_BUS_Hdr,0)),
INDEX(MD_BUS_Table,MATCH($B22,MD_BUS_Index,0),MATCH($J$11,MD_BUS_Hdr,0)),
INDEX(MD_BUS_Table,MATCH($B22,MD_BUS_Index,0),MATCH($L$11,MD_BUS_Hdr,0)),
INDEX(MD_BUS_Table,MATCH($B22,MD_BUS_Index,0),MATCH($N$11,MD_BUS_Hdr,0)),
INDEX(MD_BUS_Table,MATCH($B22,MD_BUS_Index,0),MATCH($P$11,MD_BUS_Hdr,0)),
INDEX(MD_BUS_Table,MATCH($B22,MD_BUS_Index,0),MATCH($R$11,MD_BUS_Hdr,0)),
INDEX(MD_BUS_Table,MATCH($B22,MD_BUS_Index,0),MATCH($T$11,MD_BUS_Hdr,0)),
)</f>
        <v>0</v>
      </c>
      <c r="E22" s="975"/>
      <c r="F22" s="974">
        <f>SUM(INDEX(MD_BUS_Table,MATCH($B22,MD_BUS_Index,0),MATCH($D$11,MD_BUS_Hdr,0))*1,
INDEX(MD_BUS_Table,MATCH($B22,MD_BUS_Index,0),MATCH($F$11,MD_BUS_Hdr,0))*1,
INDEX(MD_BUS_Table,MATCH($B22,MD_BUS_Index,0),MATCH($H$11,MD_BUS_Hdr,0))*2,
INDEX(MD_BUS_Table,MATCH($B22,MD_BUS_Index,0),MATCH($J$11,MD_BUS_Hdr,0))*3,
INDEX(MD_BUS_Table,MATCH($B22,MD_BUS_Index,0),MATCH($L$11,MD_BUS_Hdr,0))*4,
INDEX(MD_BUS_Table,MATCH($B22,MD_BUS_Index,0),MATCH($N$11,MD_BUS_Hdr,0))*5,
INDEX(MD_BUS_Table,MATCH($B22,MD_BUS_Index,0),MATCH($P$11,MD_BUS_Hdr,0))*6,
INDEX(MD_BUS_Table,MATCH($B22,MD_BUS_Index,0),MATCH($R$11,MD_BUS_Hdr,0))*7,
INDEX(MD_BUS_Table,MATCH($B22,MD_BUS_Index,0),MATCH($T$11,MD_BUS_Hdr,0))*8,
)</f>
        <v>0</v>
      </c>
      <c r="G22" s="975"/>
      <c r="H22" s="989">
        <f>SUM(INDEX(MD_BUS_Table,MATCH($B22,MD_BUS_Index,0),MATCH($D$11,MD_BUS_Hdr,0))*INDEX(MD_BUS_Table,MATCH($B22,MD_BUS_Index,0),MATCH($E$11,MD_BUS_Hdr,0)),
INDEX(MD_BUS_Table,MATCH($B22,MD_BUS_Index,0),MATCH($F$11,MD_BUS_Hdr,0))*INDEX(MD_BUS_Table,MATCH($B22,MD_BUS_Index,0),MATCH($G$11,MD_BUS_Hdr,0)),
INDEX(MD_BUS_Table,MATCH($B22,MD_BUS_Index,0),MATCH($H$11,MD_BUS_Hdr,0))*INDEX(MD_BUS_Table,MATCH($B22,MD_BUS_Index,0),MATCH($I$11,MD_BUS_Hdr,0)),
INDEX(MD_BUS_Table,MATCH($B22,MD_BUS_Index,0),MATCH($J$11,MD_BUS_Hdr,0))*INDEX(MD_BUS_Table,MATCH($B22,MD_BUS_Index,0),MATCH($K$11,MD_BUS_Hdr,0)),
INDEX(MD_BUS_Table,MATCH($B22,MD_BUS_Index,0),MATCH($L$11,MD_BUS_Hdr,0))*INDEX(MD_BUS_Table,MATCH($B22,MD_BUS_Index,0),MATCH($M$11,MD_BUS_Hdr,0)),
INDEX(MD_BUS_Table,MATCH($B22,MD_BUS_Index,0),MATCH($N$11,MD_BUS_Hdr,0))*INDEX(MD_BUS_Table,MATCH($B22,MD_BUS_Index,0),MATCH($O$11,MD_BUS_Hdr,0)),
INDEX(MD_BUS_Table,MATCH($B22,MD_BUS_Index,0),MATCH($P$11,MD_BUS_Hdr,0))*INDEX(MD_BUS_Table,MATCH($B22,MD_BUS_Index,0),MATCH($Q$11,MD_BUS_Hdr,0)),
INDEX(MD_BUS_Table,MATCH($B22,MD_BUS_Index,0),MATCH($R$11,MD_BUS_Hdr,0))*INDEX(MD_BUS_Table,MATCH($B22,MD_BUS_Index,0),MATCH($S$11,MD_BUS_Hdr,0)),
INDEX(MD_BUS_Table,MATCH($B22,MD_BUS_Index,0),MATCH($T$11,MD_BUS_Hdr,0))*INDEX(MD_BUS_Table,MATCH($B22,MD_BUS_Index,0),MATCH($U$11,MD_BUS_Hdr,0)),
)</f>
        <v>0</v>
      </c>
      <c r="I22" s="990"/>
      <c r="J22" s="991"/>
      <c r="K22" s="977">
        <f t="shared" ref="K22" si="0">IF(ISERROR(1/D22),0,F22/D22)</f>
        <v>0</v>
      </c>
      <c r="L22" s="976"/>
      <c r="M22" s="975"/>
      <c r="N22" s="989">
        <f t="shared" ref="N22" si="1">IF(ISERROR(1/D22),0,H22/D22)</f>
        <v>0</v>
      </c>
      <c r="O22" s="990"/>
      <c r="P22" s="991"/>
      <c r="Q22" s="989">
        <f>IF(ISERROR(1/K22),0,ROUNDDOWN((K22-1)*(IF(SI_IP_Units="IP",600,55.6)),0)+IF(SI_IP_Units="IP",1000,93))</f>
        <v>0</v>
      </c>
      <c r="R22" s="990"/>
      <c r="S22" s="990"/>
      <c r="T22" s="990"/>
      <c r="U22" s="991"/>
      <c r="X22" s="1892"/>
      <c r="AD22" s="782">
        <f t="shared" ref="AD22" si="2">IF(ISERROR(1/Q22),0,ROUNDDOWN((Q22-N22)/(Q22*4%),0))</f>
        <v>0</v>
      </c>
    </row>
    <row r="23" spans="1:224" x14ac:dyDescent="0.3">
      <c r="A23" s="751" t="s">
        <v>1299</v>
      </c>
      <c r="B23" s="759"/>
      <c r="C23" s="759"/>
      <c r="D23" s="759"/>
      <c r="E23" s="759"/>
      <c r="F23" s="759"/>
      <c r="G23" s="759"/>
      <c r="H23" s="759"/>
      <c r="I23" s="759"/>
      <c r="J23" s="759"/>
      <c r="K23" s="759"/>
      <c r="L23" s="759"/>
      <c r="M23" s="759"/>
      <c r="N23" s="759"/>
      <c r="O23" s="759"/>
      <c r="P23" s="759"/>
      <c r="Q23" s="759"/>
      <c r="R23" s="765"/>
      <c r="S23" s="765"/>
      <c r="T23" s="759"/>
      <c r="U23" s="759"/>
    </row>
    <row r="24" spans="1:224" ht="15.6" x14ac:dyDescent="0.3">
      <c r="A24" s="751" t="s">
        <v>1299</v>
      </c>
      <c r="B24" s="26" t="s">
        <v>1409</v>
      </c>
      <c r="C24" s="26"/>
      <c r="D24" s="765"/>
      <c r="E24" s="766"/>
      <c r="F24" s="759"/>
      <c r="G24" s="759"/>
      <c r="H24" s="759"/>
      <c r="I24" s="759"/>
      <c r="J24" s="759"/>
      <c r="K24" s="759"/>
      <c r="L24" s="759"/>
      <c r="M24" s="759"/>
      <c r="N24" s="759"/>
      <c r="O24" s="759"/>
      <c r="P24" s="759"/>
      <c r="Q24" s="759"/>
      <c r="R24" s="759"/>
      <c r="S24" s="759"/>
      <c r="T24" s="759"/>
      <c r="U24" s="759"/>
    </row>
    <row r="25" spans="1:224" ht="13.5" customHeight="1" x14ac:dyDescent="0.3">
      <c r="A25" s="751" t="s">
        <v>1299</v>
      </c>
      <c r="B25" s="759"/>
      <c r="C25" s="759"/>
      <c r="D25" s="759"/>
      <c r="E25" s="759"/>
      <c r="F25" s="759"/>
      <c r="G25" s="759"/>
      <c r="H25" s="759"/>
      <c r="I25" s="759"/>
      <c r="J25" s="759"/>
      <c r="K25" s="781"/>
      <c r="L25" s="759"/>
      <c r="M25" s="759"/>
      <c r="N25" s="759"/>
      <c r="O25" s="759"/>
      <c r="P25" s="759"/>
      <c r="Q25" s="759"/>
      <c r="R25" s="759"/>
      <c r="S25" s="759"/>
      <c r="T25" s="759"/>
      <c r="U25" s="759"/>
    </row>
    <row r="26" spans="1:224" ht="35.25" customHeight="1" x14ac:dyDescent="0.3">
      <c r="A26" s="751" t="s">
        <v>1299</v>
      </c>
      <c r="B26" s="2113" t="s">
        <v>1610</v>
      </c>
      <c r="C26" s="2113"/>
      <c r="D26" s="2113"/>
      <c r="E26" s="2113"/>
      <c r="F26" s="2113"/>
      <c r="G26" s="2113"/>
      <c r="H26" s="2113"/>
      <c r="I26" s="2113"/>
      <c r="J26" s="2113"/>
      <c r="K26" s="2113"/>
      <c r="L26" s="2113"/>
      <c r="M26" s="2113"/>
      <c r="N26" s="2113"/>
      <c r="O26" s="2113"/>
      <c r="P26" s="2113"/>
      <c r="Q26" s="2113"/>
      <c r="R26" s="2113"/>
      <c r="S26" s="2113"/>
      <c r="T26" s="2113"/>
      <c r="U26" s="2113"/>
    </row>
    <row r="27" spans="1:224" ht="13.5" customHeight="1" x14ac:dyDescent="0.3">
      <c r="A27" s="751" t="s">
        <v>1299</v>
      </c>
      <c r="B27" s="759"/>
      <c r="C27" s="759"/>
      <c r="D27" s="759"/>
      <c r="E27" s="759"/>
      <c r="F27" s="759"/>
      <c r="G27" s="759"/>
      <c r="H27" s="759"/>
      <c r="I27" s="759"/>
      <c r="J27" s="759"/>
      <c r="K27" s="781"/>
      <c r="L27" s="759"/>
      <c r="M27" s="759"/>
      <c r="N27" s="759"/>
      <c r="O27" s="759"/>
      <c r="P27" s="759"/>
      <c r="Q27" s="759"/>
      <c r="R27" s="759"/>
      <c r="S27" s="759"/>
      <c r="T27" s="759"/>
      <c r="U27" s="759"/>
    </row>
    <row r="28" spans="1:224" x14ac:dyDescent="0.3">
      <c r="A28" s="751" t="s">
        <v>1299</v>
      </c>
      <c r="B28" s="2121" t="s">
        <v>1358</v>
      </c>
      <c r="C28" s="2123" t="s">
        <v>1476</v>
      </c>
      <c r="D28" s="2123" t="str">
        <f>CONCATENATE("Quantity ", IF(SI_IP_Units="IP", "(or sum total fan volume [cfm] for fans)","(or sum total fan volume [L/s] for fans)"))</f>
        <v>Quantity (or sum total fan volume [L/s] for fans)</v>
      </c>
      <c r="E28" s="2123" t="s">
        <v>1496</v>
      </c>
      <c r="F28" s="2123" t="s">
        <v>1507</v>
      </c>
      <c r="G28" s="2187"/>
      <c r="H28" s="1710" t="s">
        <v>1508</v>
      </c>
      <c r="I28" s="1711"/>
      <c r="J28" s="1711"/>
      <c r="K28" s="1712"/>
      <c r="L28" s="1717"/>
      <c r="M28" s="1710" t="s">
        <v>1514</v>
      </c>
      <c r="N28" s="1711"/>
      <c r="O28" s="1711"/>
      <c r="P28" s="1712"/>
      <c r="Q28" s="1717"/>
      <c r="R28" s="1437" t="str">
        <f>CONCATENATE("Annual Service Hot Water Load ",IF(SI_IP_Units="IP","(gallons/year)","(Liters/year)"))</f>
        <v>Annual Service Hot Water Load (Liters/year)</v>
      </c>
      <c r="S28" s="1715"/>
      <c r="T28" s="1715"/>
      <c r="U28" s="1716"/>
    </row>
    <row r="29" spans="1:224" ht="34.5" customHeight="1" x14ac:dyDescent="0.3">
      <c r="A29" s="751" t="s">
        <v>1299</v>
      </c>
      <c r="B29" s="2121"/>
      <c r="C29" s="2123"/>
      <c r="D29" s="2123"/>
      <c r="E29" s="2123"/>
      <c r="F29" s="2123"/>
      <c r="G29" s="2187"/>
      <c r="H29" s="2185" t="str">
        <f>CONCATENATE("Annual Consumption ",IF(SI_IP_Units="IP","(kWh/year)","kWh/year"))</f>
        <v>Annual Consumption kWh/year</v>
      </c>
      <c r="I29" s="2188"/>
      <c r="J29" s="2189" t="s">
        <v>1475</v>
      </c>
      <c r="K29" s="2181" t="s">
        <v>1474</v>
      </c>
      <c r="L29" s="2183"/>
      <c r="M29" s="2185" t="str">
        <f>CONCATENATE("Annual Consumption ",IF(SI_IP_Units="IP","(therms/year)","kWh/year"))</f>
        <v>Annual Consumption kWh/year</v>
      </c>
      <c r="N29" s="2188"/>
      <c r="O29" s="2189" t="s">
        <v>1475</v>
      </c>
      <c r="P29" s="2181" t="s">
        <v>1474</v>
      </c>
      <c r="Q29" s="2183"/>
      <c r="R29" s="2185" t="s">
        <v>1519</v>
      </c>
      <c r="S29" s="2191" t="s">
        <v>1518</v>
      </c>
      <c r="T29" s="2188" t="s">
        <v>1520</v>
      </c>
      <c r="U29" s="2200" t="s">
        <v>1521</v>
      </c>
    </row>
    <row r="30" spans="1:224" ht="25.5" customHeight="1" x14ac:dyDescent="0.3">
      <c r="A30" s="751" t="s">
        <v>1299</v>
      </c>
      <c r="B30" s="2121"/>
      <c r="C30" s="2123"/>
      <c r="D30" s="2123"/>
      <c r="E30" s="2123"/>
      <c r="F30" s="2123"/>
      <c r="G30" s="2187"/>
      <c r="H30" s="1713" t="s">
        <v>347</v>
      </c>
      <c r="I30" s="1714" t="s">
        <v>348</v>
      </c>
      <c r="J30" s="2190"/>
      <c r="K30" s="2182"/>
      <c r="L30" s="2184"/>
      <c r="M30" s="1713" t="s">
        <v>347</v>
      </c>
      <c r="N30" s="1714" t="s">
        <v>348</v>
      </c>
      <c r="O30" s="2190"/>
      <c r="P30" s="2182"/>
      <c r="Q30" s="2184"/>
      <c r="R30" s="2186"/>
      <c r="S30" s="2192"/>
      <c r="T30" s="2199"/>
      <c r="U30" s="2201"/>
      <c r="HL30"/>
      <c r="HM30"/>
      <c r="HN30"/>
      <c r="HO30"/>
      <c r="HP30"/>
    </row>
    <row r="31" spans="1:224" ht="40.200000000000003" hidden="1" x14ac:dyDescent="0.3">
      <c r="A31" s="751" t="s">
        <v>1299</v>
      </c>
      <c r="B31" s="808" t="s">
        <v>1358</v>
      </c>
      <c r="C31" s="808" t="s">
        <v>1525</v>
      </c>
      <c r="D31" s="808" t="s">
        <v>1405</v>
      </c>
      <c r="E31" s="808" t="s">
        <v>1526</v>
      </c>
      <c r="F31" s="809" t="s">
        <v>1527</v>
      </c>
      <c r="G31" s="810" t="s">
        <v>1515</v>
      </c>
      <c r="H31" s="811" t="s">
        <v>1528</v>
      </c>
      <c r="I31" s="811" t="s">
        <v>1529</v>
      </c>
      <c r="J31" s="812" t="s">
        <v>1530</v>
      </c>
      <c r="K31" s="812" t="s">
        <v>1531</v>
      </c>
      <c r="L31" s="812" t="s">
        <v>1516</v>
      </c>
      <c r="M31" s="811" t="s">
        <v>1532</v>
      </c>
      <c r="N31" s="811" t="s">
        <v>1533</v>
      </c>
      <c r="O31" s="812" t="s">
        <v>1534</v>
      </c>
      <c r="P31" s="812" t="s">
        <v>1535</v>
      </c>
      <c r="Q31" s="812" t="s">
        <v>1517</v>
      </c>
      <c r="R31" s="812" t="s">
        <v>1536</v>
      </c>
      <c r="S31" s="812" t="s">
        <v>1537</v>
      </c>
      <c r="T31" s="812" t="s">
        <v>1538</v>
      </c>
      <c r="U31" s="812" t="s">
        <v>1539</v>
      </c>
      <c r="HL31"/>
      <c r="HM31"/>
      <c r="HN31"/>
      <c r="HO31"/>
      <c r="HP31"/>
    </row>
    <row r="32" spans="1:224" hidden="1" x14ac:dyDescent="0.3">
      <c r="A32" s="751" t="s">
        <v>915</v>
      </c>
      <c r="B32" s="1718" t="str">
        <f>GI_Project_Name</f>
        <v>Saudi Aramco Corporate Academy - Dhahran</v>
      </c>
      <c r="C32" s="1719"/>
      <c r="D32" s="1720"/>
      <c r="E32" s="1720"/>
      <c r="F32" s="1721">
        <f t="shared" ref="F32:F35" si="3">IFERROR(INDEX(MD_BUS_SumTable,MATCH($B32,MD_BUS_SumIndex,0),MATCH($K$21,MD_BUS_SumHdr,0)),"")</f>
        <v>0</v>
      </c>
      <c r="G32" s="1754"/>
      <c r="H32" s="1722" t="str">
        <f t="shared" ref="H32:H35" si="4">IFERROR($D32*((VLOOKUP($C32,Homes_DwellingEqpLookup,2,FALSE)+VLOOKUP($C32,Homes_DwellingEqpLookup,6,FALSE)*$F32)*VLOOKUP($C32,Homes_DwellingEqpLookup,12,FALSE)),"")</f>
        <v/>
      </c>
      <c r="I32" s="1722" t="str">
        <f t="shared" ref="I32:I35" si="5">IFERROR(IF($E32="No",$H32,$D32*(VLOOKUP($C32,Homes_DwellingEqpLookup,3,FALSE)+VLOOKUP($C32,Homes_DwellingEqpLookup,6,FALSE)*$F32)*VLOOKUP($C32,Homes_DwellingEqpLookup,12,FALSE)),"")</f>
        <v/>
      </c>
      <c r="J32" s="1723" t="str">
        <f t="shared" ref="J32:J35" si="6">IFERROR(VLOOKUP($C32,Homes_DwellingEqpLookup,4,0),"")</f>
        <v/>
      </c>
      <c r="K32" s="1723" t="str">
        <f t="shared" ref="K32:K35" si="7">IFERROR(VLOOKUP($C32,Homes_DwellingEqpLookup,5,0),"")</f>
        <v/>
      </c>
      <c r="L32" s="1757"/>
      <c r="M32" s="1724" t="str">
        <f t="shared" ref="M32:M35" si="8">IFERROR($D32*((VLOOKUP($C32,Homes_DwellingEqpLookup,7,FALSE)+VLOOKUP($C32,Homes_DwellingEqpLookup,11,FALSE)*$F32)*VLOOKUP($C32,Homes_DwellingEqpLookup,12,FALSE)),"")</f>
        <v/>
      </c>
      <c r="N32" s="1725" t="str">
        <f t="shared" ref="N32:N35" si="9">IFERROR(IF($E32="No",$M32,$D32*(VLOOKUP($C32,Homes_DwellingEqpLookup,8,FALSE)+VLOOKUP($C32,Homes_DwellingEqpLookup,11,FALSE)*$F32)*VLOOKUP($C32,Homes_DwellingEqpLookup,12,FALSE)),"")</f>
        <v/>
      </c>
      <c r="O32" s="1726" t="str">
        <f t="shared" ref="O32:O35" si="10">IFERROR(VLOOKUP($C32,Homes_DwellingEqpLookup,9,0),"")</f>
        <v/>
      </c>
      <c r="P32" s="1726" t="str">
        <f t="shared" ref="P32:P35" si="11">IFERROR(VLOOKUP($C32,Homes_DwellingEqpLookup,10,0),"")</f>
        <v/>
      </c>
      <c r="Q32" s="1760"/>
      <c r="R32" s="1727" t="str">
        <f t="shared" ref="R32:R35" si="12">IFERROR(VLOOKUP($C32,Homes_DwellingEqpLookup,13,0),"")</f>
        <v/>
      </c>
      <c r="S32" s="1727" t="str">
        <f t="shared" ref="S32:S35" si="13">IFERROR(IF($E32="No",$R32,VLOOKUP($C32,Homes_DwellingEqpLookup,14,0)),"")</f>
        <v/>
      </c>
      <c r="T32" s="1727" t="str">
        <f>IFERROR($R32*$D32,"")</f>
        <v/>
      </c>
      <c r="U32" s="1728" t="str">
        <f>IFERROR($S32*$D32,"")</f>
        <v/>
      </c>
      <c r="X32" s="1892"/>
      <c r="HL32"/>
      <c r="HM32"/>
      <c r="HN32"/>
      <c r="HO32"/>
      <c r="HP32"/>
    </row>
    <row r="33" spans="1:224" x14ac:dyDescent="0.3">
      <c r="A33" s="751"/>
      <c r="B33" s="1729" t="str">
        <f>GI_Project_Name</f>
        <v>Saudi Aramco Corporate Academy - Dhahran</v>
      </c>
      <c r="C33" s="1730"/>
      <c r="D33" s="1731"/>
      <c r="E33" s="1731"/>
      <c r="F33" s="1732">
        <f t="shared" si="3"/>
        <v>0</v>
      </c>
      <c r="G33" s="1755"/>
      <c r="H33" s="1733" t="str">
        <f t="shared" si="4"/>
        <v/>
      </c>
      <c r="I33" s="1733" t="str">
        <f t="shared" si="5"/>
        <v/>
      </c>
      <c r="J33" s="1734" t="str">
        <f t="shared" si="6"/>
        <v/>
      </c>
      <c r="K33" s="1734" t="str">
        <f t="shared" si="7"/>
        <v/>
      </c>
      <c r="L33" s="1758"/>
      <c r="M33" s="1735" t="str">
        <f t="shared" si="8"/>
        <v/>
      </c>
      <c r="N33" s="1736" t="str">
        <f t="shared" si="9"/>
        <v/>
      </c>
      <c r="O33" s="1737" t="str">
        <f t="shared" si="10"/>
        <v/>
      </c>
      <c r="P33" s="1737" t="str">
        <f t="shared" si="11"/>
        <v/>
      </c>
      <c r="Q33" s="1761"/>
      <c r="R33" s="1738" t="str">
        <f t="shared" si="12"/>
        <v/>
      </c>
      <c r="S33" s="1738" t="str">
        <f t="shared" si="13"/>
        <v/>
      </c>
      <c r="T33" s="1739" t="str">
        <f t="shared" ref="T33" si="14">IFERROR($R33*$D33,"")</f>
        <v/>
      </c>
      <c r="U33" s="1740" t="str">
        <f t="shared" ref="U33" si="15">IFERROR($S33*$D33,"")</f>
        <v/>
      </c>
      <c r="X33" s="1892"/>
      <c r="HL33"/>
      <c r="HM33"/>
      <c r="HN33"/>
      <c r="HO33"/>
      <c r="HP33"/>
    </row>
    <row r="34" spans="1:224" x14ac:dyDescent="0.3">
      <c r="A34" s="751"/>
      <c r="B34" s="1729" t="str">
        <f>GI_Project_Name</f>
        <v>Saudi Aramco Corporate Academy - Dhahran</v>
      </c>
      <c r="C34" s="1741"/>
      <c r="D34" s="1731"/>
      <c r="E34" s="1731"/>
      <c r="F34" s="1732">
        <f t="shared" si="3"/>
        <v>0</v>
      </c>
      <c r="G34" s="1755"/>
      <c r="H34" s="1733" t="str">
        <f t="shared" si="4"/>
        <v/>
      </c>
      <c r="I34" s="1733" t="str">
        <f t="shared" si="5"/>
        <v/>
      </c>
      <c r="J34" s="1734" t="str">
        <f t="shared" si="6"/>
        <v/>
      </c>
      <c r="K34" s="1734" t="str">
        <f t="shared" si="7"/>
        <v/>
      </c>
      <c r="L34" s="1758"/>
      <c r="M34" s="1735" t="str">
        <f t="shared" si="8"/>
        <v/>
      </c>
      <c r="N34" s="1736" t="str">
        <f t="shared" si="9"/>
        <v/>
      </c>
      <c r="O34" s="1737" t="str">
        <f t="shared" si="10"/>
        <v/>
      </c>
      <c r="P34" s="1737" t="str">
        <f t="shared" si="11"/>
        <v/>
      </c>
      <c r="Q34" s="1761"/>
      <c r="R34" s="1738" t="str">
        <f t="shared" si="12"/>
        <v/>
      </c>
      <c r="S34" s="1738" t="str">
        <f t="shared" si="13"/>
        <v/>
      </c>
      <c r="T34" s="1739" t="str">
        <f t="shared" ref="T34:T35" si="16">IFERROR($R34*$D34,"")</f>
        <v/>
      </c>
      <c r="U34" s="1740" t="str">
        <f t="shared" ref="U34:U35" si="17">IFERROR($S34*$D34,"")</f>
        <v/>
      </c>
      <c r="X34" s="1892"/>
      <c r="HL34"/>
      <c r="HM34"/>
      <c r="HN34"/>
      <c r="HO34"/>
      <c r="HP34"/>
    </row>
    <row r="35" spans="1:224" x14ac:dyDescent="0.3">
      <c r="A35" s="751"/>
      <c r="B35" s="1742" t="str">
        <f>GI_Project_Name</f>
        <v>Saudi Aramco Corporate Academy - Dhahran</v>
      </c>
      <c r="C35" s="1743"/>
      <c r="D35" s="1744"/>
      <c r="E35" s="1744"/>
      <c r="F35" s="1745">
        <f t="shared" si="3"/>
        <v>0</v>
      </c>
      <c r="G35" s="1756"/>
      <c r="H35" s="1746" t="str">
        <f t="shared" si="4"/>
        <v/>
      </c>
      <c r="I35" s="1746" t="str">
        <f t="shared" si="5"/>
        <v/>
      </c>
      <c r="J35" s="1747" t="str">
        <f t="shared" si="6"/>
        <v/>
      </c>
      <c r="K35" s="1747" t="str">
        <f t="shared" si="7"/>
        <v/>
      </c>
      <c r="L35" s="1759"/>
      <c r="M35" s="1748" t="str">
        <f t="shared" si="8"/>
        <v/>
      </c>
      <c r="N35" s="1749" t="str">
        <f t="shared" si="9"/>
        <v/>
      </c>
      <c r="O35" s="1750" t="str">
        <f t="shared" si="10"/>
        <v/>
      </c>
      <c r="P35" s="1750" t="str">
        <f t="shared" si="11"/>
        <v/>
      </c>
      <c r="Q35" s="1762"/>
      <c r="R35" s="1751" t="str">
        <f t="shared" si="12"/>
        <v/>
      </c>
      <c r="S35" s="1751" t="str">
        <f t="shared" si="13"/>
        <v/>
      </c>
      <c r="T35" s="1752" t="str">
        <f t="shared" si="16"/>
        <v/>
      </c>
      <c r="U35" s="1753" t="str">
        <f t="shared" si="17"/>
        <v/>
      </c>
      <c r="X35" s="1892"/>
      <c r="Y35" s="784"/>
      <c r="HL35"/>
      <c r="HM35"/>
      <c r="HN35"/>
      <c r="HO35"/>
      <c r="HP35"/>
    </row>
    <row r="36" spans="1:224" x14ac:dyDescent="0.3">
      <c r="A36" s="751" t="s">
        <v>1299</v>
      </c>
      <c r="B36" s="759"/>
      <c r="C36" s="759"/>
      <c r="D36" s="759"/>
      <c r="E36" s="759"/>
      <c r="F36" s="759"/>
      <c r="G36" s="759"/>
      <c r="H36" s="759"/>
      <c r="I36" s="759"/>
      <c r="J36" s="759"/>
      <c r="K36" s="759"/>
      <c r="L36" s="759"/>
      <c r="M36" s="759"/>
      <c r="N36" s="759"/>
      <c r="O36" s="799"/>
      <c r="P36" s="759"/>
      <c r="Q36" s="759"/>
      <c r="R36" s="759"/>
      <c r="S36" s="759"/>
      <c r="T36" s="759"/>
      <c r="U36" s="759"/>
    </row>
    <row r="37" spans="1:224" x14ac:dyDescent="0.3">
      <c r="A37" s="751" t="s">
        <v>1299</v>
      </c>
      <c r="B37" s="759"/>
      <c r="C37" s="759"/>
      <c r="D37" s="759"/>
      <c r="E37" s="759"/>
      <c r="F37" s="759"/>
      <c r="G37" s="759"/>
      <c r="H37" s="759"/>
      <c r="I37" s="759"/>
      <c r="J37" s="759"/>
      <c r="K37" s="759"/>
      <c r="L37" s="759"/>
      <c r="M37" s="759"/>
      <c r="N37" s="759"/>
      <c r="O37" s="759"/>
      <c r="P37" s="759"/>
      <c r="Q37" s="759"/>
      <c r="R37" s="759"/>
      <c r="S37" s="759"/>
      <c r="T37" s="759"/>
      <c r="U37" s="759"/>
    </row>
    <row r="38" spans="1:224" x14ac:dyDescent="0.3">
      <c r="A38" s="751" t="s">
        <v>1299</v>
      </c>
      <c r="D38" s="759"/>
      <c r="E38" s="759"/>
      <c r="F38" s="759"/>
      <c r="G38" s="759"/>
      <c r="H38" s="759"/>
      <c r="I38" s="759"/>
      <c r="J38" s="759"/>
      <c r="K38" s="759"/>
      <c r="L38" s="759"/>
      <c r="M38" s="759"/>
      <c r="N38" s="759"/>
      <c r="O38" s="759"/>
      <c r="P38" s="759"/>
      <c r="Q38" s="759"/>
      <c r="R38" s="759"/>
      <c r="S38" s="759"/>
      <c r="T38" s="759"/>
      <c r="U38" s="759"/>
    </row>
    <row r="39" spans="1:224" ht="21" customHeight="1" x14ac:dyDescent="0.3">
      <c r="A39" s="751" t="s">
        <v>1299</v>
      </c>
      <c r="B39" s="759"/>
      <c r="C39" s="759"/>
      <c r="D39" s="759"/>
      <c r="E39" s="759"/>
      <c r="F39" s="759"/>
      <c r="G39" s="759"/>
      <c r="H39" s="759"/>
      <c r="I39" s="759"/>
      <c r="J39" s="759"/>
      <c r="K39" s="759"/>
      <c r="L39" s="759"/>
      <c r="M39" s="759"/>
      <c r="N39" s="759"/>
      <c r="O39" s="759"/>
      <c r="P39" s="759"/>
      <c r="Q39" s="759"/>
      <c r="R39" s="759"/>
      <c r="S39" s="759"/>
      <c r="T39" s="759"/>
      <c r="U39" s="759"/>
    </row>
    <row r="40" spans="1:224" ht="15.6" x14ac:dyDescent="0.3">
      <c r="A40" s="751" t="s">
        <v>1299</v>
      </c>
      <c r="B40" s="764" t="s">
        <v>1522</v>
      </c>
      <c r="C40" s="764"/>
      <c r="D40" s="759"/>
      <c r="E40" s="759"/>
      <c r="F40" s="759"/>
      <c r="G40" s="759"/>
      <c r="H40" s="759"/>
      <c r="I40" s="759"/>
      <c r="J40" s="759"/>
      <c r="K40" s="759"/>
      <c r="L40" s="759"/>
      <c r="M40" s="759"/>
      <c r="N40" s="759"/>
      <c r="O40" s="759"/>
      <c r="P40" s="759"/>
      <c r="Q40" s="759"/>
      <c r="R40" s="759"/>
      <c r="S40" s="759"/>
      <c r="T40" s="759"/>
      <c r="U40" s="759"/>
    </row>
    <row r="41" spans="1:224" ht="15.6" x14ac:dyDescent="0.3">
      <c r="A41" s="751" t="s">
        <v>1299</v>
      </c>
      <c r="B41" s="764"/>
      <c r="C41" s="764"/>
      <c r="D41" s="759"/>
      <c r="E41" s="759"/>
      <c r="F41" s="759"/>
      <c r="G41" s="759"/>
      <c r="H41" s="759"/>
      <c r="I41" s="759"/>
      <c r="J41" s="759"/>
      <c r="K41" s="759"/>
      <c r="L41" s="759"/>
      <c r="M41" s="759"/>
      <c r="N41" s="759"/>
      <c r="O41" s="759"/>
      <c r="P41" s="759"/>
      <c r="Q41" s="759"/>
      <c r="R41" s="759"/>
      <c r="S41" s="759"/>
      <c r="T41" s="759"/>
      <c r="U41" s="759"/>
    </row>
    <row r="42" spans="1:224" ht="54" customHeight="1" x14ac:dyDescent="0.3">
      <c r="A42" s="751" t="s">
        <v>1299</v>
      </c>
      <c r="B42" s="2104" t="str">
        <f xml:space="preserve"> CONCATENATE("Report the modeled Receptacle Equipment and Appliances Equivalent Full Load Hours of Operation in the Schedules tab before referring to the table below."," The Equivalent Full Load Hours of Operation is used to calculate the equipment power density for resdential dwelling units that must be modeled based on the building equipment reported for the building."," After confirming the Equivalent Full Load Hours of Operation in the schedules tab, use the values below for the Baseline and Proposed Miscellaneous Equipment Loads in the Dwelling Units. These loads include ",IF(SI_IP_Units="IP","0.5 Watts per square foot ","5.38 Watts per square meter"), " of electric miscellaneous equipment load with a 0.9 sensible ratio and 0.1 latent ratio in addition to the equipment load sources selected above.")</f>
        <v>Report the modeled Receptacle Equipment and Appliances Equivalent Full Load Hours of Operation in the Schedules tab before referring to the table below. The Equivalent Full Load Hours of Operation is used to calculate the equipment power density for resdential dwelling units that must be modeled based on the building equipment reported for the building. After confirming the Equivalent Full Load Hours of Operation in the schedules tab, use the values below for the Baseline and Proposed Miscellaneous Equipment Loads in the Dwelling Units. These loads include 5.38 Watts per square meter of electric miscellaneous equipment load with a 0.9 sensible ratio and 0.1 latent ratio in addition to the equipment load sources selected above.</v>
      </c>
      <c r="C42" s="2104"/>
      <c r="D42" s="2104"/>
      <c r="E42" s="2104"/>
      <c r="F42" s="2104"/>
      <c r="G42" s="2104"/>
      <c r="H42" s="2104"/>
      <c r="I42" s="2104"/>
      <c r="J42" s="2104"/>
      <c r="K42" s="2104"/>
      <c r="L42" s="2104"/>
      <c r="M42" s="2104"/>
      <c r="N42" s="2104"/>
      <c r="O42" s="2104"/>
      <c r="P42" s="2104"/>
      <c r="Q42" s="2104"/>
      <c r="R42" s="2104"/>
      <c r="S42" s="2104"/>
      <c r="T42" s="2104"/>
      <c r="U42" s="2104"/>
      <c r="V42" s="2104"/>
    </row>
    <row r="43" spans="1:224" x14ac:dyDescent="0.3">
      <c r="A43" s="751" t="s">
        <v>1299</v>
      </c>
      <c r="B43" s="807"/>
      <c r="C43" s="807"/>
      <c r="D43" s="807"/>
      <c r="E43" s="807"/>
      <c r="F43" s="807"/>
      <c r="G43" s="807"/>
      <c r="H43" s="807"/>
      <c r="I43" s="807"/>
      <c r="J43" s="807"/>
      <c r="K43" s="807"/>
      <c r="L43" s="807"/>
      <c r="M43" s="807"/>
      <c r="N43" s="807"/>
      <c r="O43" s="807"/>
      <c r="P43" s="807"/>
      <c r="Q43" s="807"/>
      <c r="R43" s="807"/>
      <c r="S43" s="807"/>
      <c r="T43" s="807"/>
      <c r="U43" s="807"/>
      <c r="V43" s="807"/>
    </row>
    <row r="44" spans="1:224" ht="29.4" x14ac:dyDescent="0.3">
      <c r="A44" s="751" t="s">
        <v>1299</v>
      </c>
      <c r="B44" s="2121" t="s">
        <v>1358</v>
      </c>
      <c r="C44" s="2121" t="s">
        <v>1523</v>
      </c>
      <c r="D44" s="2123" t="str">
        <f>CONCATENATE("Total Area of Dwelling Units",IF(SI_IP_Units="IP"," (square feet)"," (square meters)"))</f>
        <v>Total Area of Dwelling Units (square meters)</v>
      </c>
      <c r="E44" s="2172"/>
      <c r="F44" s="1763" t="s">
        <v>1524</v>
      </c>
      <c r="G44" s="1764"/>
      <c r="H44" s="1764"/>
      <c r="I44" s="1764"/>
      <c r="J44" s="1764"/>
      <c r="K44" s="1765"/>
      <c r="L44" s="2172"/>
      <c r="M44" s="2144" t="s">
        <v>1541</v>
      </c>
      <c r="N44" s="2173"/>
      <c r="O44" s="2173"/>
      <c r="P44" s="2173"/>
      <c r="Q44" s="2173"/>
      <c r="R44" s="2174"/>
      <c r="S44" s="2172"/>
      <c r="T44" s="2177" t="str">
        <f>CONCATENATE("Dwelling Unit Equipment Hot Water Loads ",IF(SI_IP_Units="IP","(gallons/year)","(Liters/year)"))</f>
        <v>Dwelling Unit Equipment Hot Water Loads (Liters/year)</v>
      </c>
      <c r="U44" s="2178"/>
      <c r="HI44"/>
      <c r="HJ44"/>
      <c r="HK44"/>
      <c r="HL44"/>
      <c r="HM44"/>
      <c r="HN44"/>
      <c r="HO44"/>
      <c r="HP44"/>
    </row>
    <row r="45" spans="1:224" x14ac:dyDescent="0.3">
      <c r="A45" s="751" t="s">
        <v>1299</v>
      </c>
      <c r="B45" s="2121"/>
      <c r="C45" s="2121"/>
      <c r="D45" s="2123"/>
      <c r="E45" s="2172"/>
      <c r="F45" s="1766" t="s">
        <v>347</v>
      </c>
      <c r="G45" s="1767"/>
      <c r="H45" s="1767"/>
      <c r="I45" s="1767" t="s">
        <v>348</v>
      </c>
      <c r="J45" s="1767"/>
      <c r="K45" s="1768"/>
      <c r="L45" s="2172"/>
      <c r="M45" s="2132" t="s">
        <v>347</v>
      </c>
      <c r="N45" s="2175"/>
      <c r="O45" s="2175"/>
      <c r="P45" s="2169" t="s">
        <v>348</v>
      </c>
      <c r="Q45" s="2175"/>
      <c r="R45" s="2176"/>
      <c r="S45" s="2172"/>
      <c r="T45" s="2179"/>
      <c r="U45" s="2180"/>
      <c r="HI45"/>
      <c r="HJ45"/>
      <c r="HK45"/>
      <c r="HL45"/>
      <c r="HM45"/>
      <c r="HN45"/>
      <c r="HO45"/>
      <c r="HP45"/>
    </row>
    <row r="46" spans="1:224" ht="66" x14ac:dyDescent="0.3">
      <c r="A46" s="751" t="s">
        <v>1299</v>
      </c>
      <c r="B46" s="2121"/>
      <c r="C46" s="2121"/>
      <c r="D46" s="2123"/>
      <c r="E46" s="2172"/>
      <c r="F46" s="653" t="str">
        <f>CONCATENATE("Equipment Power Density ", IF(SI_IP_Units="IP","(Watts/ sq ft)","(Watts/ sq m)"))</f>
        <v>Equipment Power Density (Watts/ sq m)</v>
      </c>
      <c r="G46" s="1769" t="s">
        <v>1475</v>
      </c>
      <c r="H46" s="1769" t="s">
        <v>1474</v>
      </c>
      <c r="I46" s="277" t="str">
        <f>CONCATENATE("Equipment Power Density ", IF(SI_IP_Units="IP","(Watts/ sq ft)","(Watts/ sq m)"))</f>
        <v>Equipment Power Density (Watts/ sq m)</v>
      </c>
      <c r="J46" s="1769" t="s">
        <v>1475</v>
      </c>
      <c r="K46" s="1413" t="s">
        <v>1474</v>
      </c>
      <c r="L46" s="2172"/>
      <c r="M46" s="653" t="str">
        <f>CONCATENATE("Equipment Power Density ", IF(SI_IP_Units="IP","(Btu/ sq ft)","(Watts/ sq m)"))</f>
        <v>Equipment Power Density (Watts/ sq m)</v>
      </c>
      <c r="N46" s="1769" t="s">
        <v>1475</v>
      </c>
      <c r="O46" s="1769" t="s">
        <v>1474</v>
      </c>
      <c r="P46" s="277" t="str">
        <f>CONCATENATE("Equipment Power Density ",  IF(SI_IP_Units="IP","(Btu/ sq ft)","(Watts/ sq m)"))</f>
        <v>Equipment Power Density (Watts/ sq m)</v>
      </c>
      <c r="Q46" s="1769" t="s">
        <v>1475</v>
      </c>
      <c r="R46" s="1413" t="s">
        <v>1474</v>
      </c>
      <c r="S46" s="2172"/>
      <c r="T46" s="1770" t="s">
        <v>1554</v>
      </c>
      <c r="U46" s="1771" t="s">
        <v>348</v>
      </c>
      <c r="HI46"/>
      <c r="HJ46"/>
      <c r="HK46"/>
      <c r="HL46"/>
      <c r="HM46"/>
      <c r="HN46"/>
      <c r="HO46"/>
      <c r="HP46"/>
    </row>
    <row r="47" spans="1:224" ht="43.2" hidden="1" x14ac:dyDescent="0.3">
      <c r="A47" s="751" t="s">
        <v>1299</v>
      </c>
      <c r="B47" s="814" t="str">
        <f>B44</f>
        <v>Building ID</v>
      </c>
      <c r="C47" s="814" t="s">
        <v>1386</v>
      </c>
      <c r="D47" s="815" t="s">
        <v>1540</v>
      </c>
      <c r="E47" s="816" t="s">
        <v>1515</v>
      </c>
      <c r="F47" s="815" t="s">
        <v>1544</v>
      </c>
      <c r="G47" s="815" t="s">
        <v>1542</v>
      </c>
      <c r="H47" s="817" t="s">
        <v>1543</v>
      </c>
      <c r="I47" s="815" t="s">
        <v>1545</v>
      </c>
      <c r="J47" s="815" t="s">
        <v>1546</v>
      </c>
      <c r="K47" s="817" t="s">
        <v>1547</v>
      </c>
      <c r="L47" s="815" t="s">
        <v>1516</v>
      </c>
      <c r="M47" s="815" t="s">
        <v>1548</v>
      </c>
      <c r="N47" s="817" t="s">
        <v>1549</v>
      </c>
      <c r="O47" s="817" t="s">
        <v>1550</v>
      </c>
      <c r="P47" s="815" t="s">
        <v>1551</v>
      </c>
      <c r="Q47" s="817" t="s">
        <v>1552</v>
      </c>
      <c r="R47" s="817" t="s">
        <v>1553</v>
      </c>
      <c r="S47" s="815" t="s">
        <v>1517</v>
      </c>
      <c r="T47" s="817" t="s">
        <v>1555</v>
      </c>
      <c r="U47" s="817" t="s">
        <v>1556</v>
      </c>
      <c r="HI47"/>
      <c r="HJ47"/>
      <c r="HK47"/>
      <c r="HL47"/>
      <c r="HM47"/>
      <c r="HN47"/>
      <c r="HO47"/>
      <c r="HP47"/>
    </row>
    <row r="48" spans="1:224" ht="15" customHeight="1" x14ac:dyDescent="0.3">
      <c r="A48" s="751" t="s">
        <v>1299</v>
      </c>
      <c r="B48" s="947" t="str">
        <f>'Multiple Buildings Details'!B24</f>
        <v>Saudi Aramco Corporate Academy - Dhahran</v>
      </c>
      <c r="C48" s="825">
        <f>Schedules!$F$12</f>
        <v>2117</v>
      </c>
      <c r="D48" s="978">
        <f>INDEX(MD_BUS_SumTable,MATCH($B48,MD_BUS_SumIndex,0),MATCH($H$21,MD_BUS_SumHdr,0))</f>
        <v>0</v>
      </c>
      <c r="E48" s="979"/>
      <c r="F48" s="980" t="str">
        <f ca="1">IFERROR(SUMIF(MD_HDUEC_Index,$B48,OFFSET(MD_HDUEC_Index,0,MATCH($H$31,MD_HDUEC_Hdr,0)-1,ROWS(MD_HDUEC_Index),1))/$D48*1000/$C48+0.5*(IF(SI_IP_Units="IP",1,10.76)),"")</f>
        <v/>
      </c>
      <c r="G48" s="980" t="str">
        <f ca="1">IFERROR((SUMPRODUCT(OFFSET(MD_HDUEC_Index,0,MATCH($H$31,MD_HDUEC_Hdr,0)-1,ROWS(MD_HDUEC_Index),1),OFFSET(MD_HDUEC_Index,0,MATCH($J$31,MD_HDUEC_Hdr,0)-1,ROWS(MD_HDUEC_Index),1),--(MD_HDUEC_Index=$B48))*1000/$C48+IF(SI_IP_Units="IP",0.5,0.5*10.76)*$D48*0.9)/(SUMIF(MD_HDUEC_Index,$B48,(OFFSET(MD_HDUEC_Index,0,MATCH($H$31,MD_HDUEC_Hdr,0)-1,ROWS(MD_HDUEC_Index),1)))*1000/$C48+IF(SI_IP_Units="IP",0.5,0.5*10.76)*$D48),"")</f>
        <v/>
      </c>
      <c r="H48" s="818" t="str">
        <f ca="1">IFERROR((SUMPRODUCT(OFFSET(MD_HDUEC_Index,0,MATCH($H$31,MD_HDUEC_Hdr,0)-1,ROWS(MD_HDUEC_Index),1),OFFSET(MD_HDUEC_Index,0,MATCH($K$31,MD_HDUEC_Hdr,0)-1,ROWS(MD_HDUEC_Index),1),--(MD_HDUEC_Index=$B48))*1000/$C48+IF(SI_IP_Units="IP",0.5,0.5*10.76)*$D48*0.1)/(SUMIF(MD_HDUEC_Index,$B48,(OFFSET(MD_HDUEC_Index,0,MATCH($H$31,MD_HDUEC_Hdr,0)-1,ROWS(MD_HDUEC_Index),1)))*1000/$C48+IF(SI_IP_Units="IP",0.5,0.5*10.76)*$D48),"")</f>
        <v/>
      </c>
      <c r="I48" s="818" t="str">
        <f ca="1">IFERROR(SUMIF(MD_HDUEC_Index,$B48,OFFSET(MD_HDUEC_Index,0,MATCH($I$31,MD_HDUEC_Hdr,0)-1,ROWS(MD_HDUEC_Index),1))/$D48*1000/$C48+0.5*(IF(SI_IP_Units="IP",1,10.76)),"")</f>
        <v/>
      </c>
      <c r="J48" s="981" t="str">
        <f ca="1">IFERROR((SUMPRODUCT(OFFSET(MD_HDUEC_Index,0,MATCH($I$31,MD_HDUEC_Hdr,0)-1,ROWS(MD_HDUEC_Index),1),OFFSET(MD_HDUEC_Index,0,MATCH($J$31,MD_HDUEC_Hdr,0)-1,ROWS(MD_HDUEC_Index),1),--(MD_HDUEC_Index=$B48))*1000/$C48+IF(SI_IP_Units="IP",0.5,0.5*10.76)*$D48*0.9)/(SUMIF(MD_HDUEC_Index,$B48,(OFFSET(MD_HDUEC_Index,0,MATCH($I$31,MD_HDUEC_Hdr,0)-1,ROWS(MD_HDUEC_Index),1)))*1000/$C48+IF(SI_IP_Units="IP",0.5,0.5*10.76)*$D48),"")</f>
        <v/>
      </c>
      <c r="K48" s="981" t="str">
        <f ca="1">IFERROR((SUMPRODUCT(OFFSET(MD_HDUEC_Index,0,MATCH($I$31,MD_HDUEC_Hdr,0)-1,ROWS(MD_HDUEC_Index),1),OFFSET(MD_HDUEC_Index,0,MATCH($K$31,MD_HDUEC_Hdr,0)-1,ROWS(MD_HDUEC_Index),1),--(MD_HDUEC_Index=$B48))*1000/$C48+IF(SI_IP_Units="IP",0.5,0.5*10.76)*$D48*0.1)/(SUMIF(MD_HDUEC_Index,$B48,(OFFSET(MD_HDUEC_Index,0,MATCH($I$31,MD_HDUEC_Hdr,0)-1,ROWS(MD_HDUEC_Index),1)))*1000/$C48+IF(SI_IP_Units="IP",0.5,0.5*10.76)*$D48),"")</f>
        <v/>
      </c>
      <c r="L48" s="806"/>
      <c r="M48" s="819" t="str">
        <f ca="1">IFERROR(SUMIF(MD_HDUEC_Index,$B48,OFFSET(MD_HDUEC_Index,0,MATCH($M$31,MD_HDUEC_Hdr,0)-1,ROWS(MD_HDUEC_Index),1))/$D48/$C48*IF(SI_IP_Units="IP",100000,1000),"")</f>
        <v/>
      </c>
      <c r="N48" s="819" t="str">
        <f ca="1">IFERROR(SUMPRODUCT(OFFSET(MD_HDUEC_Index,0,MATCH($M$31,MD_HDUEC_Hdr,0)-1,ROWS(MD_HDUEC_Index),1),OFFSET(MD_HDUEC_Index,0,MATCH($O$31,MD_HDUEC_Hdr,0)-1,ROWS(MD_HDUEC_Index),1),--(MD_HDUEC_Index=$B48))/SUMIF(MD_HDUEC_Index,$B48,OFFSET(MD_HDUEC_Index,0,MATCH($M$31,MD_HDUEC_Hdr,0)-1)),"")</f>
        <v/>
      </c>
      <c r="O48" s="819" t="str">
        <f ca="1">IFERROR(SUMPRODUCT(OFFSET(MD_HDUEC_Index,0,MATCH($M$31,MD_HDUEC_Hdr,0)-1,ROWS(MD_HDUEC_Index),1),OFFSET(MD_HDUEC_Index,0,MATCH($P$31,MD_HDUEC_Hdr,0)-1,ROWS(MD_HDUEC_Index),1),--(MD_HDUEC_Index=$B48))/SUMIF(MD_HDUEC_Index,$B48,OFFSET(MD_HDUEC_Index,0,MATCH($M$31,MD_HDUEC_Hdr,0)-1)),"")</f>
        <v/>
      </c>
      <c r="P48" s="982" t="str">
        <f ca="1">IFERROR(SUMIF(MD_HDUEC_Index,$B48,OFFSET(MD_HDUEC_Index,0,MATCH($N$31,MD_HDUEC_Hdr,0)-1,ROWS(MD_HDUEC_Index),1))/$D48/$C48*IF(SI_IP_Units="IP",100000,1000),"")</f>
        <v/>
      </c>
      <c r="Q48" s="982" t="str">
        <f ca="1">IFERROR(SUMPRODUCT(OFFSET(MD_HDUEC_Index,0,MATCH($N$31,MD_HDUEC_Hdr,0)-1,ROWS(MD_HDUEC_Index),1),OFFSET(MD_HDUEC_Index,0,MATCH($O$31,MD_HDUEC_Hdr,0)-1,ROWS(MD_HDUEC_Index),1),--(MD_HDUEC_Index=$B48))/SUMIF(MD_HDUEC_Index,$B48,OFFSET(MD_HDUEC_Index,0,MATCH($N$31,MD_HDUEC_Hdr,0)-1)),"")</f>
        <v/>
      </c>
      <c r="R48" s="983" t="str">
        <f ca="1">IFERROR(SUMPRODUCT(OFFSET(MD_HDUEC_Index,0,MATCH($N$31,MD_HDUEC_Hdr,0)-1,ROWS(MD_HDUEC_Index),1),OFFSET(MD_HDUEC_Index,0,MATCH($P$31,MD_HDUEC_Hdr,0)-1,ROWS(MD_HDUEC_Index),1),--(MD_HDUEC_Index=$B48))/SUMIF(MD_HDUEC_Index,$B48,OFFSET(MD_HDUEC_Index,0,MATCH($N$31,MD_HDUEC_Hdr,0)-1)),"")</f>
        <v/>
      </c>
      <c r="S48" s="984"/>
      <c r="T48" s="818">
        <f ca="1">IFERROR(SUMIF(MD_HDUEC_Index,$B48,OFFSET(MD_HDUEC_Index,0,MATCH($T$31,MD_HDUEC_Hdr,0)-1,ROWS(MD_HDUEC_Index),1)),"")</f>
        <v>0</v>
      </c>
      <c r="U48" s="818">
        <f ca="1">IFERROR(SUMIF(MD_HDUEC_Index,$B48,OFFSET(MD_HDUEC_Index,0,MATCH($U$31,MD_HDUEC_Hdr,0)-1,ROWS(MD_HDUEC_Index),1)),"")</f>
        <v>0</v>
      </c>
      <c r="X48" s="1892"/>
      <c r="HI48"/>
      <c r="HJ48"/>
      <c r="HK48"/>
      <c r="HL48"/>
      <c r="HM48"/>
      <c r="HN48"/>
      <c r="HO48"/>
      <c r="HP48"/>
    </row>
    <row r="49" spans="1:24" x14ac:dyDescent="0.3">
      <c r="A49" s="751" t="s">
        <v>1299</v>
      </c>
      <c r="B49" s="759"/>
      <c r="C49" s="759"/>
      <c r="D49" s="759"/>
      <c r="E49" s="759"/>
      <c r="F49" s="759"/>
      <c r="G49" s="759"/>
      <c r="H49" s="759"/>
      <c r="I49" s="759"/>
      <c r="J49" s="759"/>
      <c r="K49" s="759"/>
      <c r="L49" s="759"/>
      <c r="M49" s="813"/>
      <c r="N49" s="759"/>
      <c r="O49" s="759"/>
      <c r="P49" s="759"/>
      <c r="Q49" s="759"/>
      <c r="R49" s="759"/>
      <c r="S49" s="759"/>
      <c r="T49" s="759"/>
      <c r="U49" s="759"/>
    </row>
    <row r="50" spans="1:24" x14ac:dyDescent="0.3">
      <c r="A50" s="751" t="s">
        <v>1299</v>
      </c>
      <c r="B50" s="759"/>
      <c r="C50" s="759"/>
      <c r="D50" s="759"/>
      <c r="E50" s="759"/>
      <c r="F50" s="759"/>
      <c r="G50" s="759"/>
      <c r="H50" s="759"/>
      <c r="I50" s="759"/>
      <c r="J50" s="759"/>
      <c r="K50" s="759"/>
      <c r="L50" s="759"/>
      <c r="M50" s="813"/>
      <c r="N50" s="759"/>
      <c r="O50" s="759"/>
      <c r="P50" s="759"/>
      <c r="Q50" s="759"/>
      <c r="R50" s="759"/>
      <c r="S50" s="759"/>
      <c r="T50" s="759"/>
      <c r="U50" s="759"/>
    </row>
    <row r="51" spans="1:24" ht="15.6" x14ac:dyDescent="0.3">
      <c r="A51" s="751" t="s">
        <v>1299</v>
      </c>
      <c r="B51" s="26" t="s">
        <v>1562</v>
      </c>
      <c r="C51" s="26"/>
      <c r="D51" s="765"/>
      <c r="E51" s="766"/>
      <c r="F51" s="759"/>
      <c r="G51" s="759"/>
      <c r="H51" s="759"/>
      <c r="I51" s="759"/>
      <c r="J51" s="759"/>
      <c r="K51" s="759"/>
      <c r="L51" s="759"/>
      <c r="M51" s="759"/>
      <c r="N51" s="759"/>
      <c r="O51" s="759"/>
      <c r="P51" s="759"/>
      <c r="Q51" s="759"/>
      <c r="R51" s="759"/>
      <c r="S51" s="759"/>
      <c r="T51" s="759"/>
      <c r="U51" s="759"/>
    </row>
    <row r="52" spans="1:24" x14ac:dyDescent="0.3">
      <c r="A52" s="751" t="s">
        <v>1299</v>
      </c>
      <c r="B52" s="759"/>
      <c r="C52" s="759"/>
      <c r="D52" s="759"/>
      <c r="E52" s="759"/>
      <c r="F52" s="759"/>
      <c r="G52" s="759"/>
      <c r="H52" s="759"/>
      <c r="I52" s="759"/>
      <c r="J52" s="759"/>
      <c r="K52" s="781"/>
      <c r="L52" s="759"/>
      <c r="M52" s="759"/>
      <c r="N52" s="759"/>
      <c r="O52" s="759"/>
      <c r="P52" s="759"/>
      <c r="Q52" s="759"/>
      <c r="R52" s="759"/>
      <c r="S52" s="759"/>
      <c r="T52" s="759"/>
      <c r="U52" s="759"/>
    </row>
    <row r="53" spans="1:24" x14ac:dyDescent="0.3">
      <c r="A53" s="751" t="s">
        <v>1299</v>
      </c>
      <c r="B53" s="886" t="s">
        <v>1563</v>
      </c>
      <c r="C53" s="759"/>
      <c r="D53" s="759"/>
      <c r="E53" s="759"/>
      <c r="F53" s="759"/>
      <c r="G53" s="759"/>
      <c r="H53" s="759"/>
      <c r="I53" s="759"/>
      <c r="J53" s="759"/>
      <c r="K53" s="781"/>
      <c r="L53" s="759"/>
      <c r="M53" s="759"/>
      <c r="N53" s="759"/>
      <c r="O53" s="759"/>
      <c r="P53" s="759"/>
      <c r="Q53" s="759"/>
      <c r="R53" s="759"/>
      <c r="S53" s="759"/>
      <c r="T53" s="759"/>
      <c r="U53" s="759"/>
    </row>
    <row r="54" spans="1:24" x14ac:dyDescent="0.3">
      <c r="A54" s="751" t="s">
        <v>1299</v>
      </c>
      <c r="B54" s="759"/>
      <c r="C54" s="759"/>
      <c r="D54" s="759"/>
      <c r="E54" s="759"/>
      <c r="F54" s="759"/>
      <c r="G54" s="759"/>
      <c r="H54" s="759"/>
      <c r="I54" s="759"/>
      <c r="J54" s="759"/>
      <c r="K54" s="781"/>
      <c r="L54" s="759"/>
      <c r="M54" s="759"/>
      <c r="N54" s="759"/>
      <c r="O54" s="759"/>
      <c r="P54" s="759"/>
      <c r="Q54" s="759"/>
      <c r="R54" s="759"/>
      <c r="S54" s="759"/>
      <c r="T54" s="759"/>
      <c r="U54" s="759"/>
    </row>
    <row r="55" spans="1:24" x14ac:dyDescent="0.3">
      <c r="A55" s="751" t="s">
        <v>1299</v>
      </c>
      <c r="B55" s="2121" t="s">
        <v>1358</v>
      </c>
      <c r="C55" s="2123" t="s">
        <v>1476</v>
      </c>
      <c r="D55" s="2123" t="s">
        <v>1375</v>
      </c>
      <c r="E55" s="2154" t="s">
        <v>1564</v>
      </c>
      <c r="F55" s="2123" t="s">
        <v>1565</v>
      </c>
      <c r="G55" s="2153"/>
      <c r="H55" s="2144" t="s">
        <v>1508</v>
      </c>
      <c r="I55" s="2145"/>
      <c r="J55" s="2145"/>
      <c r="K55" s="2146"/>
      <c r="L55" s="2141"/>
      <c r="M55" s="2144" t="s">
        <v>1514</v>
      </c>
      <c r="N55" s="2145"/>
      <c r="O55" s="2145"/>
      <c r="P55" s="2146"/>
      <c r="Q55" s="2141"/>
      <c r="R55" s="2144" t="str">
        <f>CONCATENATE("Annual Service Hot Water Load ",IF(SI_IP_Units="IP","(gallons/year)","(Liters/year)"))</f>
        <v>Annual Service Hot Water Load (Liters/year)</v>
      </c>
      <c r="S55" s="2145"/>
      <c r="T55" s="2145"/>
      <c r="U55" s="2146"/>
    </row>
    <row r="56" spans="1:24" ht="27.75" customHeight="1" x14ac:dyDescent="0.3">
      <c r="A56" s="751" t="s">
        <v>1299</v>
      </c>
      <c r="B56" s="2153"/>
      <c r="C56" s="2153"/>
      <c r="D56" s="2153"/>
      <c r="E56" s="2153"/>
      <c r="F56" s="2155"/>
      <c r="G56" s="2153"/>
      <c r="H56" s="2132" t="str">
        <f>CONCATENATE("Annual Consumption ",IF(SI_IP_Units="IP","(kWh/year)","kWh/year"))</f>
        <v>Annual Consumption kWh/year</v>
      </c>
      <c r="I56" s="2133"/>
      <c r="J56" s="2115" t="s">
        <v>1475</v>
      </c>
      <c r="K56" s="2117" t="s">
        <v>1474</v>
      </c>
      <c r="L56" s="2142"/>
      <c r="M56" s="2132" t="str">
        <f>CONCATENATE("Annual Consumption ",IF(SI_IP_Units="IP","(therms/year)","kWh/year"))</f>
        <v>Annual Consumption kWh/year</v>
      </c>
      <c r="N56" s="2133"/>
      <c r="O56" s="2115" t="s">
        <v>1475</v>
      </c>
      <c r="P56" s="2117" t="s">
        <v>1474</v>
      </c>
      <c r="Q56" s="2142"/>
      <c r="R56" s="2134" t="s">
        <v>1519</v>
      </c>
      <c r="S56" s="2115" t="s">
        <v>1566</v>
      </c>
      <c r="T56" s="2115" t="s">
        <v>1520</v>
      </c>
      <c r="U56" s="2117" t="s">
        <v>1521</v>
      </c>
    </row>
    <row r="57" spans="1:24" ht="20.25" customHeight="1" x14ac:dyDescent="0.3">
      <c r="A57" s="751" t="s">
        <v>1299</v>
      </c>
      <c r="B57" s="2153"/>
      <c r="C57" s="2153"/>
      <c r="D57" s="2153"/>
      <c r="E57" s="2153"/>
      <c r="F57" s="2155"/>
      <c r="G57" s="2153"/>
      <c r="H57" s="653" t="s">
        <v>347</v>
      </c>
      <c r="I57" s="277" t="s">
        <v>348</v>
      </c>
      <c r="J57" s="2116"/>
      <c r="K57" s="2118"/>
      <c r="L57" s="2143"/>
      <c r="M57" s="653" t="s">
        <v>347</v>
      </c>
      <c r="N57" s="277" t="s">
        <v>348</v>
      </c>
      <c r="O57" s="2116"/>
      <c r="P57" s="2118"/>
      <c r="Q57" s="2143"/>
      <c r="R57" s="2135"/>
      <c r="S57" s="2116"/>
      <c r="T57" s="2116"/>
      <c r="U57" s="2118"/>
    </row>
    <row r="58" spans="1:24" ht="40.200000000000003" x14ac:dyDescent="0.3">
      <c r="A58" s="751" t="s">
        <v>1299</v>
      </c>
      <c r="B58" s="808" t="s">
        <v>1358</v>
      </c>
      <c r="C58" s="808" t="s">
        <v>1525</v>
      </c>
      <c r="D58" s="808" t="s">
        <v>1405</v>
      </c>
      <c r="E58" s="808" t="s">
        <v>1526</v>
      </c>
      <c r="F58" s="809" t="s">
        <v>1527</v>
      </c>
      <c r="G58" s="810"/>
      <c r="H58" s="811" t="s">
        <v>1528</v>
      </c>
      <c r="I58" s="811" t="s">
        <v>1529</v>
      </c>
      <c r="J58" s="812" t="s">
        <v>1530</v>
      </c>
      <c r="K58" s="812" t="s">
        <v>1531</v>
      </c>
      <c r="L58" s="812"/>
      <c r="M58" s="811" t="s">
        <v>1532</v>
      </c>
      <c r="N58" s="811" t="s">
        <v>1533</v>
      </c>
      <c r="O58" s="812" t="s">
        <v>1534</v>
      </c>
      <c r="P58" s="812" t="s">
        <v>1535</v>
      </c>
      <c r="Q58" s="812"/>
      <c r="R58" s="812" t="s">
        <v>1536</v>
      </c>
      <c r="S58" s="812" t="s">
        <v>1537</v>
      </c>
      <c r="T58" s="812" t="s">
        <v>1538</v>
      </c>
      <c r="U58" s="812" t="s">
        <v>1539</v>
      </c>
    </row>
    <row r="59" spans="1:24" hidden="1" x14ac:dyDescent="0.3">
      <c r="A59" s="751" t="s">
        <v>917</v>
      </c>
      <c r="B59" s="1772" t="str">
        <f>GI_Project_Name</f>
        <v>Saudi Aramco Corporate Academy - Dhahran</v>
      </c>
      <c r="C59" s="1773"/>
      <c r="D59" s="597"/>
      <c r="E59" s="1774"/>
      <c r="F59" s="1775">
        <f t="shared" ref="F59:F62" si="18">IFERROR(INDEX(MD_BUS_SumTable,MATCH($B59,MD_BUS_SumIndex,0),MATCH($K$21,MD_BUS_SumHdr,0)),"")</f>
        <v>0</v>
      </c>
      <c r="G59" s="1785"/>
      <c r="H59" s="1776" t="str">
        <f t="shared" ref="H59:H62" si="19">IFERROR((VLOOKUP($C59,Homes_LaundryEqpLookup,2,FALSE)+VLOOKUP($C59,Homes_LaundryEqpLookup,6,FALSE)*$F59)*VLOOKUP($C59,Homes_LaundryEqpLookup,12,FALSE),"")</f>
        <v/>
      </c>
      <c r="I59" s="1776" t="str">
        <f t="shared" ref="I59:I62" si="20">IFERROR(IF($E59="No",$H59,(VLOOKUP($C59,Homes_LaundryEqpLookup,3,FALSE)+VLOOKUP($C59,Homes_LaundryEqpLookup,6,FALSE)*$F59)*VLOOKUP($C59,Homes_LaundryEqpLookup,12,FALSE)),"")</f>
        <v/>
      </c>
      <c r="J59" s="1777" t="str">
        <f t="shared" ref="J59:J62" si="21">IFERROR(VLOOKUP($C59,Homes_LaundryEqpLookup,4,0),"")</f>
        <v/>
      </c>
      <c r="K59" s="1777" t="str">
        <f t="shared" ref="K59:K62" si="22">IFERROR(VLOOKUP($C59,Homes_LaundryEqpLookup,5,0),"")</f>
        <v/>
      </c>
      <c r="L59" s="1785"/>
      <c r="M59" s="1776" t="str">
        <f t="shared" ref="M59:M62" si="23">IFERROR((VLOOKUP($C59,Homes_LaundryEqpLookup,7,FALSE)+VLOOKUP($C59,Homes_LaundryEqpLookup,11,FALSE)*$F59)*VLOOKUP($C59,Homes_LaundryEqpLookup,12,FALSE),"")</f>
        <v/>
      </c>
      <c r="N59" s="1776" t="str">
        <f t="shared" ref="N59:N62" si="24">IFERROR(IF($E59="No",$M59,(VLOOKUP($C59,Homes_LaundryEqpLookup,8,FALSE)+VLOOKUP($C59,Homes_LaundryEqpLookup,11,FALSE)*$F59)*VLOOKUP($C59,Homes_LaundryEqpLookup,12,FALSE)),"")</f>
        <v/>
      </c>
      <c r="O59" s="1777" t="str">
        <f t="shared" ref="O59:O62" si="25">IFERROR(VLOOKUP($C59,Homes_LaundryEqpLookup,9,0),"")</f>
        <v/>
      </c>
      <c r="P59" s="1777" t="str">
        <f t="shared" ref="P59:P62" si="26">IFERROR(VLOOKUP($C59,Homes_LaundryEqpLookup,10,0),"")</f>
        <v/>
      </c>
      <c r="Q59" s="1785"/>
      <c r="R59" s="1778" t="str">
        <f t="shared" ref="R59:R62" si="27">IFERROR(VLOOKUP($C59,Homes_LaundryEqpLookup,13,0),"")</f>
        <v/>
      </c>
      <c r="S59" s="1778" t="str">
        <f t="shared" ref="S59:S62" si="28">IFERROR(VLOOKUP($C59,Homes_LaundryEqpLookup,14,0),"")</f>
        <v/>
      </c>
      <c r="T59" s="1778" t="str">
        <f>IFERROR($R59*$D59,"")</f>
        <v/>
      </c>
      <c r="U59" s="1779" t="str">
        <f>IFERROR($S59*$D59,"")</f>
        <v/>
      </c>
      <c r="X59" s="1892"/>
    </row>
    <row r="60" spans="1:24" x14ac:dyDescent="0.3">
      <c r="A60" s="751"/>
      <c r="B60" s="1729" t="str">
        <f>GI_Project_Name</f>
        <v>Saudi Aramco Corporate Academy - Dhahran</v>
      </c>
      <c r="C60" s="1416"/>
      <c r="D60" s="673"/>
      <c r="E60" s="1731"/>
      <c r="F60" s="1415">
        <f t="shared" si="18"/>
        <v>0</v>
      </c>
      <c r="G60" s="1786"/>
      <c r="H60" s="1735" t="str">
        <f t="shared" si="19"/>
        <v/>
      </c>
      <c r="I60" s="1735" t="str">
        <f t="shared" si="20"/>
        <v/>
      </c>
      <c r="J60" s="1734" t="str">
        <f t="shared" si="21"/>
        <v/>
      </c>
      <c r="K60" s="1734" t="str">
        <f t="shared" si="22"/>
        <v/>
      </c>
      <c r="L60" s="1786"/>
      <c r="M60" s="1735" t="str">
        <f t="shared" si="23"/>
        <v/>
      </c>
      <c r="N60" s="1735" t="str">
        <f t="shared" si="24"/>
        <v/>
      </c>
      <c r="O60" s="1734" t="str">
        <f t="shared" si="25"/>
        <v/>
      </c>
      <c r="P60" s="1734" t="str">
        <f t="shared" si="26"/>
        <v/>
      </c>
      <c r="Q60" s="1786"/>
      <c r="R60" s="1780" t="str">
        <f t="shared" si="27"/>
        <v/>
      </c>
      <c r="S60" s="1780" t="str">
        <f t="shared" si="28"/>
        <v/>
      </c>
      <c r="T60" s="1780" t="str">
        <f>IFERROR($R60*$D60,"")</f>
        <v/>
      </c>
      <c r="U60" s="1781" t="str">
        <f>IFERROR($S60*$D60,"")</f>
        <v/>
      </c>
      <c r="X60" s="1892"/>
    </row>
    <row r="61" spans="1:24" ht="15" customHeight="1" x14ac:dyDescent="0.3">
      <c r="A61" s="837"/>
      <c r="B61" s="1729" t="str">
        <f>GI_Project_Name</f>
        <v>Saudi Aramco Corporate Academy - Dhahran</v>
      </c>
      <c r="C61" s="1416"/>
      <c r="D61" s="673"/>
      <c r="E61" s="1731"/>
      <c r="F61" s="1415">
        <f t="shared" si="18"/>
        <v>0</v>
      </c>
      <c r="G61" s="1786"/>
      <c r="H61" s="1735" t="str">
        <f t="shared" si="19"/>
        <v/>
      </c>
      <c r="I61" s="1735" t="str">
        <f t="shared" si="20"/>
        <v/>
      </c>
      <c r="J61" s="1734" t="str">
        <f t="shared" si="21"/>
        <v/>
      </c>
      <c r="K61" s="1734" t="str">
        <f t="shared" si="22"/>
        <v/>
      </c>
      <c r="L61" s="1786"/>
      <c r="M61" s="1735" t="str">
        <f t="shared" si="23"/>
        <v/>
      </c>
      <c r="N61" s="1735" t="str">
        <f t="shared" si="24"/>
        <v/>
      </c>
      <c r="O61" s="1734" t="str">
        <f t="shared" si="25"/>
        <v/>
      </c>
      <c r="P61" s="1734" t="str">
        <f t="shared" si="26"/>
        <v/>
      </c>
      <c r="Q61" s="1786"/>
      <c r="R61" s="1780" t="str">
        <f t="shared" si="27"/>
        <v/>
      </c>
      <c r="S61" s="1780" t="str">
        <f t="shared" si="28"/>
        <v/>
      </c>
      <c r="T61" s="1780" t="str">
        <f>IFERROR($R61*$D61,"")</f>
        <v/>
      </c>
      <c r="U61" s="1781" t="str">
        <f>IFERROR($S61*$D61,"")</f>
        <v/>
      </c>
      <c r="X61" s="1892"/>
    </row>
    <row r="62" spans="1:24" ht="15" customHeight="1" x14ac:dyDescent="0.3">
      <c r="A62" s="837"/>
      <c r="B62" s="1742" t="str">
        <f>GI_Project_Name</f>
        <v>Saudi Aramco Corporate Academy - Dhahran</v>
      </c>
      <c r="C62" s="1607"/>
      <c r="D62" s="674"/>
      <c r="E62" s="1744"/>
      <c r="F62" s="1782">
        <f t="shared" si="18"/>
        <v>0</v>
      </c>
      <c r="G62" s="1787"/>
      <c r="H62" s="1748" t="str">
        <f t="shared" si="19"/>
        <v/>
      </c>
      <c r="I62" s="1748" t="str">
        <f t="shared" si="20"/>
        <v/>
      </c>
      <c r="J62" s="1747" t="str">
        <f t="shared" si="21"/>
        <v/>
      </c>
      <c r="K62" s="1747" t="str">
        <f t="shared" si="22"/>
        <v/>
      </c>
      <c r="L62" s="1787"/>
      <c r="M62" s="1748" t="str">
        <f t="shared" si="23"/>
        <v/>
      </c>
      <c r="N62" s="1748" t="str">
        <f t="shared" si="24"/>
        <v/>
      </c>
      <c r="O62" s="1747" t="str">
        <f t="shared" si="25"/>
        <v/>
      </c>
      <c r="P62" s="1747" t="str">
        <f t="shared" si="26"/>
        <v/>
      </c>
      <c r="Q62" s="1787"/>
      <c r="R62" s="1783" t="str">
        <f t="shared" si="27"/>
        <v/>
      </c>
      <c r="S62" s="1783" t="str">
        <f t="shared" si="28"/>
        <v/>
      </c>
      <c r="T62" s="1783" t="str">
        <f t="shared" ref="T62" si="29">IFERROR($R62*$D62,"")</f>
        <v/>
      </c>
      <c r="U62" s="1784" t="str">
        <f t="shared" ref="U62" si="30">IFERROR($S62*$D62,"")</f>
        <v/>
      </c>
      <c r="X62" s="1892"/>
    </row>
    <row r="63" spans="1:24" x14ac:dyDescent="0.3">
      <c r="A63" s="751" t="s">
        <v>1299</v>
      </c>
      <c r="B63" s="759"/>
      <c r="C63" s="759"/>
      <c r="D63" s="759"/>
      <c r="E63" s="759"/>
      <c r="F63" s="759"/>
      <c r="G63" s="759"/>
      <c r="H63" s="759"/>
      <c r="I63" s="759"/>
      <c r="J63" s="759"/>
      <c r="K63" s="759"/>
      <c r="L63" s="759"/>
      <c r="M63" s="759"/>
      <c r="N63" s="759"/>
      <c r="O63" s="759"/>
      <c r="P63" s="759"/>
      <c r="Q63" s="759"/>
      <c r="R63" s="759"/>
      <c r="S63" s="759"/>
      <c r="T63" s="759"/>
      <c r="U63" s="759"/>
    </row>
    <row r="64" spans="1:24" x14ac:dyDescent="0.3">
      <c r="A64" s="751" t="s">
        <v>1299</v>
      </c>
      <c r="B64" s="759"/>
      <c r="C64" s="759"/>
      <c r="D64" s="759"/>
      <c r="E64" s="759"/>
      <c r="F64" s="759"/>
      <c r="G64" s="759"/>
      <c r="H64" s="759"/>
      <c r="I64" s="759"/>
      <c r="J64" s="759"/>
      <c r="K64" s="759"/>
      <c r="L64" s="759"/>
      <c r="M64" s="759"/>
      <c r="N64" s="759"/>
      <c r="O64" s="759"/>
      <c r="P64" s="759"/>
      <c r="Q64" s="759"/>
      <c r="R64" s="759"/>
      <c r="S64" s="759"/>
      <c r="T64" s="759"/>
      <c r="U64" s="759"/>
    </row>
    <row r="65" spans="1:24" x14ac:dyDescent="0.3">
      <c r="A65" s="751" t="s">
        <v>1299</v>
      </c>
      <c r="B65" s="759"/>
      <c r="C65" s="759"/>
      <c r="D65" s="759"/>
      <c r="E65" s="759"/>
      <c r="F65" s="759"/>
      <c r="G65" s="759"/>
      <c r="H65" s="759"/>
      <c r="I65" s="759"/>
      <c r="J65" s="759"/>
      <c r="K65" s="759"/>
      <c r="L65" s="759"/>
      <c r="M65" s="759"/>
      <c r="N65" s="759"/>
      <c r="O65" s="759"/>
      <c r="P65" s="759"/>
      <c r="Q65" s="759"/>
      <c r="R65" s="759"/>
      <c r="S65" s="759"/>
      <c r="T65" s="759"/>
      <c r="U65" s="759"/>
    </row>
    <row r="66" spans="1:24" x14ac:dyDescent="0.3">
      <c r="A66" s="751" t="s">
        <v>1299</v>
      </c>
      <c r="B66" s="759"/>
      <c r="C66" s="759"/>
      <c r="D66" s="759"/>
      <c r="E66" s="759"/>
      <c r="F66" s="759"/>
      <c r="G66" s="759"/>
      <c r="H66" s="759"/>
      <c r="I66" s="759"/>
      <c r="J66" s="759"/>
      <c r="K66" s="759"/>
      <c r="L66" s="759"/>
      <c r="M66" s="813"/>
      <c r="N66" s="759"/>
      <c r="O66" s="759"/>
      <c r="P66" s="759"/>
      <c r="Q66" s="759"/>
      <c r="R66" s="759"/>
      <c r="S66" s="759"/>
      <c r="T66" s="759"/>
      <c r="U66" s="759"/>
    </row>
    <row r="67" spans="1:24" ht="15.6" x14ac:dyDescent="0.3">
      <c r="A67" s="751" t="s">
        <v>1299</v>
      </c>
      <c r="B67" s="764" t="s">
        <v>1557</v>
      </c>
      <c r="C67" s="764"/>
      <c r="D67" s="759"/>
      <c r="E67" s="759"/>
      <c r="F67" s="759"/>
      <c r="G67" s="759"/>
      <c r="H67" s="759"/>
      <c r="I67" s="759"/>
      <c r="J67" s="759"/>
      <c r="K67" s="759"/>
      <c r="L67" s="759"/>
      <c r="M67" s="759"/>
      <c r="N67" s="759"/>
      <c r="O67" s="759"/>
      <c r="P67" s="759"/>
      <c r="Q67" s="759"/>
      <c r="R67" s="759"/>
      <c r="S67" s="759"/>
      <c r="T67" s="759"/>
      <c r="U67" s="759"/>
    </row>
    <row r="68" spans="1:24" x14ac:dyDescent="0.3">
      <c r="A68" s="751" t="s">
        <v>1299</v>
      </c>
      <c r="B68" s="759"/>
      <c r="C68" s="759"/>
      <c r="D68" s="759"/>
      <c r="E68" s="759"/>
      <c r="F68" s="759"/>
      <c r="G68" s="759"/>
      <c r="H68" s="759"/>
      <c r="I68" s="759"/>
      <c r="J68" s="759"/>
      <c r="K68" s="781"/>
      <c r="L68" s="759"/>
      <c r="M68" s="759"/>
      <c r="N68" s="759"/>
      <c r="O68" s="759"/>
      <c r="P68" s="759"/>
      <c r="Q68" s="759"/>
      <c r="R68" s="759"/>
      <c r="S68" s="759"/>
      <c r="T68" s="759"/>
      <c r="U68" s="759"/>
    </row>
    <row r="69" spans="1:24" ht="53.25" customHeight="1" x14ac:dyDescent="0.3">
      <c r="A69" s="751" t="s">
        <v>1299</v>
      </c>
      <c r="B69" s="2119" t="str">
        <f xml:space="preserve"> CONCATENATE("Identify the equivalent full load hours of operation and building area for the landury room(s) below. ","In the energy model(s), use the values below for the Baseline and Proposed Miscellaneous Equipment Loads in the Laundry Rooms. These loads include ",IF(SI_IP_Units="IP","0.2 Watts per square foot ","2.15 Watts per square meter"), " of electric miscellaneous equipment load with a 1.0 sensible ratio and 0.0 latent ratio in addition to the equipment load sources selected above."," Note that the Equivalent Full Load Hours of operation noted here must be consistent with that of the energy model in order for the equipment power densities"," listed here to appropriately calculate the annual laundry miscellaneous energy consumption in the energy model.")</f>
        <v>Identify the equivalent full load hours of operation and building area for the landury room(s) below. In the energy model(s), use the values below for the Baseline and Proposed Miscellaneous Equipment Loads in the Laundry Rooms. These loads include 2.15 Watts per square meter of electric miscellaneous equipment load with a 1.0 sensible ratio and 0.0 latent ratio in addition to the equipment load sources selected above. Note that the Equivalent Full Load Hours of operation noted here must be consistent with that of the energy model in order for the equipment power densities listed here to appropriately calculate the annual laundry miscellaneous energy consumption in the energy model.</v>
      </c>
      <c r="C69" s="2120"/>
      <c r="D69" s="2120"/>
      <c r="E69" s="2120"/>
      <c r="F69" s="2120"/>
      <c r="G69" s="2120"/>
      <c r="H69" s="2120"/>
      <c r="I69" s="2120"/>
      <c r="J69" s="2120"/>
      <c r="K69" s="2120"/>
      <c r="L69" s="2120"/>
      <c r="M69" s="2120"/>
      <c r="N69" s="2120"/>
      <c r="O69" s="2120"/>
      <c r="P69" s="2120"/>
      <c r="Q69" s="2120"/>
      <c r="R69" s="2120"/>
      <c r="S69" s="2120"/>
      <c r="T69" s="2120"/>
      <c r="U69" s="2120"/>
    </row>
    <row r="70" spans="1:24" x14ac:dyDescent="0.3">
      <c r="A70" s="751" t="s">
        <v>1299</v>
      </c>
      <c r="B70" s="759"/>
      <c r="C70" s="759"/>
      <c r="D70" s="759"/>
      <c r="E70" s="759"/>
      <c r="F70" s="759"/>
      <c r="G70" s="759"/>
      <c r="H70" s="759"/>
      <c r="I70" s="759"/>
      <c r="J70" s="759"/>
      <c r="K70" s="759"/>
      <c r="L70" s="759"/>
      <c r="M70" s="759"/>
      <c r="N70" s="759"/>
      <c r="O70" s="759"/>
      <c r="P70" s="759"/>
      <c r="Q70" s="759"/>
      <c r="R70" s="759"/>
      <c r="S70" s="759"/>
      <c r="T70" s="759"/>
      <c r="U70" s="759"/>
    </row>
    <row r="71" spans="1:24" ht="27" customHeight="1" x14ac:dyDescent="0.3">
      <c r="A71" s="751" t="s">
        <v>1299</v>
      </c>
      <c r="B71" s="2082" t="s">
        <v>1358</v>
      </c>
      <c r="C71" s="2123" t="s">
        <v>1523</v>
      </c>
      <c r="D71" s="2158" t="str">
        <f>CONCATENATE("Total Area of Laundry Rooms",IF(SI_IP_Units="IP"," (square feet)"," (square meters)"))</f>
        <v>Total Area of Laundry Rooms (square meters)</v>
      </c>
      <c r="E71" s="2161"/>
      <c r="F71" s="2144" t="s">
        <v>1558</v>
      </c>
      <c r="G71" s="2164"/>
      <c r="H71" s="2164"/>
      <c r="I71" s="2164"/>
      <c r="J71" s="2164"/>
      <c r="K71" s="2165"/>
      <c r="L71" s="2166"/>
      <c r="M71" s="2144" t="s">
        <v>1559</v>
      </c>
      <c r="N71" s="2164"/>
      <c r="O71" s="2164"/>
      <c r="P71" s="2164"/>
      <c r="Q71" s="2164"/>
      <c r="R71" s="2165"/>
      <c r="S71" s="2166"/>
      <c r="T71" s="2144" t="str">
        <f>CONCATENATE("Laundry Room Equipment Hot Water Loads ",IF(SI_IP_Units="IP","(gallons/year)","(Liters/year)"))</f>
        <v>Laundry Room Equipment Hot Water Loads (Liters/year)</v>
      </c>
      <c r="U71" s="2146"/>
    </row>
    <row r="72" spans="1:24" x14ac:dyDescent="0.3">
      <c r="A72" s="751" t="s">
        <v>1299</v>
      </c>
      <c r="B72" s="2156"/>
      <c r="C72" s="2153"/>
      <c r="D72" s="2159"/>
      <c r="E72" s="2162"/>
      <c r="F72" s="2132" t="s">
        <v>347</v>
      </c>
      <c r="G72" s="2133"/>
      <c r="H72" s="2133"/>
      <c r="I72" s="2169" t="s">
        <v>348</v>
      </c>
      <c r="J72" s="2170"/>
      <c r="K72" s="2171"/>
      <c r="L72" s="2156"/>
      <c r="M72" s="2132" t="s">
        <v>347</v>
      </c>
      <c r="N72" s="2133"/>
      <c r="O72" s="2133"/>
      <c r="P72" s="2169" t="s">
        <v>348</v>
      </c>
      <c r="Q72" s="2133"/>
      <c r="R72" s="2168"/>
      <c r="S72" s="2156"/>
      <c r="T72" s="2167"/>
      <c r="U72" s="2168"/>
    </row>
    <row r="73" spans="1:24" ht="66" x14ac:dyDescent="0.3">
      <c r="A73" s="751" t="s">
        <v>1299</v>
      </c>
      <c r="B73" s="2157"/>
      <c r="C73" s="2153"/>
      <c r="D73" s="2160"/>
      <c r="E73" s="2163"/>
      <c r="F73" s="653" t="str">
        <f>CONCATENATE("Equipment Power Density ", IF(SI_IP_Units="IP","(Watts/ sq ft)","(Watts/ sq m)"))</f>
        <v>Equipment Power Density (Watts/ sq m)</v>
      </c>
      <c r="G73" s="1769" t="s">
        <v>1475</v>
      </c>
      <c r="H73" s="1769" t="s">
        <v>1474</v>
      </c>
      <c r="I73" s="277" t="str">
        <f>CONCATENATE("Equipment Power Density ", IF(SI_IP_Units="IP","(Watts/ sq ft)","(Watts/ sq m)"))</f>
        <v>Equipment Power Density (Watts/ sq m)</v>
      </c>
      <c r="J73" s="1769" t="s">
        <v>1475</v>
      </c>
      <c r="K73" s="1413" t="s">
        <v>1474</v>
      </c>
      <c r="L73" s="2157"/>
      <c r="M73" s="653" t="str">
        <f>CONCATENATE("Equipment Power Density ",  IF(SI_IP_Units="IP","(Btu/ sq ft)","(Watts/ sq m)"))</f>
        <v>Equipment Power Density (Watts/ sq m)</v>
      </c>
      <c r="N73" s="1769" t="s">
        <v>1475</v>
      </c>
      <c r="O73" s="1769" t="s">
        <v>1474</v>
      </c>
      <c r="P73" s="277" t="str">
        <f>CONCATENATE("Equipment Power Density ", IF(SI_IP_Units="IP","(Btu/ sq ft)","(Watts/ sq m)"))</f>
        <v>Equipment Power Density (Watts/ sq m)</v>
      </c>
      <c r="Q73" s="1769" t="s">
        <v>1475</v>
      </c>
      <c r="R73" s="1413" t="s">
        <v>1474</v>
      </c>
      <c r="S73" s="2157"/>
      <c r="T73" s="1412" t="s">
        <v>1554</v>
      </c>
      <c r="U73" s="280" t="s">
        <v>348</v>
      </c>
    </row>
    <row r="74" spans="1:24" ht="43.2" hidden="1" x14ac:dyDescent="0.3">
      <c r="A74" s="751" t="s">
        <v>1299</v>
      </c>
      <c r="B74" s="820" t="s">
        <v>1358</v>
      </c>
      <c r="C74" s="821" t="s">
        <v>1386</v>
      </c>
      <c r="D74" s="810" t="s">
        <v>1540</v>
      </c>
      <c r="E74" s="838" t="s">
        <v>1515</v>
      </c>
      <c r="F74" s="815" t="s">
        <v>1544</v>
      </c>
      <c r="G74" s="815" t="s">
        <v>1542</v>
      </c>
      <c r="H74" s="817" t="s">
        <v>1543</v>
      </c>
      <c r="I74" s="815" t="s">
        <v>1545</v>
      </c>
      <c r="J74" s="815" t="s">
        <v>1546</v>
      </c>
      <c r="K74" s="817" t="s">
        <v>1547</v>
      </c>
      <c r="L74" s="815" t="s">
        <v>1516</v>
      </c>
      <c r="M74" s="815" t="s">
        <v>1548</v>
      </c>
      <c r="N74" s="817" t="s">
        <v>1549</v>
      </c>
      <c r="O74" s="817" t="s">
        <v>1550</v>
      </c>
      <c r="P74" s="815" t="s">
        <v>1551</v>
      </c>
      <c r="Q74" s="817" t="s">
        <v>1552</v>
      </c>
      <c r="R74" s="817" t="s">
        <v>1553</v>
      </c>
      <c r="S74" s="815" t="s">
        <v>1517</v>
      </c>
      <c r="T74" s="817" t="s">
        <v>1555</v>
      </c>
      <c r="U74" s="817" t="s">
        <v>1556</v>
      </c>
    </row>
    <row r="75" spans="1:24" x14ac:dyDescent="0.3">
      <c r="A75" s="751" t="s">
        <v>1299</v>
      </c>
      <c r="B75" s="985" t="str">
        <f>'Multiple Buildings Details'!B24</f>
        <v>Saudi Aramco Corporate Academy - Dhahran</v>
      </c>
      <c r="C75" s="1963"/>
      <c r="D75" s="1964"/>
      <c r="E75" s="986"/>
      <c r="F75" s="980" t="str">
        <f ca="1">IFERROR(SUMIF(MD_Laundry_Index,$B75,OFFSET(MD_Laundry_Index,0,MATCH($H$58,MD_Laundry_Hdr,0)-1,ROWS(MD_Laundry_Index),1))/$D75*1000/$C75+0.2*(IF(SI_IP_Units="IP",1,2.15)),"")</f>
        <v/>
      </c>
      <c r="G75" s="981" t="str">
        <f ca="1">IFERROR((SUMPRODUCT(OFFSET(MD_Laundry_Index,0,MATCH($H$58,MD_Laundry_Hdr,0)-1,ROWS(MD_Laundry_Index),1),OFFSET(MD_Laundry_Index,0,MATCH($J$58,MD_Laundry_Hdr,0)-1,ROWS(MD_Laundry_Index),1),--(MD_Laundry_Index=$B75))*1000/$C75+IF(SI_IP_Units="IP",0.2,0.2*10.76)*$D75*1)/(SUMIF(MD_Laundry_Index,$B75,(OFFSET(MD_Laundry_Index,0,MATCH($H$58,MD_Laundry_Hdr,0)-1,ROWS(MD_Laundry_Index),1)))*1000/$C75+IF(SI_IP_Units="IP",0.2,0.2*10.76)*$D75),"")</f>
        <v/>
      </c>
      <c r="H75" s="981" t="str">
        <f ca="1">IFERROR((SUMPRODUCT(OFFSET(MD_Laundry_Index,0,MATCH($H$58,MD_Laundry_Hdr,0)-1,ROWS(MD_Laundry_Index),1),OFFSET(MD_Laundry_Index,0,MATCH($K$58,MD_Laundry_Hdr,0)-1,ROWS(MD_Laundry_Index),1),--(MD_Laundry_Index=$B75))*1000/$C75+IF(SI_IP_Units="IP",0.2,0.2*10.76)*$D75*0)/(SUMIF(MD_Laundry_Index,$B75,(OFFSET(MD_Laundry_Index,0,MATCH($H$58,MD_Laundry_Hdr,0)-1,ROWS(MD_Laundry_Index),1)))*1000/$C75+IF(SI_IP_Units="IP",0.2,0.2*10.76)*$D75),"")</f>
        <v/>
      </c>
      <c r="I75" s="818" t="str">
        <f ca="1">IFERROR(SUMIF(MD_Laundry_Index,$B75,OFFSET(MD_Laundry_Index,0,MATCH($I$58,MD_Laundry_Hdr,0)-1,ROWS(MD_Laundry_Index),1))/$D75*1000/$C75+0.2*(IF(SI_IP_Units="IP",1,10.76)),"")</f>
        <v/>
      </c>
      <c r="J75" s="818" t="str">
        <f ca="1">IFERROR((SUMPRODUCT(OFFSET(MD_Laundry_Index,0,MATCH($I$58,MD_Laundry_Hdr,0)-1,ROWS(MD_Laundry_Index),1),OFFSET(MD_Laundry_Index,0,MATCH($J$58,MD_Laundry_Hdr,0)-1,ROWS(MD_Laundry_Index),1),--(MD_Laundry_Index=$B75))*1000/$C75+IF(SI_IP_Units="IP",0.2,0.2*10.76)*$D75*1)/(SUMIF(MD_Laundry_Index,$B75,(OFFSET(MD_Laundry_Index,0,MATCH($I$58,MD_Laundry_Hdr,0)-1,ROWS(MD_Laundry_Index),1)))*1000/$C75+IF(SI_IP_Units="IP",0.2,0.2*10.76)*$D75),"")</f>
        <v/>
      </c>
      <c r="K75" s="981" t="str">
        <f ca="1">IFERROR((SUMPRODUCT(OFFSET(MD_Laundry_Index,0,MATCH($I$58,MD_Laundry_Hdr,0)-1,ROWS(MD_Laundry_Index),1),OFFSET(MD_Laundry_Index,0,MATCH($K$58,MD_Laundry_Hdr,0)-1,ROWS(MD_Laundry_Index),1),--(MD_Laundry_Index=$B75))*1000/$C75+IF(SI_IP_Units="IP",0.2,0.2*10.76)*$D75*0)/(SUMIF(MD_Laundry_Index,$B75,(OFFSET(MD_Laundry_Index,0,MATCH($I$58,MD_Laundry_Hdr,0)-1,ROWS(MD_Laundry_Index),1)))*1000/$C75+IF(SI_IP_Units="IP",0.2,0.2*10.76)*$D75),"")</f>
        <v/>
      </c>
      <c r="L75" s="986"/>
      <c r="M75" s="980" t="str">
        <f ca="1">IFERROR(SUMIF(MD_Laundry_Index,$B75,OFFSET(MD_Laundry_Index,0,MATCH($M$58,MD_Laundry_Hdr,0)-1,ROWS(MD_Laundry_Index),1))/$D75/$C75*IF(SI_IP_Units="IP",100000,1000),"")</f>
        <v/>
      </c>
      <c r="N75" s="818" t="str">
        <f ca="1">IFERROR(SUMPRODUCT(OFFSET(MD_Laundry_Index,0,MATCH($M$58,MD_Laundry_Hdr,0)-1,ROWS(MD_Laundry_Index),1),OFFSET(MD_Laundry_Index,0,MATCH($O$58,MD_Laundry_Hdr,0)-1,ROWS(MD_Laundry_Index),1),--(MD_Laundry_Index=$B75))/SUMIF(MD_Laundry_Index,$B75,OFFSET(MD_Laundry_Index,0,MATCH($M$58,MD_Laundry_Hdr,0)-1)),"")</f>
        <v/>
      </c>
      <c r="O75" s="981" t="str">
        <f ca="1">IFERROR(SUMPRODUCT(OFFSET(MD_Laundry_Index,0,MATCH($M$58,MD_Laundry_Hdr,0)-1,ROWS(MD_Laundry_Index),1),OFFSET(MD_Laundry_Index,0,MATCH($P$58,MD_Laundry_Hdr,0)-1,ROWS(MD_Laundry_Index),1),--(MD_Laundry_Index=$B75))/SUMIF(MD_Laundry_Index,$B75,OFFSET(MD_Laundry_Index,0,MATCH($M$58,MD_Laundry_Hdr,0)-1)),"")</f>
        <v/>
      </c>
      <c r="P75" s="818" t="str">
        <f ca="1">IFERROR(SUMIF(MD_Laundry_Index,$B75,OFFSET(MD_Laundry_Index,0,MATCH($N$58,MD_Laundry_Hdr,0)-1,ROWS(MD_Laundry_Index),1))/$D75/$C75*IF(SI_IP_Units="IP",100000,1000),"")</f>
        <v/>
      </c>
      <c r="Q75" s="818" t="str">
        <f ca="1">IFERROR(SUMPRODUCT(OFFSET(MD_Laundry_Index,0,MATCH($N$58,MD_Laundry_Hdr,0)-1,ROWS(MD_Laundry_Index),1),OFFSET(MD_Laundry_Index,0,MATCH($O$58,MD_Laundry_Hdr,0)-1,ROWS(MD_Laundry_Index),1),--(MD_Laundry_Index=$B75))/SUMIF(MD_Laundry_Index,$B75,OFFSET(MD_Laundry_Index,0,MATCH($N$58,MD_Laundry_Hdr,0)-1)),"")</f>
        <v/>
      </c>
      <c r="R75" s="981" t="str">
        <f ca="1">IFERROR(SUMPRODUCT(OFFSET(MD_Laundry_Index,0,MATCH($N$58,MD_Laundry_Hdr,0)-1,ROWS(MD_Laundry_Index),1),OFFSET(MD_Laundry_Index,0,MATCH($P$58,MD_Laundry_Hdr,0)-1,ROWS(MD_Laundry_Index),1),--(MD_Laundry_Index=$B75))/SUMIF(MD_Laundry_Index,$B75,OFFSET(MD_Laundry_Index,0,MATCH($N$58,MD_Laundry_Hdr,0)-1)),"")</f>
        <v/>
      </c>
      <c r="S75" s="986"/>
      <c r="T75" s="987">
        <f ca="1">IFERROR(SUMIF(MD_Laundry_Index,$B75,OFFSET(MD_Laundry_Index,0,MATCH($T$58,MD_Laundry_Hdr,0)-1,ROWS(MD_Laundry_Index),1)),"")</f>
        <v>0</v>
      </c>
      <c r="U75" s="825">
        <f ca="1">IFERROR(SUMIF(MD_Laundry_Index,$B75,OFFSET(MD_Laundry_Index,0,MATCH($U$58,MD_Laundry_Hdr,0)-1,ROWS(MD_Laundry_Index),1)),"")</f>
        <v>0</v>
      </c>
      <c r="X75" s="1892"/>
    </row>
    <row r="76" spans="1:24" x14ac:dyDescent="0.3">
      <c r="A76" s="751" t="s">
        <v>1299</v>
      </c>
      <c r="B76" s="759"/>
      <c r="C76" s="759"/>
      <c r="D76" s="759"/>
      <c r="E76" s="759"/>
      <c r="F76" s="759"/>
      <c r="G76" s="759"/>
      <c r="H76" s="759"/>
      <c r="I76" s="759"/>
      <c r="J76" s="759"/>
      <c r="K76" s="759"/>
      <c r="L76" s="759"/>
      <c r="M76" s="759"/>
      <c r="N76" s="759"/>
      <c r="O76" s="759"/>
      <c r="P76" s="759"/>
      <c r="Q76" s="759"/>
      <c r="R76" s="759"/>
      <c r="S76" s="759"/>
      <c r="T76" s="759"/>
      <c r="U76" s="759"/>
    </row>
    <row r="77" spans="1:24" x14ac:dyDescent="0.3">
      <c r="A77" s="751" t="s">
        <v>1299</v>
      </c>
      <c r="B77" s="759"/>
      <c r="C77" s="759"/>
      <c r="D77" s="759"/>
      <c r="E77" s="759"/>
      <c r="F77" s="759"/>
      <c r="G77" s="759"/>
      <c r="H77" s="759"/>
      <c r="I77" s="759"/>
      <c r="J77" s="759"/>
      <c r="K77" s="759"/>
      <c r="L77" s="759"/>
      <c r="M77" s="759"/>
      <c r="N77" s="759"/>
      <c r="O77" s="759"/>
      <c r="P77" s="759"/>
      <c r="Q77" s="759"/>
      <c r="R77" s="759"/>
      <c r="S77" s="759"/>
      <c r="T77" s="759"/>
      <c r="U77" s="759"/>
    </row>
    <row r="78" spans="1:24" ht="15.6" x14ac:dyDescent="0.3">
      <c r="A78" s="751" t="s">
        <v>1299</v>
      </c>
      <c r="B78" s="764" t="s">
        <v>1560</v>
      </c>
      <c r="C78" s="759"/>
      <c r="D78" s="759"/>
      <c r="E78" s="759"/>
      <c r="F78" s="759"/>
      <c r="G78" s="759"/>
      <c r="H78" s="759"/>
      <c r="I78" s="759"/>
      <c r="J78" s="759"/>
      <c r="K78" s="759"/>
      <c r="L78" s="759"/>
      <c r="M78" s="759"/>
      <c r="N78" s="759"/>
      <c r="O78" s="759"/>
      <c r="P78" s="759"/>
      <c r="Q78" s="759"/>
      <c r="R78" s="759"/>
      <c r="S78" s="759"/>
      <c r="T78" s="759"/>
      <c r="U78" s="759"/>
    </row>
    <row r="79" spans="1:24" x14ac:dyDescent="0.3">
      <c r="A79" s="751" t="s">
        <v>1299</v>
      </c>
      <c r="C79" s="759"/>
      <c r="D79" s="759"/>
      <c r="E79" s="759"/>
      <c r="F79" s="759"/>
      <c r="G79" s="759"/>
      <c r="H79" s="759"/>
      <c r="I79" s="759"/>
      <c r="J79" s="759"/>
      <c r="K79" s="759"/>
      <c r="L79" s="759"/>
      <c r="M79" s="759"/>
      <c r="N79" s="759"/>
      <c r="O79" s="759"/>
      <c r="P79" s="759"/>
      <c r="Q79" s="759"/>
      <c r="R79" s="759"/>
      <c r="S79" s="759"/>
      <c r="T79" s="759"/>
      <c r="U79" s="759"/>
    </row>
    <row r="80" spans="1:24" ht="27" customHeight="1" x14ac:dyDescent="0.3">
      <c r="A80" s="751" t="s">
        <v>1299</v>
      </c>
      <c r="B80" s="2147" t="s">
        <v>1561</v>
      </c>
      <c r="C80" s="2148"/>
      <c r="D80" s="2148"/>
      <c r="E80" s="2149"/>
      <c r="F80" s="2149"/>
      <c r="G80" s="2149"/>
      <c r="H80" s="2149"/>
      <c r="I80" s="2149"/>
      <c r="J80" s="2150"/>
      <c r="K80" s="2150"/>
      <c r="L80" s="2150"/>
      <c r="M80" s="2150"/>
      <c r="N80" s="2150"/>
      <c r="O80" s="2150"/>
      <c r="P80" s="2150"/>
      <c r="Q80" s="2150"/>
      <c r="R80" s="2151" t="s">
        <v>1368</v>
      </c>
      <c r="S80" s="2149"/>
      <c r="T80" s="2149"/>
      <c r="U80" s="2152"/>
    </row>
    <row r="81" spans="1:24" x14ac:dyDescent="0.3">
      <c r="A81" s="751" t="s">
        <v>1299</v>
      </c>
      <c r="B81" s="1789" t="s">
        <v>1369</v>
      </c>
      <c r="C81" s="2136" t="s">
        <v>1370</v>
      </c>
      <c r="D81" s="2137"/>
      <c r="E81" s="2137"/>
      <c r="F81" s="2137"/>
      <c r="G81" s="2137"/>
      <c r="H81" s="2137"/>
      <c r="I81" s="2137"/>
      <c r="J81" s="2138"/>
      <c r="K81" s="2138"/>
      <c r="L81" s="2138"/>
      <c r="M81" s="2138"/>
      <c r="N81" s="2138"/>
      <c r="O81" s="2138"/>
      <c r="P81" s="2138"/>
      <c r="Q81" s="2138"/>
      <c r="R81" s="1788"/>
      <c r="S81" s="1313">
        <f>IF(SI_IP_Units="IP",12,45)</f>
        <v>45</v>
      </c>
      <c r="T81" s="2139" t="str">
        <f>IF(SI_IP_Units="IP","gallons/day","liters/day")</f>
        <v>liters/day</v>
      </c>
      <c r="U81" s="2140"/>
      <c r="X81" s="1892"/>
    </row>
    <row r="82" spans="1:24" x14ac:dyDescent="0.3">
      <c r="A82" s="751" t="s">
        <v>1299</v>
      </c>
      <c r="B82" s="1790" t="s">
        <v>1371</v>
      </c>
      <c r="C82" s="2136" t="s">
        <v>1372</v>
      </c>
      <c r="D82" s="2137"/>
      <c r="E82" s="2137"/>
      <c r="F82" s="2137"/>
      <c r="G82" s="2137"/>
      <c r="H82" s="2137"/>
      <c r="I82" s="2137"/>
      <c r="J82" s="2138"/>
      <c r="K82" s="2138"/>
      <c r="L82" s="2138"/>
      <c r="M82" s="2138"/>
      <c r="N82" s="2138"/>
      <c r="O82" s="2138"/>
      <c r="P82" s="2138"/>
      <c r="Q82" s="2138"/>
      <c r="R82" s="1788"/>
      <c r="S82" s="1313">
        <f>IF(SI_IP_Units="IP",25,95)</f>
        <v>95</v>
      </c>
      <c r="T82" s="2139" t="str">
        <f>IF(SI_IP_Units="IP","gallons/day","liters/day")</f>
        <v>liters/day</v>
      </c>
      <c r="U82" s="2140"/>
      <c r="X82" s="1892"/>
    </row>
    <row r="83" spans="1:24" x14ac:dyDescent="0.3">
      <c r="A83" s="751" t="s">
        <v>1299</v>
      </c>
      <c r="B83" s="1790" t="s">
        <v>1373</v>
      </c>
      <c r="C83" s="2136" t="s">
        <v>1374</v>
      </c>
      <c r="D83" s="2137"/>
      <c r="E83" s="2137"/>
      <c r="F83" s="2137"/>
      <c r="G83" s="2137"/>
      <c r="H83" s="2137"/>
      <c r="I83" s="2137"/>
      <c r="J83" s="2138"/>
      <c r="K83" s="2138"/>
      <c r="L83" s="2138"/>
      <c r="M83" s="2138"/>
      <c r="N83" s="2138"/>
      <c r="O83" s="2138"/>
      <c r="P83" s="2138"/>
      <c r="Q83" s="2138"/>
      <c r="R83" s="1788"/>
      <c r="S83" s="1313">
        <f>IF(SI_IP_Units="IP",44,167)</f>
        <v>167</v>
      </c>
      <c r="T83" s="2139" t="str">
        <f>IF(SI_IP_Units="IP","gallons/day","liters/day")</f>
        <v>liters/day</v>
      </c>
      <c r="U83" s="2140"/>
      <c r="X83" s="1892"/>
    </row>
    <row r="84" spans="1:24" x14ac:dyDescent="0.3">
      <c r="A84" s="751" t="s">
        <v>1299</v>
      </c>
      <c r="B84" s="759"/>
      <c r="C84" s="759"/>
      <c r="D84" s="759"/>
      <c r="E84" s="759"/>
      <c r="F84" s="759"/>
      <c r="G84" s="759"/>
      <c r="H84" s="759"/>
      <c r="I84" s="759"/>
      <c r="J84" s="759"/>
      <c r="K84" s="759"/>
      <c r="L84" s="759"/>
      <c r="M84" s="759"/>
      <c r="N84" s="759"/>
      <c r="O84" s="759"/>
      <c r="P84" s="759"/>
      <c r="Q84" s="759"/>
      <c r="R84" s="759"/>
      <c r="S84" s="759"/>
      <c r="T84" s="759"/>
      <c r="U84" s="759"/>
    </row>
    <row r="85" spans="1:24" ht="90" customHeight="1" x14ac:dyDescent="0.3">
      <c r="A85" s="751" t="s">
        <v>1299</v>
      </c>
      <c r="B85" s="2119" t="str">
        <f>CONCATENATE("Report the modeled Service Water Heating Full Load Hours of Operation in the Schedules tab before referring to the table below."," The Equivalent Full Load Hours of Operation is used to calculate the DHW modeled peak residential flow a the DHW Heater that must be modeled to be consistent with the annual hot water consumption calculated here."," After confirming the Equivalent Full Load Hours of Operation in the schedules tab,","Identify the residential service water heating usage profile, and the average fixture flows for sink and shower fixtures. Supply temperature at fixture point of use shall be ",IF(SI_IP_Units="IP","120 degrees F","49 degrees C"),". If the modeled supply DHW temperature from the DHW heater is higher than this,"," indicate the supply DHW temperature from the DHW heater and the average cold water input temperature below.","
This information along with the appliance information entered above and the schedule data from the schedules tab is used to determine the DHW modeled Peak Flow at DHW heater,","which should be input into the energy model.")</f>
        <v>Report the modeled Service Water Heating Full Load Hours of Operation in the Schedules tab before referring to the table below. The Equivalent Full Load Hours of Operation is used to calculate the DHW modeled peak residential flow a the DHW Heater that must be modeled to be consistent with the annual hot water consumption calculated here. After confirming the Equivalent Full Load Hours of Operation in the schedules tab,Identify the residential service water heating usage profile, and the average fixture flows for sink and shower fixtures. Supply temperature at fixture point of use shall be 49 degrees C. If the modeled supply DHW temperature from the DHW heater is higher than this, indicate the supply DHW temperature from the DHW heater and the average cold water input temperature below.
This information along with the appliance information entered above and the schedule data from the schedules tab is used to determine the DHW modeled Peak Flow at DHW heater,which should be input into the energy model.</v>
      </c>
      <c r="C85" s="2120"/>
      <c r="D85" s="2120"/>
      <c r="E85" s="2120"/>
      <c r="F85" s="2120"/>
      <c r="G85" s="2120"/>
      <c r="H85" s="2120"/>
      <c r="I85" s="2120"/>
      <c r="J85" s="2120"/>
      <c r="K85" s="2120"/>
      <c r="L85" s="2120"/>
      <c r="M85" s="2120"/>
      <c r="N85" s="2120"/>
      <c r="O85" s="2120"/>
      <c r="P85" s="2120"/>
      <c r="Q85" s="2120"/>
      <c r="R85" s="2120"/>
      <c r="S85" s="2120"/>
      <c r="T85" s="2120"/>
      <c r="U85" s="2120"/>
    </row>
    <row r="86" spans="1:24" x14ac:dyDescent="0.3">
      <c r="A86" s="751" t="s">
        <v>1299</v>
      </c>
      <c r="B86" s="759"/>
      <c r="C86" s="759"/>
      <c r="D86" s="759"/>
      <c r="E86" s="759"/>
      <c r="F86" s="759"/>
      <c r="G86" s="759"/>
      <c r="H86" s="759"/>
      <c r="I86" s="759"/>
      <c r="J86" s="759"/>
      <c r="K86" s="759"/>
      <c r="L86" s="759"/>
      <c r="M86" s="759"/>
      <c r="N86" s="759"/>
      <c r="O86" s="759"/>
      <c r="P86" s="759"/>
      <c r="Q86" s="759"/>
      <c r="R86" s="759"/>
      <c r="S86" s="759"/>
      <c r="T86" s="759"/>
      <c r="U86" s="759"/>
    </row>
    <row r="87" spans="1:24" ht="27.75" customHeight="1" x14ac:dyDescent="0.3">
      <c r="A87" s="751" t="s">
        <v>1299</v>
      </c>
      <c r="B87" s="2121" t="s">
        <v>1358</v>
      </c>
      <c r="C87" s="2123" t="s">
        <v>1567</v>
      </c>
      <c r="D87" s="2090" t="str">
        <f>CONCATENATE("Average Fixture Flows ",IF(SI_IP_Units="IP","(gallons/minute)","(Liters/second)"))</f>
        <v>Average Fixture Flows (Liters/second)</v>
      </c>
      <c r="E87" s="2125"/>
      <c r="F87" s="2090" t="str">
        <f>CONCATENATE("DHW Temperature Settings ",IF(SI_IP_Units="IP","(degrees F)","(degrees C)"))</f>
        <v>DHW Temperature Settings (degrees C)</v>
      </c>
      <c r="G87" s="2128"/>
      <c r="H87" s="2125"/>
      <c r="I87" s="2090" t="str">
        <f>CONCATENATE("DHW Sink and Shower Fixture Loads at Point of Use",IF(SI_IP_Units="IP"," (gallons / year)", "(Liters / year)"))</f>
        <v>DHW Sink and Shower Fixture Loads at Point of Use(Liters / year)</v>
      </c>
      <c r="J87" s="2125"/>
      <c r="K87" s="2090" t="str">
        <f>CONCATENATE("DHW In-Unit Appliance Loads at Point of Use",IF(SI_IP_Units="IP"," (gallons / year)", "(Liters / year)"))</f>
        <v>DHW In-Unit Appliance Loads at Point of Use(Liters / year)</v>
      </c>
      <c r="L87" s="2125"/>
      <c r="M87" s="2090" t="str">
        <f>CONCATENATE("DHW Laundry Room Equipment Loads at Point of Use",IF(SI_IP_Units="IP"," (gallons / year)", "(Liters / year)"))</f>
        <v>DHW Laundry Room Equipment Loads at Point of Use(Liters / year)</v>
      </c>
      <c r="N87" s="2125"/>
      <c r="O87" s="2090" t="str">
        <f>CONCATENATE("DHW Total Residential Loads at Point of Use",IF(SI_IP_Units="IP"," (gallons / year)", "(Liters / year)"))</f>
        <v>DHW Total Residential Loads at Point of Use(Liters / year)</v>
      </c>
      <c r="P87" s="2125"/>
      <c r="Q87" s="2090" t="str">
        <f>CONCATENATE("DHW Total Residential Loads at DHW Heater",IF(SI_IP_Units="IP"," (gallons / year)", "(Liters / year)"))</f>
        <v>DHW Total Residential Loads at DHW Heater(Liters / year)</v>
      </c>
      <c r="R87" s="2125"/>
      <c r="S87" s="2129" t="s">
        <v>1568</v>
      </c>
      <c r="T87" s="2090" t="str">
        <f>CONCATENATE("DHW Modeled Peak Residential Flow at DHW Heater",IF(SI_IP_Units="IP"," (gallons / minute)", "(Liters / second)"))</f>
        <v>DHW Modeled Peak Residential Flow at DHW Heater(Liters / second)</v>
      </c>
      <c r="U87" s="2125"/>
    </row>
    <row r="88" spans="1:24" ht="27.75" customHeight="1" x14ac:dyDescent="0.3">
      <c r="A88" s="751" t="s">
        <v>1299</v>
      </c>
      <c r="B88" s="2121"/>
      <c r="C88" s="2123"/>
      <c r="D88" s="2126"/>
      <c r="E88" s="2127"/>
      <c r="F88" s="2096" t="s">
        <v>1569</v>
      </c>
      <c r="G88" s="2094" t="s">
        <v>1570</v>
      </c>
      <c r="H88" s="2095" t="s">
        <v>1571</v>
      </c>
      <c r="I88" s="2126"/>
      <c r="J88" s="2127"/>
      <c r="K88" s="2126"/>
      <c r="L88" s="2127"/>
      <c r="M88" s="2126"/>
      <c r="N88" s="2127"/>
      <c r="O88" s="2126"/>
      <c r="P88" s="2127"/>
      <c r="Q88" s="2126"/>
      <c r="R88" s="2127"/>
      <c r="S88" s="2129"/>
      <c r="T88" s="2126"/>
      <c r="U88" s="2127"/>
    </row>
    <row r="89" spans="1:24" ht="38.25" customHeight="1" x14ac:dyDescent="0.3">
      <c r="A89" s="751" t="s">
        <v>1299</v>
      </c>
      <c r="B89" s="2122"/>
      <c r="C89" s="2124"/>
      <c r="D89" s="1412" t="s">
        <v>1572</v>
      </c>
      <c r="E89" s="1413" t="s">
        <v>1573</v>
      </c>
      <c r="F89" s="2130"/>
      <c r="G89" s="2131"/>
      <c r="H89" s="2114"/>
      <c r="I89" s="1412" t="s">
        <v>347</v>
      </c>
      <c r="J89" s="1413" t="s">
        <v>348</v>
      </c>
      <c r="K89" s="1412" t="s">
        <v>347</v>
      </c>
      <c r="L89" s="1413" t="s">
        <v>348</v>
      </c>
      <c r="M89" s="1412" t="s">
        <v>347</v>
      </c>
      <c r="N89" s="1413" t="s">
        <v>348</v>
      </c>
      <c r="O89" s="1412" t="s">
        <v>347</v>
      </c>
      <c r="P89" s="1413" t="s">
        <v>348</v>
      </c>
      <c r="Q89" s="1412" t="s">
        <v>347</v>
      </c>
      <c r="R89" s="1413" t="s">
        <v>348</v>
      </c>
      <c r="S89" s="2124"/>
      <c r="T89" s="1412" t="s">
        <v>347</v>
      </c>
      <c r="U89" s="1413" t="s">
        <v>348</v>
      </c>
    </row>
    <row r="90" spans="1:24" ht="53.4" hidden="1" x14ac:dyDescent="0.3">
      <c r="A90" s="751" t="s">
        <v>1299</v>
      </c>
      <c r="B90" s="826" t="s">
        <v>1358</v>
      </c>
      <c r="C90" s="826" t="s">
        <v>1574</v>
      </c>
      <c r="D90" s="827" t="s">
        <v>1575</v>
      </c>
      <c r="E90" s="826" t="s">
        <v>1576</v>
      </c>
      <c r="F90" s="422" t="s">
        <v>1577</v>
      </c>
      <c r="G90" s="828" t="s">
        <v>1578</v>
      </c>
      <c r="H90" s="828" t="s">
        <v>1579</v>
      </c>
      <c r="I90" s="422" t="s">
        <v>1580</v>
      </c>
      <c r="J90" s="828" t="s">
        <v>1581</v>
      </c>
      <c r="K90" s="828" t="s">
        <v>1582</v>
      </c>
      <c r="L90" s="827" t="s">
        <v>1583</v>
      </c>
      <c r="M90" s="422" t="s">
        <v>1584</v>
      </c>
      <c r="N90" s="828" t="s">
        <v>1585</v>
      </c>
      <c r="O90" s="828" t="s">
        <v>1586</v>
      </c>
      <c r="P90" s="422" t="s">
        <v>1587</v>
      </c>
      <c r="Q90" s="828" t="s">
        <v>1588</v>
      </c>
      <c r="R90" s="828" t="s">
        <v>1589</v>
      </c>
      <c r="S90" s="827" t="s">
        <v>1590</v>
      </c>
      <c r="T90" s="828" t="s">
        <v>1591</v>
      </c>
      <c r="U90" s="422" t="s">
        <v>1592</v>
      </c>
    </row>
    <row r="91" spans="1:24" x14ac:dyDescent="0.3">
      <c r="A91" s="751" t="s">
        <v>1299</v>
      </c>
      <c r="B91" s="824" t="str">
        <f>'Multiple Buildings Details'!B24</f>
        <v>Saudi Aramco Corporate Academy - Dhahran</v>
      </c>
      <c r="C91" s="1253"/>
      <c r="D91" s="1254"/>
      <c r="E91" s="1254"/>
      <c r="F91" s="1255"/>
      <c r="G91" s="1256"/>
      <c r="H91" s="992">
        <f>IF(SI_IP_Units="IP",120,CONVERT(120,"F","C"))</f>
        <v>48.888888888888886</v>
      </c>
      <c r="I91" s="825" t="str">
        <f>IFERROR(VLOOKUP($C91,Res_Usage_Profile_Table,18,FALSE)*365*INDEX(MD_BUS_SumTable,MATCH($B91,MD_BUS_SumIndex,0),MATCH($F$21,MD_BUS_SumHdr,0)),"N/A")</f>
        <v>N/A</v>
      </c>
      <c r="J91" s="825" t="str">
        <f>IF(ISERROR(1/$D91/$E91),$I91,IFERROR($I91*IF(SI_IP_Units="IP",(0.36+0.54*$D91/2.5+0.1*$E91/2.2),(0.36+0.54*$D91/0.16+0.1*$E91/0.14)),$I91))</f>
        <v>N/A</v>
      </c>
      <c r="K91" s="993">
        <f ca="1">IFERROR(SUMIF(MD_HDUEC_Index,$B91,OFFSET(MD_HDUEC_Index,0,MATCH($T$31,MD_HDUEC_Hdr,0)-1,ROWS(MD_HDUEC_Index),1)),"N/A")</f>
        <v>0</v>
      </c>
      <c r="L91" s="993">
        <f ca="1">IFERROR(SUMIF(MD_HDUEC_Index,$B91,OFFSET(MD_HDUEC_Index,0,MATCH($U$31,MD_HDUEC_Hdr,0)-1,ROWS(MD_HDUEC_Index),1)),"N/A")</f>
        <v>0</v>
      </c>
      <c r="M91" s="988">
        <f ca="1">IFERROR(SUMIF(MD_Laundry_Index,$B91,OFFSET(MD_Laundry_Index,0,MATCH($T$58,MD_Laundry_Hdr,0)-1,ROWS(MD_Laundry_Index),1)),"N/A")</f>
        <v>0</v>
      </c>
      <c r="N91" s="825">
        <f ca="1">IFERROR(SUMIF(MD_Laundry_Index,$B91,OFFSET(MD_Laundry_Index,0,MATCH($U$58,MD_Laundry_Hdr,0)-1,ROWS(MD_Laundry_Index),1)),"N/A")</f>
        <v>0</v>
      </c>
      <c r="O91" s="993">
        <f ca="1">IFERROR(SUM(I91,K91,M91),0)</f>
        <v>0</v>
      </c>
      <c r="P91" s="993">
        <f ca="1">IFERROR(SUM(J91,L91,N91),0)</f>
        <v>0</v>
      </c>
      <c r="Q91" s="825">
        <f ca="1">IFERROR(IF(ISERROR(1/$G91),O91,($H91-$G91)/($F91-$G91)*O91),O91)</f>
        <v>0</v>
      </c>
      <c r="R91" s="825">
        <f ca="1">IFERROR(IF(ISERROR(1/$G91),P91,($H91-$G91)/($F91-$G91)*P91),P91)</f>
        <v>0</v>
      </c>
      <c r="S91" s="994">
        <f>Schedules!$E$12</f>
        <v>2446</v>
      </c>
      <c r="T91" s="995">
        <f t="shared" ref="T91:U91" ca="1" si="31">IFERROR(IF(SI_IP_Units="IP",Q91/$S91/60,Q91/$S91/60/60),"N/A")</f>
        <v>0</v>
      </c>
      <c r="U91" s="995">
        <f t="shared" ca="1" si="31"/>
        <v>0</v>
      </c>
      <c r="X91" s="1892"/>
    </row>
    <row r="92" spans="1:24" x14ac:dyDescent="0.3">
      <c r="A92" s="751" t="s">
        <v>1299</v>
      </c>
      <c r="B92" s="1791" t="s">
        <v>1593</v>
      </c>
      <c r="C92" s="759"/>
      <c r="D92" s="759"/>
      <c r="E92" s="759"/>
      <c r="F92" s="759"/>
      <c r="G92" s="759"/>
      <c r="H92" s="759"/>
      <c r="I92" s="759"/>
      <c r="J92" s="759"/>
      <c r="K92" s="759"/>
      <c r="L92" s="759"/>
      <c r="M92" s="759"/>
      <c r="N92" s="759"/>
      <c r="O92" s="759"/>
      <c r="P92" s="759"/>
      <c r="Q92" s="759"/>
      <c r="R92" s="759"/>
      <c r="S92" s="759"/>
      <c r="T92" s="759"/>
      <c r="U92" s="759"/>
    </row>
    <row r="93" spans="1:24" x14ac:dyDescent="0.3">
      <c r="A93" s="837"/>
      <c r="B93" s="759"/>
      <c r="C93" s="759"/>
      <c r="D93" s="759"/>
      <c r="E93" s="759"/>
      <c r="F93" s="759"/>
      <c r="G93" s="759"/>
      <c r="H93" s="759"/>
      <c r="I93" s="759"/>
      <c r="J93" s="759"/>
      <c r="K93" s="759"/>
      <c r="L93" s="759"/>
      <c r="M93" s="759"/>
      <c r="N93" s="759"/>
      <c r="O93" s="759"/>
      <c r="P93" s="759"/>
      <c r="Q93" s="759"/>
      <c r="R93" s="759"/>
      <c r="S93" s="759"/>
      <c r="T93" s="759"/>
      <c r="U93" s="759"/>
    </row>
    <row r="94" spans="1:24" x14ac:dyDescent="0.3">
      <c r="A94" s="837"/>
      <c r="B94" s="759"/>
      <c r="C94" s="759"/>
      <c r="D94" s="759"/>
      <c r="E94" s="759"/>
      <c r="F94" s="759"/>
      <c r="G94" s="759"/>
      <c r="H94" s="759"/>
      <c r="I94" s="759"/>
      <c r="J94" s="759"/>
      <c r="K94" s="759"/>
      <c r="L94" s="759"/>
      <c r="M94" s="759"/>
      <c r="N94" s="759"/>
      <c r="O94" s="759"/>
      <c r="P94" s="759"/>
      <c r="Q94" s="759"/>
      <c r="R94" s="759"/>
      <c r="S94" s="759"/>
      <c r="T94" s="759"/>
      <c r="U94" s="759"/>
    </row>
    <row r="95" spans="1:24" x14ac:dyDescent="0.3">
      <c r="A95" s="759"/>
      <c r="B95" s="759"/>
      <c r="C95" s="759"/>
      <c r="D95" s="759"/>
      <c r="E95" s="759"/>
      <c r="F95" s="759"/>
      <c r="G95" s="759"/>
      <c r="H95" s="759"/>
      <c r="I95" s="759"/>
      <c r="J95" s="759"/>
      <c r="K95" s="759"/>
      <c r="L95" s="759"/>
      <c r="M95" s="759"/>
      <c r="N95" s="759"/>
      <c r="O95" s="759"/>
      <c r="P95" s="759"/>
      <c r="Q95" s="759"/>
      <c r="R95" s="759"/>
      <c r="S95" s="759"/>
      <c r="T95" s="759"/>
      <c r="U95" s="759"/>
    </row>
    <row r="96" spans="1:24" x14ac:dyDescent="0.3">
      <c r="A96" s="759"/>
      <c r="B96" s="759"/>
      <c r="C96" s="759"/>
      <c r="D96" s="759"/>
      <c r="E96" s="759"/>
      <c r="F96" s="759"/>
      <c r="G96" s="759"/>
      <c r="H96" s="759"/>
      <c r="I96" s="759"/>
      <c r="J96" s="759"/>
      <c r="K96" s="759"/>
      <c r="L96" s="759"/>
      <c r="M96" s="759"/>
      <c r="N96" s="759"/>
      <c r="O96" s="759"/>
      <c r="P96" s="759"/>
      <c r="Q96" s="759"/>
      <c r="R96" s="759"/>
      <c r="S96" s="759"/>
      <c r="T96" s="759"/>
      <c r="U96" s="759"/>
    </row>
    <row r="97" spans="1:21" x14ac:dyDescent="0.3">
      <c r="A97" s="759"/>
      <c r="B97" s="759"/>
      <c r="C97" s="759"/>
      <c r="D97" s="759"/>
      <c r="E97" s="759"/>
      <c r="F97" s="759"/>
      <c r="G97" s="759"/>
      <c r="H97" s="759"/>
      <c r="I97" s="759"/>
      <c r="J97" s="759"/>
      <c r="K97" s="759"/>
      <c r="L97" s="759"/>
      <c r="M97" s="759"/>
      <c r="N97" s="759"/>
      <c r="O97" s="759"/>
      <c r="P97" s="759"/>
      <c r="Q97" s="759"/>
      <c r="R97" s="759"/>
      <c r="S97" s="759"/>
      <c r="T97" s="759"/>
      <c r="U97" s="759"/>
    </row>
    <row r="98" spans="1:21" x14ac:dyDescent="0.3">
      <c r="A98" s="759"/>
      <c r="B98" s="759"/>
      <c r="C98" s="759"/>
      <c r="D98" s="759"/>
      <c r="E98" s="759"/>
      <c r="F98" s="759"/>
      <c r="G98" s="759"/>
      <c r="H98" s="759"/>
      <c r="I98" s="759"/>
      <c r="J98" s="759"/>
      <c r="K98" s="759"/>
      <c r="L98" s="759"/>
      <c r="M98" s="759"/>
      <c r="N98" s="759"/>
      <c r="O98" s="759"/>
      <c r="P98" s="759"/>
      <c r="Q98" s="759"/>
      <c r="R98" s="759"/>
      <c r="S98" s="759"/>
      <c r="T98" s="759"/>
      <c r="U98" s="759"/>
    </row>
    <row r="99" spans="1:21" x14ac:dyDescent="0.3">
      <c r="A99" s="759"/>
      <c r="B99" s="759"/>
      <c r="C99" s="759"/>
      <c r="D99" s="759"/>
      <c r="E99" s="759"/>
      <c r="F99" s="759"/>
      <c r="G99" s="759"/>
      <c r="H99" s="759"/>
      <c r="I99" s="759"/>
      <c r="J99" s="759"/>
      <c r="K99" s="759"/>
      <c r="L99" s="759"/>
      <c r="M99" s="759"/>
      <c r="N99" s="759"/>
      <c r="O99" s="759"/>
      <c r="P99" s="759"/>
      <c r="Q99" s="759"/>
      <c r="R99" s="759"/>
      <c r="S99" s="759"/>
      <c r="T99" s="759"/>
      <c r="U99" s="759"/>
    </row>
    <row r="100" spans="1:21" x14ac:dyDescent="0.3">
      <c r="A100" s="759"/>
      <c r="B100" s="759"/>
      <c r="C100" s="759"/>
      <c r="D100" s="759"/>
      <c r="E100" s="759"/>
      <c r="F100" s="759"/>
      <c r="G100" s="759"/>
      <c r="H100" s="759"/>
      <c r="I100" s="759"/>
      <c r="J100" s="759"/>
      <c r="K100" s="759"/>
      <c r="L100" s="759"/>
      <c r="M100" s="759"/>
      <c r="N100" s="759"/>
      <c r="O100" s="759"/>
      <c r="P100" s="759"/>
      <c r="Q100" s="759"/>
      <c r="R100" s="759"/>
      <c r="S100" s="759"/>
      <c r="T100" s="759"/>
      <c r="U100" s="759"/>
    </row>
    <row r="101" spans="1:21" x14ac:dyDescent="0.3">
      <c r="A101" s="759"/>
      <c r="B101" s="759"/>
      <c r="C101" s="759"/>
      <c r="D101" s="759"/>
      <c r="E101" s="759"/>
      <c r="F101" s="759"/>
      <c r="G101" s="759"/>
      <c r="H101" s="759"/>
      <c r="I101" s="759"/>
      <c r="J101" s="759"/>
      <c r="K101" s="759"/>
      <c r="L101" s="759"/>
      <c r="M101" s="759"/>
      <c r="N101" s="759"/>
      <c r="O101" s="759"/>
      <c r="P101" s="759"/>
      <c r="Q101" s="759"/>
      <c r="R101" s="759"/>
      <c r="S101" s="759"/>
      <c r="T101" s="759"/>
      <c r="U101" s="759"/>
    </row>
    <row r="102" spans="1:21" x14ac:dyDescent="0.3">
      <c r="A102" s="759"/>
      <c r="B102" s="759"/>
      <c r="C102" s="759"/>
      <c r="D102" s="759"/>
      <c r="E102" s="759"/>
      <c r="F102" s="759"/>
      <c r="G102" s="759"/>
      <c r="H102" s="759"/>
      <c r="I102" s="759"/>
      <c r="J102" s="759"/>
      <c r="K102" s="759"/>
      <c r="L102" s="759"/>
      <c r="M102" s="759"/>
      <c r="N102" s="759"/>
      <c r="O102" s="759"/>
      <c r="P102" s="759"/>
      <c r="Q102" s="759"/>
      <c r="R102" s="759"/>
      <c r="S102" s="759"/>
      <c r="T102" s="759"/>
      <c r="U102" s="759"/>
    </row>
    <row r="103" spans="1:21" x14ac:dyDescent="0.3">
      <c r="A103" s="759"/>
      <c r="B103" s="759"/>
      <c r="C103" s="759"/>
      <c r="D103" s="759"/>
      <c r="E103" s="759"/>
      <c r="F103" s="759"/>
      <c r="G103" s="759"/>
      <c r="H103" s="759"/>
      <c r="I103" s="759"/>
      <c r="J103" s="759"/>
      <c r="K103" s="759"/>
      <c r="L103" s="759"/>
      <c r="M103" s="759"/>
      <c r="N103" s="759"/>
      <c r="O103" s="759"/>
      <c r="P103" s="759"/>
      <c r="Q103" s="759"/>
      <c r="R103" s="759"/>
      <c r="S103" s="759"/>
      <c r="T103" s="759"/>
      <c r="U103" s="759"/>
    </row>
    <row r="104" spans="1:21" x14ac:dyDescent="0.3">
      <c r="A104" s="759"/>
      <c r="B104" s="759"/>
      <c r="C104" s="759"/>
      <c r="D104" s="759"/>
      <c r="E104" s="759"/>
      <c r="F104" s="759"/>
      <c r="G104" s="759"/>
      <c r="H104" s="759"/>
      <c r="I104" s="759"/>
      <c r="J104" s="759"/>
      <c r="K104" s="759"/>
      <c r="L104" s="759"/>
      <c r="M104" s="759"/>
      <c r="N104" s="759"/>
      <c r="O104" s="759"/>
      <c r="P104" s="759"/>
      <c r="Q104" s="759"/>
      <c r="R104" s="759"/>
      <c r="S104" s="759"/>
      <c r="T104" s="759"/>
      <c r="U104" s="759"/>
    </row>
    <row r="105" spans="1:21" x14ac:dyDescent="0.3">
      <c r="A105" s="759"/>
      <c r="B105" s="759"/>
      <c r="C105" s="759"/>
      <c r="D105" s="759"/>
      <c r="E105" s="759"/>
      <c r="F105" s="759"/>
      <c r="G105" s="759"/>
      <c r="H105" s="759"/>
      <c r="I105" s="759"/>
      <c r="J105" s="759"/>
      <c r="K105" s="759"/>
      <c r="L105" s="759"/>
      <c r="M105" s="759"/>
      <c r="N105" s="759"/>
      <c r="O105" s="759"/>
      <c r="P105" s="759"/>
      <c r="Q105" s="759"/>
      <c r="R105" s="759"/>
      <c r="S105" s="759"/>
      <c r="T105" s="759"/>
      <c r="U105" s="759"/>
    </row>
    <row r="106" spans="1:21" x14ac:dyDescent="0.3">
      <c r="A106" s="759"/>
      <c r="B106" s="759"/>
      <c r="C106" s="759"/>
      <c r="D106" s="759"/>
      <c r="E106" s="759"/>
      <c r="F106" s="759"/>
      <c r="G106" s="759"/>
      <c r="H106" s="759"/>
      <c r="I106" s="759"/>
      <c r="J106" s="759"/>
      <c r="K106" s="759"/>
      <c r="L106" s="759"/>
      <c r="M106" s="759"/>
      <c r="N106" s="759"/>
      <c r="O106" s="759"/>
      <c r="P106" s="759"/>
      <c r="Q106" s="759"/>
      <c r="R106" s="759"/>
      <c r="S106" s="759"/>
      <c r="T106" s="759"/>
      <c r="U106" s="759"/>
    </row>
    <row r="107" spans="1:21" x14ac:dyDescent="0.3">
      <c r="A107" s="759"/>
      <c r="B107" s="759"/>
      <c r="C107" s="759"/>
      <c r="D107" s="759"/>
      <c r="E107" s="759"/>
      <c r="F107" s="759"/>
      <c r="G107" s="759"/>
      <c r="H107" s="759"/>
      <c r="I107" s="759"/>
      <c r="J107" s="759"/>
      <c r="K107" s="759"/>
      <c r="L107" s="759"/>
      <c r="M107" s="759"/>
      <c r="N107" s="759"/>
      <c r="O107" s="759"/>
      <c r="P107" s="759"/>
      <c r="Q107" s="759"/>
      <c r="R107" s="759"/>
      <c r="S107" s="759"/>
      <c r="T107" s="759"/>
      <c r="U107" s="759"/>
    </row>
    <row r="108" spans="1:21" x14ac:dyDescent="0.3">
      <c r="A108" s="759"/>
      <c r="B108" s="759"/>
      <c r="C108" s="759"/>
      <c r="D108" s="759"/>
      <c r="E108" s="759"/>
      <c r="F108" s="759"/>
      <c r="G108" s="759"/>
      <c r="H108" s="759"/>
      <c r="I108" s="759"/>
      <c r="J108" s="759"/>
      <c r="K108" s="759"/>
      <c r="L108" s="759"/>
      <c r="M108" s="759"/>
      <c r="N108" s="759"/>
      <c r="O108" s="759"/>
      <c r="P108" s="759"/>
      <c r="Q108" s="759"/>
      <c r="R108" s="759"/>
      <c r="S108" s="759"/>
      <c r="T108" s="759"/>
      <c r="U108" s="759"/>
    </row>
    <row r="109" spans="1:21" x14ac:dyDescent="0.3">
      <c r="A109" s="759"/>
      <c r="B109" s="759"/>
      <c r="C109" s="759"/>
      <c r="D109" s="759"/>
      <c r="E109" s="759"/>
      <c r="F109" s="759"/>
      <c r="G109" s="759"/>
      <c r="H109" s="759"/>
      <c r="I109" s="759"/>
      <c r="J109" s="759"/>
      <c r="K109" s="759"/>
      <c r="L109" s="759"/>
      <c r="M109" s="759"/>
      <c r="N109" s="759"/>
      <c r="O109" s="759"/>
      <c r="P109" s="759"/>
      <c r="Q109" s="759"/>
      <c r="R109" s="759"/>
      <c r="S109" s="759"/>
      <c r="T109" s="759"/>
      <c r="U109" s="759"/>
    </row>
    <row r="110" spans="1:21" x14ac:dyDescent="0.3">
      <c r="A110" s="759"/>
      <c r="B110" s="759"/>
      <c r="C110" s="759"/>
      <c r="D110" s="759"/>
      <c r="E110" s="759"/>
      <c r="F110" s="759"/>
      <c r="G110" s="759"/>
      <c r="H110" s="759"/>
      <c r="I110" s="759"/>
      <c r="J110" s="759"/>
      <c r="K110" s="759"/>
      <c r="L110" s="759"/>
      <c r="M110" s="759"/>
      <c r="N110" s="759"/>
      <c r="O110" s="759"/>
      <c r="P110" s="759"/>
      <c r="Q110" s="759"/>
      <c r="R110" s="759"/>
      <c r="S110" s="759"/>
      <c r="T110" s="759"/>
      <c r="U110" s="759"/>
    </row>
    <row r="111" spans="1:21" x14ac:dyDescent="0.3">
      <c r="A111" s="759"/>
      <c r="B111" s="759"/>
      <c r="C111" s="759"/>
      <c r="D111" s="759"/>
      <c r="E111" s="759"/>
      <c r="F111" s="759"/>
      <c r="G111" s="759"/>
      <c r="H111" s="759"/>
      <c r="I111" s="759"/>
      <c r="J111" s="759"/>
      <c r="K111" s="759"/>
      <c r="L111" s="759"/>
      <c r="M111" s="759"/>
      <c r="N111" s="759"/>
      <c r="O111" s="759"/>
      <c r="P111" s="759"/>
      <c r="Q111" s="759"/>
      <c r="R111" s="759"/>
      <c r="S111" s="759"/>
      <c r="T111" s="759"/>
      <c r="U111" s="759"/>
    </row>
    <row r="112" spans="1:21" x14ac:dyDescent="0.3">
      <c r="A112" s="759"/>
      <c r="B112" s="759"/>
      <c r="C112" s="759"/>
      <c r="D112" s="759"/>
      <c r="E112" s="759"/>
      <c r="F112" s="759"/>
      <c r="G112" s="759"/>
      <c r="H112" s="759"/>
      <c r="I112" s="759"/>
      <c r="J112" s="759"/>
      <c r="K112" s="759"/>
      <c r="L112" s="759"/>
      <c r="M112" s="759"/>
      <c r="N112" s="759"/>
      <c r="O112" s="759"/>
      <c r="P112" s="759"/>
      <c r="Q112" s="759"/>
      <c r="R112" s="759"/>
      <c r="S112" s="759"/>
      <c r="T112" s="759"/>
      <c r="U112" s="759"/>
    </row>
    <row r="113" spans="1:21" x14ac:dyDescent="0.3">
      <c r="A113" s="759"/>
      <c r="B113" s="759"/>
      <c r="C113" s="759"/>
      <c r="D113" s="759"/>
      <c r="E113" s="759"/>
      <c r="F113" s="759"/>
      <c r="G113" s="759"/>
      <c r="H113" s="759"/>
      <c r="I113" s="759"/>
      <c r="J113" s="759"/>
      <c r="K113" s="759"/>
      <c r="L113" s="759"/>
      <c r="M113" s="759"/>
      <c r="N113" s="759"/>
      <c r="O113" s="759"/>
      <c r="P113" s="759"/>
      <c r="Q113" s="759"/>
      <c r="R113" s="759"/>
      <c r="S113" s="759"/>
      <c r="T113" s="759"/>
      <c r="U113" s="759"/>
    </row>
    <row r="114" spans="1:21" x14ac:dyDescent="0.3">
      <c r="A114" s="759"/>
      <c r="B114" s="759"/>
      <c r="C114" s="759"/>
      <c r="D114" s="759"/>
      <c r="E114" s="759"/>
      <c r="F114" s="759"/>
      <c r="G114" s="759"/>
      <c r="H114" s="759"/>
      <c r="I114" s="759"/>
      <c r="J114" s="759"/>
      <c r="K114" s="759"/>
      <c r="L114" s="759"/>
      <c r="M114" s="759"/>
      <c r="N114" s="759"/>
      <c r="O114" s="759"/>
      <c r="P114" s="759"/>
      <c r="Q114" s="759"/>
      <c r="R114" s="759"/>
      <c r="S114" s="759"/>
      <c r="T114" s="759"/>
      <c r="U114" s="759"/>
    </row>
    <row r="115" spans="1:21" x14ac:dyDescent="0.3">
      <c r="A115" s="759"/>
      <c r="B115" s="759"/>
      <c r="C115" s="759"/>
      <c r="D115" s="759"/>
      <c r="E115" s="759"/>
      <c r="F115" s="759"/>
      <c r="G115" s="759"/>
      <c r="H115" s="759"/>
      <c r="I115" s="759"/>
      <c r="J115" s="759"/>
      <c r="K115" s="759"/>
      <c r="L115" s="759"/>
      <c r="M115" s="759"/>
      <c r="N115" s="759"/>
      <c r="O115" s="759"/>
      <c r="P115" s="759"/>
      <c r="Q115" s="759"/>
      <c r="R115" s="759"/>
      <c r="S115" s="759"/>
      <c r="T115" s="759"/>
      <c r="U115" s="759"/>
    </row>
    <row r="116" spans="1:21" x14ac:dyDescent="0.3">
      <c r="A116" s="759"/>
      <c r="B116" s="759"/>
      <c r="C116" s="759"/>
      <c r="D116" s="759"/>
      <c r="E116" s="759"/>
      <c r="F116" s="759"/>
      <c r="G116" s="759"/>
      <c r="H116" s="759"/>
      <c r="I116" s="759"/>
      <c r="J116" s="759"/>
      <c r="K116" s="759"/>
      <c r="L116" s="759"/>
      <c r="M116" s="759"/>
      <c r="N116" s="759"/>
      <c r="O116" s="759"/>
      <c r="P116" s="759"/>
      <c r="Q116" s="759"/>
      <c r="R116" s="759"/>
      <c r="S116" s="759"/>
      <c r="T116" s="759"/>
      <c r="U116" s="759"/>
    </row>
    <row r="117" spans="1:21" x14ac:dyDescent="0.3">
      <c r="A117" s="759"/>
      <c r="B117" s="759"/>
      <c r="C117" s="759"/>
      <c r="D117" s="759"/>
      <c r="E117" s="759"/>
      <c r="F117" s="759"/>
      <c r="G117" s="759"/>
      <c r="H117" s="759"/>
      <c r="I117" s="759"/>
      <c r="J117" s="759"/>
      <c r="K117" s="759"/>
      <c r="L117" s="759"/>
      <c r="M117" s="759"/>
      <c r="N117" s="759"/>
      <c r="O117" s="759"/>
      <c r="P117" s="759"/>
      <c r="Q117" s="759"/>
      <c r="R117" s="759"/>
      <c r="S117" s="759"/>
      <c r="T117" s="759"/>
      <c r="U117" s="759"/>
    </row>
    <row r="118" spans="1:21" x14ac:dyDescent="0.3">
      <c r="A118" s="759"/>
      <c r="B118" s="759"/>
      <c r="C118" s="759"/>
      <c r="D118" s="759"/>
      <c r="E118" s="759"/>
      <c r="F118" s="759"/>
      <c r="G118" s="759"/>
      <c r="H118" s="759"/>
      <c r="I118" s="759"/>
      <c r="J118" s="759"/>
      <c r="K118" s="759"/>
      <c r="L118" s="759"/>
      <c r="M118" s="759"/>
      <c r="N118" s="759"/>
      <c r="O118" s="759"/>
      <c r="P118" s="759"/>
      <c r="Q118" s="759"/>
      <c r="R118" s="759"/>
      <c r="S118" s="759"/>
      <c r="T118" s="759"/>
      <c r="U118" s="759"/>
    </row>
    <row r="119" spans="1:21" x14ac:dyDescent="0.3">
      <c r="A119" s="759"/>
      <c r="B119" s="759"/>
      <c r="C119" s="759"/>
      <c r="D119" s="759"/>
      <c r="E119" s="759"/>
      <c r="F119" s="759"/>
      <c r="G119" s="759"/>
      <c r="H119" s="759"/>
      <c r="I119" s="759"/>
      <c r="J119" s="759"/>
      <c r="K119" s="759"/>
      <c r="L119" s="759"/>
      <c r="M119" s="759"/>
      <c r="N119" s="759"/>
      <c r="O119" s="759"/>
      <c r="P119" s="759"/>
      <c r="Q119" s="759"/>
      <c r="R119" s="759"/>
      <c r="S119" s="759"/>
      <c r="T119" s="759"/>
      <c r="U119" s="759"/>
    </row>
    <row r="120" spans="1:21" x14ac:dyDescent="0.3">
      <c r="A120" s="759"/>
      <c r="B120" s="759"/>
      <c r="C120" s="759"/>
      <c r="D120" s="759"/>
      <c r="E120" s="759"/>
      <c r="F120" s="759"/>
      <c r="G120" s="759"/>
      <c r="H120" s="759"/>
      <c r="I120" s="759"/>
      <c r="J120" s="759"/>
      <c r="K120" s="759"/>
      <c r="L120" s="759"/>
      <c r="M120" s="759"/>
      <c r="N120" s="759"/>
      <c r="O120" s="759"/>
      <c r="P120" s="759"/>
      <c r="Q120" s="759"/>
      <c r="R120" s="759"/>
      <c r="S120" s="759"/>
      <c r="T120" s="759"/>
      <c r="U120" s="759"/>
    </row>
    <row r="121" spans="1:21" x14ac:dyDescent="0.3">
      <c r="A121" s="759"/>
      <c r="B121" s="759"/>
      <c r="C121" s="759"/>
      <c r="D121" s="759"/>
      <c r="E121" s="759"/>
      <c r="F121" s="759"/>
      <c r="G121" s="759"/>
      <c r="H121" s="759"/>
      <c r="I121" s="759"/>
      <c r="J121" s="759"/>
      <c r="K121" s="759"/>
      <c r="L121" s="759"/>
      <c r="M121" s="759"/>
      <c r="N121" s="759"/>
      <c r="O121" s="759"/>
      <c r="P121" s="759"/>
      <c r="Q121" s="759"/>
      <c r="R121" s="759"/>
      <c r="S121" s="759"/>
      <c r="T121" s="759"/>
      <c r="U121" s="759"/>
    </row>
    <row r="122" spans="1:21" x14ac:dyDescent="0.3">
      <c r="A122" s="759"/>
      <c r="B122" s="759"/>
      <c r="C122" s="759"/>
      <c r="D122" s="759"/>
      <c r="E122" s="759"/>
      <c r="F122" s="759"/>
      <c r="G122" s="759"/>
      <c r="H122" s="759"/>
      <c r="I122" s="759"/>
      <c r="J122" s="759"/>
      <c r="K122" s="759"/>
      <c r="L122" s="759"/>
      <c r="M122" s="759"/>
      <c r="N122" s="759"/>
      <c r="O122" s="759"/>
      <c r="P122" s="759"/>
      <c r="Q122" s="759"/>
      <c r="R122" s="759"/>
      <c r="S122" s="759"/>
      <c r="T122" s="759"/>
      <c r="U122" s="759"/>
    </row>
    <row r="123" spans="1:21" x14ac:dyDescent="0.3">
      <c r="A123" s="759"/>
      <c r="B123" s="759"/>
      <c r="C123" s="759"/>
      <c r="D123" s="759"/>
      <c r="E123" s="759"/>
      <c r="F123" s="759"/>
      <c r="G123" s="759"/>
      <c r="H123" s="759"/>
      <c r="I123" s="759"/>
      <c r="J123" s="759"/>
      <c r="K123" s="759"/>
      <c r="L123" s="759"/>
      <c r="M123" s="759"/>
      <c r="N123" s="759"/>
      <c r="O123" s="759"/>
      <c r="P123" s="759"/>
      <c r="Q123" s="759"/>
      <c r="R123" s="759"/>
      <c r="S123" s="759"/>
      <c r="T123" s="759"/>
      <c r="U123" s="759"/>
    </row>
    <row r="124" spans="1:21" x14ac:dyDescent="0.3">
      <c r="A124" s="759"/>
      <c r="B124" s="759"/>
      <c r="C124" s="759"/>
      <c r="D124" s="759"/>
      <c r="E124" s="759"/>
      <c r="F124" s="759"/>
      <c r="G124" s="759"/>
      <c r="H124" s="759"/>
      <c r="I124" s="759"/>
      <c r="J124" s="759"/>
      <c r="K124" s="759"/>
      <c r="L124" s="759"/>
      <c r="M124" s="759"/>
      <c r="N124" s="759"/>
      <c r="O124" s="759"/>
      <c r="P124" s="759"/>
      <c r="Q124" s="759"/>
      <c r="R124" s="759"/>
      <c r="S124" s="759"/>
      <c r="T124" s="759"/>
      <c r="U124" s="759"/>
    </row>
    <row r="125" spans="1:21" x14ac:dyDescent="0.3">
      <c r="A125" s="759"/>
      <c r="B125" s="759"/>
      <c r="C125" s="759"/>
      <c r="D125" s="759"/>
      <c r="E125" s="759"/>
      <c r="F125" s="759"/>
      <c r="G125" s="759"/>
      <c r="H125" s="759"/>
      <c r="I125" s="759"/>
      <c r="J125" s="759"/>
      <c r="K125" s="759"/>
      <c r="L125" s="759"/>
      <c r="M125" s="759"/>
      <c r="N125" s="759"/>
      <c r="O125" s="759"/>
      <c r="P125" s="759"/>
      <c r="Q125" s="759"/>
      <c r="R125" s="759"/>
      <c r="S125" s="759"/>
      <c r="T125" s="759"/>
      <c r="U125" s="759"/>
    </row>
    <row r="126" spans="1:21" x14ac:dyDescent="0.3">
      <c r="A126" s="759"/>
      <c r="B126" s="759"/>
      <c r="C126" s="759"/>
      <c r="D126" s="759"/>
      <c r="E126" s="759"/>
      <c r="F126" s="759"/>
      <c r="G126" s="759"/>
      <c r="H126" s="759"/>
      <c r="I126" s="759"/>
      <c r="J126" s="759"/>
      <c r="K126" s="759"/>
      <c r="L126" s="759"/>
      <c r="M126" s="759"/>
      <c r="N126" s="759"/>
      <c r="O126" s="759"/>
      <c r="P126" s="759"/>
      <c r="Q126" s="759"/>
      <c r="R126" s="759"/>
      <c r="S126" s="759"/>
      <c r="T126" s="759"/>
      <c r="U126" s="759"/>
    </row>
    <row r="127" spans="1:21" x14ac:dyDescent="0.3">
      <c r="A127" s="759"/>
      <c r="B127" s="759"/>
      <c r="C127" s="759"/>
      <c r="D127" s="759"/>
      <c r="E127" s="759"/>
      <c r="F127" s="759"/>
      <c r="G127" s="759"/>
      <c r="H127" s="759"/>
      <c r="I127" s="759"/>
      <c r="J127" s="759"/>
      <c r="K127" s="759"/>
      <c r="L127" s="759"/>
      <c r="M127" s="759"/>
      <c r="N127" s="759"/>
      <c r="O127" s="759"/>
      <c r="P127" s="759"/>
      <c r="Q127" s="759"/>
      <c r="R127" s="759"/>
      <c r="S127" s="759"/>
      <c r="T127" s="759"/>
      <c r="U127" s="759"/>
    </row>
    <row r="128" spans="1:21" x14ac:dyDescent="0.3">
      <c r="A128" s="759"/>
      <c r="B128" s="759"/>
      <c r="C128" s="759"/>
      <c r="D128" s="759"/>
      <c r="E128" s="759"/>
      <c r="F128" s="759"/>
      <c r="G128" s="759"/>
      <c r="H128" s="759"/>
      <c r="I128" s="759"/>
      <c r="J128" s="759"/>
      <c r="K128" s="759"/>
      <c r="L128" s="759"/>
      <c r="M128" s="759"/>
      <c r="N128" s="759"/>
      <c r="O128" s="759"/>
      <c r="P128" s="759"/>
      <c r="Q128" s="759"/>
      <c r="R128" s="759"/>
      <c r="S128" s="759"/>
      <c r="T128" s="759"/>
      <c r="U128" s="759"/>
    </row>
    <row r="129" spans="1:21" x14ac:dyDescent="0.3">
      <c r="A129" s="759"/>
      <c r="B129" s="759"/>
      <c r="C129" s="759"/>
      <c r="D129" s="759"/>
      <c r="E129" s="759"/>
      <c r="F129" s="759"/>
      <c r="G129" s="759"/>
      <c r="H129" s="759"/>
      <c r="I129" s="759"/>
      <c r="J129" s="759"/>
      <c r="K129" s="759"/>
      <c r="L129" s="759"/>
      <c r="M129" s="759"/>
      <c r="N129" s="759"/>
      <c r="O129" s="759"/>
      <c r="P129" s="759"/>
      <c r="Q129" s="759"/>
      <c r="R129" s="759"/>
      <c r="S129" s="759"/>
      <c r="T129" s="759"/>
      <c r="U129" s="759"/>
    </row>
    <row r="130" spans="1:21" x14ac:dyDescent="0.3">
      <c r="A130" s="759"/>
      <c r="B130" s="759"/>
      <c r="C130" s="759"/>
      <c r="D130" s="759"/>
      <c r="E130" s="759"/>
      <c r="F130" s="759"/>
      <c r="G130" s="759"/>
      <c r="H130" s="759"/>
      <c r="I130" s="759"/>
      <c r="J130" s="759"/>
      <c r="K130" s="759"/>
      <c r="L130" s="759"/>
      <c r="M130" s="759"/>
      <c r="N130" s="759"/>
      <c r="O130" s="759"/>
      <c r="P130" s="759"/>
      <c r="Q130" s="759"/>
      <c r="R130" s="759"/>
      <c r="S130" s="759"/>
      <c r="T130" s="759"/>
      <c r="U130" s="759"/>
    </row>
    <row r="131" spans="1:21" x14ac:dyDescent="0.3">
      <c r="A131" s="759"/>
      <c r="B131" s="759"/>
      <c r="C131" s="759"/>
      <c r="D131" s="759"/>
      <c r="E131" s="759"/>
      <c r="F131" s="759"/>
      <c r="G131" s="759"/>
      <c r="H131" s="759"/>
      <c r="I131" s="759"/>
      <c r="J131" s="759"/>
      <c r="K131" s="759"/>
      <c r="L131" s="759"/>
      <c r="M131" s="759"/>
      <c r="N131" s="759"/>
      <c r="O131" s="759"/>
      <c r="P131" s="759"/>
      <c r="Q131" s="759"/>
      <c r="R131" s="759"/>
      <c r="S131" s="759"/>
      <c r="T131" s="759"/>
      <c r="U131" s="759"/>
    </row>
    <row r="132" spans="1:21" x14ac:dyDescent="0.3">
      <c r="A132" s="759"/>
      <c r="B132" s="759"/>
      <c r="C132" s="759"/>
      <c r="D132" s="759"/>
      <c r="E132" s="759"/>
      <c r="F132" s="759"/>
      <c r="G132" s="759"/>
      <c r="H132" s="759"/>
      <c r="I132" s="759"/>
      <c r="J132" s="759"/>
      <c r="K132" s="759"/>
      <c r="L132" s="759"/>
      <c r="M132" s="759"/>
      <c r="N132" s="759"/>
      <c r="O132" s="759"/>
      <c r="P132" s="759"/>
      <c r="Q132" s="759"/>
      <c r="R132" s="759"/>
      <c r="S132" s="759"/>
      <c r="T132" s="759"/>
      <c r="U132" s="759"/>
    </row>
    <row r="133" spans="1:21" x14ac:dyDescent="0.3">
      <c r="A133" s="759"/>
      <c r="B133" s="759"/>
      <c r="C133" s="759"/>
      <c r="D133" s="759"/>
      <c r="E133" s="759"/>
      <c r="F133" s="759"/>
      <c r="G133" s="759"/>
      <c r="H133" s="759"/>
      <c r="I133" s="759"/>
      <c r="J133" s="759"/>
      <c r="K133" s="759"/>
      <c r="L133" s="759"/>
      <c r="M133" s="759"/>
      <c r="N133" s="759"/>
      <c r="O133" s="759"/>
      <c r="P133" s="759"/>
      <c r="Q133" s="759"/>
      <c r="R133" s="759"/>
      <c r="S133" s="759"/>
      <c r="T133" s="759"/>
      <c r="U133" s="759"/>
    </row>
    <row r="134" spans="1:21" x14ac:dyDescent="0.3">
      <c r="A134" s="759"/>
      <c r="B134" s="759"/>
      <c r="C134" s="759"/>
      <c r="D134" s="759"/>
      <c r="E134" s="759"/>
      <c r="F134" s="759"/>
      <c r="G134" s="759"/>
      <c r="H134" s="759"/>
      <c r="I134" s="759"/>
      <c r="J134" s="759"/>
      <c r="K134" s="759"/>
      <c r="L134" s="759"/>
      <c r="M134" s="759"/>
      <c r="N134" s="759"/>
      <c r="O134" s="759"/>
      <c r="P134" s="759"/>
      <c r="Q134" s="759"/>
      <c r="R134" s="759"/>
      <c r="S134" s="759"/>
      <c r="T134" s="759"/>
      <c r="U134" s="759"/>
    </row>
    <row r="135" spans="1:21" x14ac:dyDescent="0.3">
      <c r="A135" s="759"/>
      <c r="B135" s="759"/>
      <c r="C135" s="759"/>
      <c r="D135" s="759"/>
      <c r="E135" s="759"/>
      <c r="F135" s="759"/>
      <c r="G135" s="759"/>
      <c r="H135" s="759"/>
      <c r="I135" s="759"/>
      <c r="J135" s="759"/>
      <c r="K135" s="759"/>
      <c r="L135" s="759"/>
      <c r="M135" s="759"/>
      <c r="N135" s="759"/>
      <c r="O135" s="759"/>
      <c r="P135" s="759"/>
      <c r="Q135" s="759"/>
      <c r="R135" s="759"/>
      <c r="S135" s="759"/>
      <c r="T135" s="759"/>
      <c r="U135" s="759"/>
    </row>
    <row r="136" spans="1:21" x14ac:dyDescent="0.3">
      <c r="A136" s="759"/>
      <c r="B136" s="759"/>
      <c r="C136" s="759"/>
      <c r="D136" s="759"/>
      <c r="E136" s="759"/>
      <c r="F136" s="759"/>
      <c r="G136" s="759"/>
      <c r="H136" s="759"/>
      <c r="I136" s="759"/>
      <c r="J136" s="759"/>
      <c r="K136" s="759"/>
      <c r="L136" s="759"/>
      <c r="M136" s="759"/>
      <c r="N136" s="759"/>
      <c r="O136" s="759"/>
      <c r="P136" s="759"/>
      <c r="Q136" s="759"/>
      <c r="R136" s="759"/>
      <c r="S136" s="759"/>
      <c r="T136" s="759"/>
      <c r="U136" s="759"/>
    </row>
    <row r="137" spans="1:21" x14ac:dyDescent="0.3">
      <c r="A137" s="759"/>
      <c r="B137" s="759"/>
      <c r="C137" s="759"/>
      <c r="D137" s="759"/>
      <c r="E137" s="759"/>
      <c r="F137" s="759"/>
      <c r="G137" s="759"/>
      <c r="H137" s="759"/>
      <c r="I137" s="759"/>
      <c r="J137" s="759"/>
      <c r="K137" s="759"/>
      <c r="L137" s="759"/>
      <c r="M137" s="759"/>
      <c r="N137" s="759"/>
      <c r="O137" s="759"/>
      <c r="P137" s="759"/>
      <c r="Q137" s="759"/>
      <c r="R137" s="759"/>
      <c r="S137" s="759"/>
      <c r="T137" s="759"/>
      <c r="U137" s="759"/>
    </row>
    <row r="138" spans="1:21" x14ac:dyDescent="0.3">
      <c r="A138" s="759"/>
      <c r="B138" s="759"/>
      <c r="C138" s="759"/>
      <c r="D138" s="759"/>
      <c r="E138" s="759"/>
      <c r="F138" s="759"/>
      <c r="G138" s="759"/>
      <c r="H138" s="759"/>
      <c r="I138" s="759"/>
      <c r="J138" s="759"/>
      <c r="K138" s="759"/>
      <c r="L138" s="759"/>
      <c r="M138" s="759"/>
      <c r="N138" s="759"/>
      <c r="O138" s="759"/>
      <c r="P138" s="759"/>
      <c r="Q138" s="759"/>
      <c r="R138" s="759"/>
      <c r="S138" s="759"/>
      <c r="T138" s="759"/>
      <c r="U138" s="759"/>
    </row>
    <row r="139" spans="1:21" x14ac:dyDescent="0.3">
      <c r="A139" s="759"/>
      <c r="B139" s="759"/>
      <c r="C139" s="759"/>
      <c r="D139" s="759"/>
      <c r="E139" s="759"/>
      <c r="F139" s="759"/>
      <c r="G139" s="759"/>
      <c r="H139" s="759"/>
      <c r="I139" s="759"/>
      <c r="J139" s="759"/>
      <c r="K139" s="759"/>
      <c r="L139" s="759"/>
      <c r="M139" s="759"/>
      <c r="N139" s="759"/>
      <c r="O139" s="759"/>
      <c r="P139" s="759"/>
      <c r="Q139" s="759"/>
      <c r="R139" s="759"/>
      <c r="S139" s="759"/>
      <c r="T139" s="759"/>
      <c r="U139" s="759"/>
    </row>
    <row r="140" spans="1:21" x14ac:dyDescent="0.3">
      <c r="A140" s="759"/>
      <c r="B140" s="759"/>
      <c r="C140" s="759"/>
      <c r="D140" s="759"/>
      <c r="E140" s="759"/>
      <c r="F140" s="759"/>
      <c r="G140" s="759"/>
      <c r="H140" s="759"/>
      <c r="I140" s="759"/>
      <c r="J140" s="759"/>
      <c r="K140" s="759"/>
      <c r="L140" s="759"/>
      <c r="M140" s="759"/>
      <c r="N140" s="759"/>
      <c r="O140" s="759"/>
      <c r="P140" s="759"/>
      <c r="Q140" s="759"/>
      <c r="R140" s="759"/>
      <c r="S140" s="759"/>
      <c r="T140" s="759"/>
      <c r="U140" s="759"/>
    </row>
    <row r="141" spans="1:21" x14ac:dyDescent="0.3">
      <c r="A141" s="759"/>
      <c r="B141" s="759"/>
      <c r="C141" s="759"/>
      <c r="D141" s="759"/>
      <c r="E141" s="759"/>
      <c r="F141" s="759"/>
      <c r="G141" s="759"/>
      <c r="H141" s="759"/>
      <c r="I141" s="759"/>
      <c r="J141" s="759"/>
      <c r="K141" s="759"/>
      <c r="L141" s="759"/>
      <c r="M141" s="759"/>
      <c r="N141" s="759"/>
      <c r="O141" s="759"/>
      <c r="P141" s="759"/>
      <c r="Q141" s="759"/>
      <c r="R141" s="759"/>
      <c r="S141" s="759"/>
      <c r="T141" s="759"/>
      <c r="U141" s="759"/>
    </row>
    <row r="142" spans="1:21" x14ac:dyDescent="0.3">
      <c r="A142" s="759"/>
      <c r="B142" s="759"/>
      <c r="C142" s="759"/>
      <c r="D142" s="759"/>
      <c r="E142" s="759"/>
      <c r="F142" s="759"/>
      <c r="G142" s="759"/>
      <c r="H142" s="759"/>
      <c r="I142" s="759"/>
      <c r="J142" s="759"/>
      <c r="K142" s="759"/>
      <c r="L142" s="759"/>
      <c r="M142" s="759"/>
      <c r="N142" s="759"/>
      <c r="O142" s="759"/>
      <c r="P142" s="759"/>
      <c r="Q142" s="759"/>
      <c r="R142" s="759"/>
      <c r="S142" s="759"/>
      <c r="T142" s="759"/>
      <c r="U142" s="759"/>
    </row>
    <row r="143" spans="1:21" x14ac:dyDescent="0.3">
      <c r="A143" s="759"/>
      <c r="B143" s="759"/>
      <c r="C143" s="759"/>
      <c r="D143" s="759"/>
      <c r="E143" s="759"/>
      <c r="F143" s="759"/>
      <c r="G143" s="759"/>
      <c r="H143" s="759"/>
      <c r="I143" s="759"/>
      <c r="J143" s="759"/>
      <c r="K143" s="759"/>
      <c r="L143" s="759"/>
      <c r="M143" s="759"/>
      <c r="N143" s="759"/>
      <c r="O143" s="759"/>
      <c r="P143" s="759"/>
      <c r="Q143" s="759"/>
      <c r="R143" s="759"/>
      <c r="S143" s="759"/>
      <c r="T143" s="759"/>
      <c r="U143" s="759"/>
    </row>
    <row r="144" spans="1:21" x14ac:dyDescent="0.3">
      <c r="A144" s="759"/>
      <c r="B144" s="759"/>
      <c r="C144" s="759"/>
      <c r="D144" s="759"/>
      <c r="E144" s="759"/>
      <c r="F144" s="759"/>
      <c r="G144" s="759"/>
      <c r="H144" s="759"/>
      <c r="I144" s="759"/>
      <c r="J144" s="759"/>
      <c r="K144" s="759"/>
      <c r="L144" s="759"/>
      <c r="M144" s="759"/>
      <c r="N144" s="759"/>
      <c r="O144" s="759"/>
      <c r="P144" s="759"/>
      <c r="Q144" s="759"/>
      <c r="R144" s="759"/>
      <c r="S144" s="759"/>
      <c r="T144" s="759"/>
      <c r="U144" s="759"/>
    </row>
    <row r="145" spans="1:21" x14ac:dyDescent="0.3">
      <c r="A145" s="759"/>
      <c r="B145" s="759"/>
      <c r="C145" s="759"/>
      <c r="D145" s="759"/>
      <c r="E145" s="759"/>
      <c r="F145" s="759"/>
      <c r="G145" s="759"/>
      <c r="H145" s="759"/>
      <c r="I145" s="759"/>
      <c r="J145" s="759"/>
      <c r="K145" s="759"/>
      <c r="L145" s="759"/>
      <c r="M145" s="759"/>
      <c r="N145" s="759"/>
      <c r="O145" s="759"/>
      <c r="P145" s="759"/>
      <c r="Q145" s="759"/>
      <c r="R145" s="759"/>
      <c r="S145" s="759"/>
      <c r="T145" s="759"/>
      <c r="U145" s="759"/>
    </row>
    <row r="146" spans="1:21" x14ac:dyDescent="0.3">
      <c r="A146" s="759"/>
      <c r="B146" s="759"/>
      <c r="C146" s="759"/>
      <c r="D146" s="759"/>
      <c r="E146" s="759"/>
      <c r="F146" s="759"/>
      <c r="G146" s="759"/>
      <c r="H146" s="759"/>
      <c r="I146" s="759"/>
      <c r="J146" s="759"/>
      <c r="K146" s="759"/>
      <c r="L146" s="759"/>
      <c r="M146" s="759"/>
      <c r="N146" s="759"/>
      <c r="O146" s="759"/>
      <c r="P146" s="759"/>
      <c r="Q146" s="759"/>
      <c r="R146" s="759"/>
      <c r="S146" s="759"/>
      <c r="T146" s="759"/>
      <c r="U146" s="759"/>
    </row>
    <row r="147" spans="1:21" x14ac:dyDescent="0.3">
      <c r="A147" s="759"/>
      <c r="B147" s="759"/>
      <c r="C147" s="759"/>
      <c r="D147" s="759"/>
      <c r="E147" s="759"/>
      <c r="F147" s="759"/>
      <c r="G147" s="759"/>
      <c r="H147" s="759"/>
      <c r="I147" s="759"/>
      <c r="J147" s="759"/>
      <c r="K147" s="759"/>
      <c r="L147" s="759"/>
      <c r="M147" s="759"/>
      <c r="N147" s="759"/>
      <c r="O147" s="759"/>
      <c r="P147" s="759"/>
      <c r="Q147" s="759"/>
      <c r="R147" s="759"/>
      <c r="S147" s="759"/>
      <c r="T147" s="759"/>
      <c r="U147" s="759"/>
    </row>
    <row r="148" spans="1:21" x14ac:dyDescent="0.3">
      <c r="A148" s="759"/>
      <c r="B148" s="759"/>
      <c r="C148" s="759"/>
      <c r="D148" s="759"/>
      <c r="E148" s="759"/>
      <c r="F148" s="759"/>
      <c r="G148" s="759"/>
      <c r="H148" s="759"/>
      <c r="I148" s="759"/>
      <c r="J148" s="759"/>
      <c r="K148" s="759"/>
      <c r="L148" s="759"/>
      <c r="M148" s="759"/>
      <c r="N148" s="759"/>
      <c r="O148" s="759"/>
      <c r="P148" s="759"/>
      <c r="Q148" s="759"/>
      <c r="R148" s="759"/>
      <c r="S148" s="759"/>
      <c r="T148" s="759"/>
      <c r="U148" s="759"/>
    </row>
    <row r="149" spans="1:21" x14ac:dyDescent="0.3">
      <c r="A149" s="759"/>
      <c r="B149" s="759"/>
      <c r="C149" s="759"/>
      <c r="D149" s="759"/>
      <c r="E149" s="759"/>
      <c r="F149" s="759"/>
      <c r="G149" s="759"/>
      <c r="H149" s="759"/>
      <c r="I149" s="759"/>
      <c r="J149" s="759"/>
      <c r="K149" s="759"/>
      <c r="L149" s="759"/>
      <c r="M149" s="759"/>
      <c r="N149" s="759"/>
      <c r="O149" s="759"/>
      <c r="P149" s="759"/>
      <c r="Q149" s="759"/>
      <c r="R149" s="759"/>
      <c r="S149" s="759"/>
      <c r="T149" s="759"/>
      <c r="U149" s="759"/>
    </row>
    <row r="150" spans="1:21" x14ac:dyDescent="0.3">
      <c r="A150" s="759"/>
      <c r="B150" s="759"/>
      <c r="C150" s="759"/>
      <c r="D150" s="759"/>
      <c r="E150" s="759"/>
      <c r="F150" s="759"/>
      <c r="G150" s="759"/>
      <c r="H150" s="759"/>
      <c r="I150" s="759"/>
      <c r="J150" s="759"/>
      <c r="K150" s="759"/>
      <c r="L150" s="759"/>
      <c r="M150" s="759"/>
      <c r="N150" s="759"/>
      <c r="O150" s="759"/>
      <c r="P150" s="759"/>
      <c r="Q150" s="759"/>
      <c r="R150" s="759"/>
      <c r="S150" s="759"/>
      <c r="T150" s="759"/>
      <c r="U150" s="759"/>
    </row>
    <row r="151" spans="1:21" x14ac:dyDescent="0.3">
      <c r="A151" s="759"/>
      <c r="B151" s="759"/>
      <c r="C151" s="759"/>
      <c r="D151" s="759"/>
      <c r="E151" s="759"/>
      <c r="F151" s="759"/>
      <c r="G151" s="759"/>
      <c r="H151" s="759"/>
      <c r="I151" s="759"/>
      <c r="J151" s="759"/>
      <c r="K151" s="759"/>
      <c r="L151" s="759"/>
      <c r="M151" s="759"/>
      <c r="N151" s="759"/>
      <c r="O151" s="759"/>
      <c r="P151" s="759"/>
      <c r="Q151" s="759"/>
      <c r="R151" s="759"/>
      <c r="S151" s="759"/>
      <c r="T151" s="759"/>
      <c r="U151" s="759"/>
    </row>
    <row r="152" spans="1:21" x14ac:dyDescent="0.3">
      <c r="A152" s="759"/>
      <c r="B152" s="759"/>
      <c r="C152" s="759"/>
      <c r="D152" s="759"/>
      <c r="E152" s="759"/>
      <c r="F152" s="759"/>
      <c r="G152" s="759"/>
      <c r="H152" s="759"/>
      <c r="I152" s="759"/>
      <c r="J152" s="759"/>
      <c r="K152" s="759"/>
      <c r="L152" s="759"/>
      <c r="M152" s="759"/>
      <c r="N152" s="759"/>
      <c r="O152" s="759"/>
      <c r="P152" s="759"/>
      <c r="Q152" s="759"/>
      <c r="R152" s="759"/>
      <c r="S152" s="759"/>
      <c r="T152" s="759"/>
      <c r="U152" s="759"/>
    </row>
    <row r="153" spans="1:21" x14ac:dyDescent="0.3">
      <c r="A153" s="759"/>
      <c r="B153" s="759"/>
      <c r="C153" s="759"/>
      <c r="D153" s="759"/>
      <c r="E153" s="759"/>
      <c r="F153" s="759"/>
      <c r="G153" s="759"/>
      <c r="H153" s="759"/>
      <c r="I153" s="759"/>
      <c r="J153" s="759"/>
      <c r="K153" s="759"/>
      <c r="L153" s="759"/>
      <c r="M153" s="759"/>
      <c r="N153" s="759"/>
      <c r="O153" s="759"/>
      <c r="P153" s="759"/>
      <c r="Q153" s="759"/>
      <c r="R153" s="759"/>
      <c r="S153" s="759"/>
      <c r="T153" s="759"/>
      <c r="U153" s="759"/>
    </row>
    <row r="154" spans="1:21" x14ac:dyDescent="0.3">
      <c r="A154" s="759"/>
      <c r="B154" s="759"/>
      <c r="C154" s="759"/>
      <c r="D154" s="759"/>
      <c r="E154" s="759"/>
      <c r="F154" s="759"/>
      <c r="G154" s="759"/>
      <c r="H154" s="759"/>
      <c r="I154" s="759"/>
      <c r="J154" s="759"/>
      <c r="K154" s="759"/>
      <c r="L154" s="759"/>
      <c r="M154" s="759"/>
      <c r="N154" s="759"/>
      <c r="O154" s="759"/>
      <c r="P154" s="759"/>
      <c r="Q154" s="759"/>
      <c r="R154" s="759"/>
      <c r="S154" s="759"/>
      <c r="T154" s="759"/>
      <c r="U154" s="759"/>
    </row>
    <row r="155" spans="1:21" x14ac:dyDescent="0.3">
      <c r="A155" s="759"/>
      <c r="B155" s="759"/>
      <c r="C155" s="759"/>
      <c r="D155" s="759"/>
      <c r="E155" s="759"/>
      <c r="F155" s="759"/>
      <c r="G155" s="759"/>
      <c r="H155" s="759"/>
      <c r="I155" s="759"/>
      <c r="J155" s="759"/>
      <c r="K155" s="759"/>
      <c r="L155" s="759"/>
      <c r="M155" s="759"/>
      <c r="N155" s="759"/>
      <c r="O155" s="759"/>
      <c r="P155" s="759"/>
      <c r="Q155" s="759"/>
      <c r="R155" s="759"/>
      <c r="S155" s="759"/>
      <c r="T155" s="759"/>
      <c r="U155" s="759"/>
    </row>
    <row r="156" spans="1:21" x14ac:dyDescent="0.3">
      <c r="A156" s="759"/>
      <c r="B156" s="759"/>
      <c r="C156" s="759"/>
      <c r="D156" s="759"/>
      <c r="E156" s="759"/>
      <c r="F156" s="759"/>
      <c r="G156" s="759"/>
      <c r="H156" s="759"/>
      <c r="I156" s="759"/>
      <c r="J156" s="759"/>
      <c r="K156" s="759"/>
      <c r="L156" s="759"/>
      <c r="M156" s="759"/>
      <c r="N156" s="759"/>
      <c r="O156" s="759"/>
      <c r="P156" s="759"/>
      <c r="Q156" s="759"/>
      <c r="R156" s="759"/>
      <c r="S156" s="759"/>
      <c r="T156" s="759"/>
      <c r="U156" s="759"/>
    </row>
    <row r="157" spans="1:21" x14ac:dyDescent="0.3">
      <c r="A157" s="759"/>
      <c r="B157" s="759"/>
      <c r="C157" s="759"/>
      <c r="D157" s="759"/>
      <c r="E157" s="759"/>
      <c r="F157" s="759"/>
      <c r="G157" s="759"/>
      <c r="H157" s="759"/>
      <c r="I157" s="759"/>
      <c r="J157" s="759"/>
      <c r="K157" s="759"/>
      <c r="L157" s="759"/>
      <c r="M157" s="759"/>
      <c r="N157" s="759"/>
      <c r="O157" s="759"/>
      <c r="P157" s="759"/>
      <c r="Q157" s="759"/>
      <c r="R157" s="759"/>
      <c r="S157" s="759"/>
      <c r="T157" s="759"/>
      <c r="U157" s="759"/>
    </row>
    <row r="158" spans="1:21" x14ac:dyDescent="0.3">
      <c r="A158" s="759"/>
      <c r="B158" s="759"/>
      <c r="C158" s="759"/>
      <c r="D158" s="759"/>
      <c r="E158" s="759"/>
      <c r="F158" s="759"/>
      <c r="G158" s="759"/>
      <c r="H158" s="759"/>
      <c r="I158" s="759"/>
      <c r="J158" s="759"/>
      <c r="K158" s="759"/>
      <c r="L158" s="759"/>
      <c r="M158" s="759"/>
      <c r="N158" s="759"/>
      <c r="O158" s="759"/>
      <c r="P158" s="759"/>
      <c r="Q158" s="759"/>
      <c r="R158" s="759"/>
      <c r="S158" s="759"/>
      <c r="T158" s="759"/>
      <c r="U158" s="759"/>
    </row>
    <row r="159" spans="1:21" x14ac:dyDescent="0.3">
      <c r="A159" s="759"/>
      <c r="B159" s="759"/>
      <c r="C159" s="759"/>
      <c r="D159" s="759"/>
      <c r="E159" s="759"/>
      <c r="F159" s="759"/>
      <c r="G159" s="759"/>
      <c r="H159" s="759"/>
      <c r="I159" s="759"/>
      <c r="J159" s="759"/>
      <c r="K159" s="759"/>
      <c r="L159" s="759"/>
      <c r="M159" s="759"/>
      <c r="N159" s="759"/>
      <c r="O159" s="759"/>
      <c r="P159" s="759"/>
      <c r="Q159" s="759"/>
      <c r="R159" s="759"/>
      <c r="S159" s="759"/>
      <c r="T159" s="759"/>
      <c r="U159" s="759"/>
    </row>
    <row r="160" spans="1:21" x14ac:dyDescent="0.3">
      <c r="A160" s="759"/>
      <c r="B160" s="759"/>
      <c r="C160" s="759"/>
      <c r="D160" s="759"/>
      <c r="E160" s="759"/>
      <c r="F160" s="759"/>
      <c r="G160" s="759"/>
      <c r="H160" s="759"/>
      <c r="I160" s="759"/>
      <c r="J160" s="759"/>
      <c r="K160" s="759"/>
      <c r="L160" s="759"/>
      <c r="M160" s="759"/>
      <c r="N160" s="759"/>
      <c r="O160" s="759"/>
      <c r="P160" s="759"/>
      <c r="Q160" s="759"/>
      <c r="R160" s="759"/>
      <c r="S160" s="759"/>
      <c r="T160" s="759"/>
      <c r="U160" s="759"/>
    </row>
    <row r="161" spans="1:21" x14ac:dyDescent="0.3">
      <c r="A161" s="759"/>
      <c r="B161" s="759"/>
      <c r="C161" s="759"/>
      <c r="D161" s="759"/>
      <c r="E161" s="759"/>
      <c r="F161" s="759"/>
      <c r="G161" s="759"/>
      <c r="H161" s="759"/>
      <c r="I161" s="759"/>
      <c r="J161" s="759"/>
      <c r="K161" s="759"/>
      <c r="L161" s="759"/>
      <c r="M161" s="759"/>
      <c r="N161" s="759"/>
      <c r="O161" s="759"/>
      <c r="P161" s="759"/>
      <c r="Q161" s="759"/>
      <c r="R161" s="759"/>
      <c r="S161" s="759"/>
      <c r="T161" s="759"/>
      <c r="U161" s="759"/>
    </row>
    <row r="162" spans="1:21" x14ac:dyDescent="0.3">
      <c r="A162" s="759"/>
      <c r="B162" s="759"/>
      <c r="C162" s="759"/>
      <c r="D162" s="759"/>
      <c r="E162" s="759"/>
      <c r="F162" s="759"/>
      <c r="G162" s="759"/>
      <c r="H162" s="759"/>
      <c r="I162" s="759"/>
      <c r="J162" s="759"/>
      <c r="K162" s="759"/>
      <c r="L162" s="759"/>
      <c r="M162" s="759"/>
      <c r="N162" s="759"/>
      <c r="O162" s="759"/>
      <c r="P162" s="759"/>
      <c r="Q162" s="759"/>
      <c r="R162" s="759"/>
      <c r="S162" s="759"/>
      <c r="T162" s="759"/>
      <c r="U162" s="759"/>
    </row>
    <row r="163" spans="1:21" x14ac:dyDescent="0.3">
      <c r="A163" s="759"/>
      <c r="B163" s="759"/>
      <c r="C163" s="759"/>
      <c r="D163" s="759"/>
      <c r="E163" s="759"/>
      <c r="F163" s="759"/>
      <c r="G163" s="759"/>
      <c r="H163" s="759"/>
      <c r="I163" s="759"/>
      <c r="J163" s="759"/>
      <c r="K163" s="759"/>
      <c r="L163" s="759"/>
      <c r="M163" s="759"/>
      <c r="N163" s="759"/>
      <c r="O163" s="759"/>
      <c r="P163" s="759"/>
      <c r="Q163" s="759"/>
      <c r="R163" s="759"/>
      <c r="S163" s="759"/>
      <c r="T163" s="759"/>
      <c r="U163" s="759"/>
    </row>
    <row r="164" spans="1:21" x14ac:dyDescent="0.3">
      <c r="A164" s="759"/>
      <c r="B164" s="759"/>
      <c r="C164" s="759"/>
      <c r="D164" s="759"/>
      <c r="E164" s="759"/>
      <c r="F164" s="759"/>
      <c r="G164" s="759"/>
      <c r="H164" s="759"/>
      <c r="I164" s="759"/>
      <c r="J164" s="759"/>
      <c r="K164" s="759"/>
      <c r="L164" s="759"/>
      <c r="M164" s="759"/>
      <c r="N164" s="759"/>
      <c r="O164" s="759"/>
      <c r="P164" s="759"/>
      <c r="Q164" s="759"/>
      <c r="R164" s="759"/>
      <c r="S164" s="759"/>
      <c r="T164" s="759"/>
      <c r="U164" s="759"/>
    </row>
    <row r="165" spans="1:21" x14ac:dyDescent="0.3">
      <c r="A165" s="759"/>
      <c r="B165" s="759"/>
      <c r="C165" s="759"/>
      <c r="D165" s="759"/>
      <c r="E165" s="759"/>
      <c r="F165" s="759"/>
      <c r="G165" s="759"/>
      <c r="H165" s="759"/>
      <c r="I165" s="759"/>
      <c r="J165" s="759"/>
      <c r="K165" s="759"/>
      <c r="L165" s="759"/>
      <c r="M165" s="759"/>
      <c r="N165" s="759"/>
      <c r="O165" s="759"/>
      <c r="P165" s="759"/>
      <c r="Q165" s="759"/>
      <c r="R165" s="759"/>
      <c r="S165" s="759"/>
      <c r="T165" s="759"/>
      <c r="U165" s="759"/>
    </row>
    <row r="166" spans="1:21" x14ac:dyDescent="0.3">
      <c r="A166" s="759"/>
      <c r="B166" s="759"/>
      <c r="C166" s="759"/>
      <c r="D166" s="759"/>
      <c r="E166" s="759"/>
      <c r="F166" s="759"/>
      <c r="G166" s="759"/>
      <c r="H166" s="759"/>
      <c r="I166" s="759"/>
      <c r="J166" s="759"/>
      <c r="K166" s="759"/>
      <c r="L166" s="759"/>
      <c r="M166" s="759"/>
      <c r="N166" s="759"/>
      <c r="O166" s="759"/>
      <c r="P166" s="759"/>
      <c r="Q166" s="759"/>
      <c r="R166" s="759"/>
      <c r="S166" s="759"/>
      <c r="T166" s="759"/>
      <c r="U166" s="759"/>
    </row>
    <row r="167" spans="1:21" x14ac:dyDescent="0.3">
      <c r="A167" s="759"/>
      <c r="B167" s="759"/>
      <c r="C167" s="759"/>
      <c r="D167" s="759"/>
      <c r="E167" s="759"/>
      <c r="F167" s="759"/>
      <c r="G167" s="759"/>
      <c r="H167" s="759"/>
      <c r="I167" s="759"/>
      <c r="J167" s="759"/>
      <c r="K167" s="759"/>
      <c r="L167" s="759"/>
      <c r="M167" s="759"/>
      <c r="N167" s="759"/>
      <c r="O167" s="759"/>
      <c r="P167" s="759"/>
      <c r="Q167" s="759"/>
      <c r="R167" s="759"/>
      <c r="S167" s="759"/>
      <c r="T167" s="759"/>
      <c r="U167" s="759"/>
    </row>
    <row r="168" spans="1:21" x14ac:dyDescent="0.3">
      <c r="A168" s="759"/>
      <c r="B168" s="759"/>
      <c r="C168" s="759"/>
      <c r="D168" s="759"/>
      <c r="E168" s="759"/>
      <c r="F168" s="759"/>
      <c r="G168" s="759"/>
      <c r="H168" s="759"/>
      <c r="I168" s="759"/>
      <c r="J168" s="759"/>
      <c r="K168" s="759"/>
      <c r="L168" s="759"/>
      <c r="M168" s="759"/>
      <c r="N168" s="759"/>
      <c r="O168" s="759"/>
      <c r="P168" s="759"/>
      <c r="Q168" s="759"/>
      <c r="R168" s="759"/>
      <c r="S168" s="759"/>
      <c r="T168" s="759"/>
      <c r="U168" s="759"/>
    </row>
    <row r="169" spans="1:21" x14ac:dyDescent="0.3">
      <c r="A169" s="759"/>
      <c r="B169" s="759"/>
      <c r="C169" s="759"/>
      <c r="D169" s="759"/>
      <c r="E169" s="759"/>
      <c r="F169" s="759"/>
      <c r="G169" s="759"/>
      <c r="H169" s="759"/>
      <c r="I169" s="759"/>
      <c r="J169" s="759"/>
      <c r="K169" s="759"/>
      <c r="L169" s="759"/>
      <c r="M169" s="759"/>
      <c r="N169" s="759"/>
      <c r="O169" s="759"/>
      <c r="P169" s="759"/>
      <c r="Q169" s="759"/>
      <c r="R169" s="759"/>
      <c r="S169" s="759"/>
      <c r="T169" s="759"/>
      <c r="U169" s="759"/>
    </row>
    <row r="170" spans="1:21" x14ac:dyDescent="0.3">
      <c r="A170" s="759"/>
      <c r="B170" s="759"/>
      <c r="C170" s="759"/>
      <c r="D170" s="759"/>
      <c r="E170" s="759"/>
      <c r="F170" s="759"/>
      <c r="G170" s="759"/>
      <c r="H170" s="759"/>
      <c r="I170" s="759"/>
      <c r="J170" s="759"/>
      <c r="K170" s="759"/>
      <c r="L170" s="759"/>
      <c r="M170" s="759"/>
      <c r="N170" s="759"/>
      <c r="O170" s="759"/>
      <c r="P170" s="759"/>
      <c r="Q170" s="759"/>
      <c r="R170" s="759"/>
      <c r="S170" s="759"/>
      <c r="T170" s="759"/>
      <c r="U170" s="759"/>
    </row>
    <row r="171" spans="1:21" x14ac:dyDescent="0.3">
      <c r="A171" s="759"/>
      <c r="B171" s="759"/>
      <c r="C171" s="759"/>
      <c r="D171" s="759"/>
      <c r="E171" s="759"/>
      <c r="F171" s="759"/>
      <c r="G171" s="759"/>
      <c r="H171" s="759"/>
      <c r="I171" s="759"/>
      <c r="J171" s="759"/>
      <c r="K171" s="759"/>
      <c r="L171" s="759"/>
      <c r="M171" s="759"/>
      <c r="N171" s="759"/>
      <c r="O171" s="759"/>
      <c r="P171" s="759"/>
      <c r="Q171" s="759"/>
      <c r="R171" s="759"/>
      <c r="S171" s="759"/>
      <c r="T171" s="759"/>
      <c r="U171" s="759"/>
    </row>
    <row r="172" spans="1:21" x14ac:dyDescent="0.3">
      <c r="A172" s="759"/>
      <c r="B172" s="759"/>
      <c r="C172" s="759"/>
      <c r="D172" s="759"/>
      <c r="E172" s="759"/>
      <c r="F172" s="759"/>
      <c r="G172" s="759"/>
      <c r="H172" s="759"/>
      <c r="I172" s="759"/>
      <c r="J172" s="759"/>
      <c r="K172" s="759"/>
      <c r="L172" s="759"/>
      <c r="M172" s="759"/>
      <c r="N172" s="759"/>
      <c r="O172" s="759"/>
      <c r="P172" s="759"/>
      <c r="Q172" s="759"/>
      <c r="R172" s="759"/>
      <c r="S172" s="759"/>
      <c r="T172" s="759"/>
      <c r="U172" s="759"/>
    </row>
    <row r="173" spans="1:21" x14ac:dyDescent="0.3">
      <c r="A173" s="759"/>
      <c r="B173" s="759"/>
      <c r="C173" s="759"/>
      <c r="D173" s="759"/>
      <c r="E173" s="759"/>
      <c r="F173" s="759"/>
      <c r="G173" s="759"/>
      <c r="H173" s="759"/>
      <c r="I173" s="759"/>
      <c r="J173" s="759"/>
      <c r="K173" s="759"/>
      <c r="L173" s="759"/>
      <c r="M173" s="759"/>
      <c r="N173" s="759"/>
      <c r="O173" s="759"/>
      <c r="P173" s="759"/>
      <c r="Q173" s="759"/>
      <c r="R173" s="759"/>
      <c r="S173" s="759"/>
      <c r="T173" s="759"/>
      <c r="U173" s="759"/>
    </row>
    <row r="174" spans="1:21" x14ac:dyDescent="0.3">
      <c r="A174" s="759"/>
      <c r="B174" s="759"/>
      <c r="C174" s="759"/>
      <c r="D174" s="759"/>
      <c r="E174" s="759"/>
      <c r="F174" s="759"/>
      <c r="G174" s="759"/>
      <c r="H174" s="759"/>
      <c r="I174" s="759"/>
      <c r="J174" s="759"/>
      <c r="K174" s="759"/>
      <c r="L174" s="759"/>
      <c r="M174" s="759"/>
      <c r="N174" s="759"/>
      <c r="O174" s="759"/>
      <c r="P174" s="759"/>
      <c r="Q174" s="759"/>
      <c r="R174" s="759"/>
      <c r="S174" s="759"/>
      <c r="T174" s="759"/>
      <c r="U174" s="759"/>
    </row>
    <row r="175" spans="1:21" x14ac:dyDescent="0.3">
      <c r="A175" s="759"/>
      <c r="B175" s="759"/>
      <c r="C175" s="759"/>
      <c r="D175" s="759"/>
      <c r="E175" s="759"/>
      <c r="F175" s="759"/>
      <c r="G175" s="759"/>
      <c r="H175" s="759"/>
      <c r="I175" s="759"/>
      <c r="J175" s="759"/>
      <c r="K175" s="759"/>
      <c r="L175" s="759"/>
      <c r="M175" s="759"/>
      <c r="N175" s="759"/>
      <c r="O175" s="759"/>
      <c r="P175" s="759"/>
      <c r="Q175" s="759"/>
      <c r="R175" s="759"/>
      <c r="S175" s="759"/>
      <c r="T175" s="759"/>
      <c r="U175" s="759"/>
    </row>
    <row r="176" spans="1:21" x14ac:dyDescent="0.3">
      <c r="A176" s="759"/>
      <c r="B176" s="759"/>
      <c r="C176" s="759"/>
      <c r="D176" s="759"/>
      <c r="E176" s="759"/>
      <c r="F176" s="759"/>
      <c r="G176" s="759"/>
      <c r="H176" s="759"/>
      <c r="I176" s="759"/>
      <c r="J176" s="759"/>
      <c r="K176" s="759"/>
      <c r="L176" s="759"/>
      <c r="M176" s="759"/>
      <c r="N176" s="759"/>
      <c r="O176" s="759"/>
      <c r="P176" s="759"/>
      <c r="Q176" s="759"/>
      <c r="R176" s="759"/>
      <c r="S176" s="759"/>
      <c r="T176" s="759"/>
      <c r="U176" s="759"/>
    </row>
    <row r="177" spans="1:21" x14ac:dyDescent="0.3">
      <c r="A177" s="759"/>
      <c r="B177" s="759"/>
      <c r="C177" s="759"/>
      <c r="D177" s="759"/>
      <c r="E177" s="759"/>
      <c r="F177" s="759"/>
      <c r="G177" s="759"/>
      <c r="H177" s="759"/>
      <c r="I177" s="759"/>
      <c r="J177" s="759"/>
      <c r="K177" s="759"/>
      <c r="L177" s="759"/>
      <c r="M177" s="759"/>
      <c r="N177" s="759"/>
      <c r="O177" s="759"/>
      <c r="P177" s="759"/>
      <c r="Q177" s="759"/>
      <c r="R177" s="759"/>
      <c r="S177" s="759"/>
      <c r="T177" s="759"/>
      <c r="U177" s="759"/>
    </row>
    <row r="178" spans="1:21" x14ac:dyDescent="0.3">
      <c r="A178" s="759"/>
      <c r="B178" s="759"/>
      <c r="C178" s="759"/>
      <c r="D178" s="759"/>
      <c r="E178" s="759"/>
      <c r="F178" s="759"/>
      <c r="G178" s="759"/>
      <c r="H178" s="759"/>
      <c r="I178" s="759"/>
      <c r="J178" s="759"/>
      <c r="K178" s="759"/>
      <c r="L178" s="759"/>
      <c r="M178" s="759"/>
      <c r="N178" s="759"/>
      <c r="O178" s="759"/>
      <c r="P178" s="759"/>
      <c r="Q178" s="759"/>
      <c r="R178" s="759"/>
      <c r="S178" s="759"/>
      <c r="T178" s="759"/>
      <c r="U178" s="759"/>
    </row>
    <row r="179" spans="1:21" x14ac:dyDescent="0.3">
      <c r="A179" s="759"/>
      <c r="B179" s="759"/>
      <c r="C179" s="759"/>
      <c r="D179" s="759"/>
      <c r="E179" s="759"/>
      <c r="F179" s="759"/>
      <c r="G179" s="759"/>
      <c r="H179" s="759"/>
      <c r="I179" s="759"/>
      <c r="J179" s="759"/>
      <c r="K179" s="759"/>
      <c r="L179" s="759"/>
      <c r="M179" s="759"/>
      <c r="N179" s="759"/>
      <c r="O179" s="759"/>
      <c r="P179" s="759"/>
      <c r="Q179" s="759"/>
      <c r="R179" s="759"/>
      <c r="S179" s="759"/>
      <c r="T179" s="759"/>
      <c r="U179" s="759"/>
    </row>
    <row r="180" spans="1:21" x14ac:dyDescent="0.3">
      <c r="A180" s="759"/>
      <c r="B180" s="759"/>
      <c r="C180" s="759"/>
      <c r="D180" s="759"/>
      <c r="E180" s="759"/>
      <c r="F180" s="759"/>
      <c r="G180" s="759"/>
      <c r="H180" s="759"/>
      <c r="I180" s="759"/>
      <c r="J180" s="759"/>
      <c r="K180" s="759"/>
      <c r="L180" s="759"/>
      <c r="M180" s="759"/>
      <c r="N180" s="759"/>
      <c r="O180" s="759"/>
      <c r="P180" s="759"/>
      <c r="Q180" s="759"/>
      <c r="R180" s="759"/>
      <c r="S180" s="759"/>
      <c r="T180" s="759"/>
      <c r="U180" s="759"/>
    </row>
    <row r="181" spans="1:21" x14ac:dyDescent="0.3">
      <c r="A181" s="759"/>
      <c r="B181" s="759"/>
      <c r="C181" s="759"/>
      <c r="D181" s="759"/>
      <c r="E181" s="759"/>
      <c r="F181" s="759"/>
      <c r="G181" s="759"/>
      <c r="H181" s="759"/>
      <c r="I181" s="759"/>
      <c r="J181" s="759"/>
      <c r="K181" s="759"/>
      <c r="L181" s="759"/>
      <c r="M181" s="759"/>
      <c r="N181" s="759"/>
      <c r="O181" s="759"/>
      <c r="P181" s="759"/>
      <c r="Q181" s="759"/>
      <c r="R181" s="759"/>
      <c r="S181" s="759"/>
      <c r="T181" s="759"/>
      <c r="U181" s="759"/>
    </row>
    <row r="182" spans="1:21" x14ac:dyDescent="0.3">
      <c r="A182" s="759"/>
      <c r="B182" s="759"/>
      <c r="C182" s="759"/>
      <c r="D182" s="759"/>
      <c r="E182" s="759"/>
      <c r="F182" s="759"/>
      <c r="G182" s="759"/>
      <c r="H182" s="759"/>
      <c r="I182" s="759"/>
      <c r="J182" s="759"/>
      <c r="K182" s="759"/>
      <c r="L182" s="759"/>
      <c r="M182" s="759"/>
      <c r="N182" s="759"/>
      <c r="O182" s="759"/>
      <c r="P182" s="759"/>
      <c r="Q182" s="759"/>
      <c r="R182" s="759"/>
      <c r="S182" s="759"/>
      <c r="T182" s="759"/>
      <c r="U182" s="759"/>
    </row>
    <row r="183" spans="1:21" x14ac:dyDescent="0.3">
      <c r="A183" s="759"/>
      <c r="B183" s="759"/>
      <c r="C183" s="759"/>
      <c r="D183" s="759"/>
      <c r="E183" s="759"/>
      <c r="F183" s="759"/>
      <c r="G183" s="759"/>
      <c r="H183" s="759"/>
      <c r="I183" s="759"/>
      <c r="J183" s="759"/>
      <c r="K183" s="759"/>
      <c r="L183" s="759"/>
      <c r="M183" s="759"/>
      <c r="N183" s="759"/>
      <c r="O183" s="759"/>
      <c r="P183" s="759"/>
      <c r="Q183" s="759"/>
      <c r="R183" s="759"/>
      <c r="S183" s="759"/>
      <c r="T183" s="759"/>
      <c r="U183" s="759"/>
    </row>
    <row r="184" spans="1:21" x14ac:dyDescent="0.3">
      <c r="A184" s="759"/>
      <c r="B184" s="759"/>
      <c r="C184" s="759"/>
      <c r="D184" s="759"/>
      <c r="E184" s="759"/>
      <c r="F184" s="759"/>
      <c r="G184" s="759"/>
      <c r="H184" s="759"/>
      <c r="I184" s="759"/>
      <c r="J184" s="759"/>
      <c r="K184" s="759"/>
      <c r="L184" s="759"/>
      <c r="M184" s="759"/>
      <c r="N184" s="759"/>
      <c r="O184" s="759"/>
      <c r="P184" s="759"/>
      <c r="Q184" s="759"/>
      <c r="R184" s="759"/>
      <c r="S184" s="759"/>
      <c r="T184" s="759"/>
      <c r="U184" s="759"/>
    </row>
    <row r="185" spans="1:21" x14ac:dyDescent="0.3">
      <c r="A185" s="759"/>
      <c r="B185" s="759"/>
      <c r="C185" s="759"/>
      <c r="D185" s="759"/>
      <c r="E185" s="759"/>
      <c r="F185" s="759"/>
      <c r="G185" s="759"/>
      <c r="H185" s="759"/>
      <c r="I185" s="759"/>
      <c r="J185" s="759"/>
      <c r="K185" s="759"/>
      <c r="L185" s="759"/>
      <c r="M185" s="759"/>
      <c r="N185" s="759"/>
      <c r="O185" s="759"/>
      <c r="P185" s="759"/>
      <c r="Q185" s="759"/>
      <c r="R185" s="759"/>
      <c r="S185" s="759"/>
      <c r="T185" s="759"/>
      <c r="U185" s="759"/>
    </row>
    <row r="186" spans="1:21" x14ac:dyDescent="0.3">
      <c r="A186" s="759"/>
      <c r="B186" s="759"/>
      <c r="C186" s="759"/>
      <c r="D186" s="759"/>
      <c r="E186" s="759"/>
      <c r="F186" s="759"/>
      <c r="G186" s="759"/>
      <c r="H186" s="759"/>
      <c r="I186" s="759"/>
      <c r="J186" s="759"/>
      <c r="K186" s="759"/>
      <c r="L186" s="759"/>
      <c r="M186" s="759"/>
      <c r="N186" s="759"/>
      <c r="O186" s="759"/>
      <c r="P186" s="759"/>
      <c r="Q186" s="759"/>
      <c r="R186" s="759"/>
      <c r="S186" s="759"/>
      <c r="T186" s="759"/>
      <c r="U186" s="759"/>
    </row>
    <row r="187" spans="1:21" x14ac:dyDescent="0.3">
      <c r="A187" s="759"/>
      <c r="B187" s="759"/>
      <c r="C187" s="759"/>
      <c r="D187" s="759"/>
      <c r="E187" s="759"/>
      <c r="F187" s="759"/>
      <c r="G187" s="759"/>
      <c r="H187" s="759"/>
      <c r="I187" s="759"/>
      <c r="J187" s="759"/>
      <c r="K187" s="759"/>
      <c r="L187" s="759"/>
      <c r="M187" s="759"/>
      <c r="N187" s="759"/>
      <c r="O187" s="759"/>
      <c r="P187" s="759"/>
      <c r="Q187" s="759"/>
      <c r="R187" s="759"/>
      <c r="S187" s="759"/>
      <c r="T187" s="759"/>
      <c r="U187" s="759"/>
    </row>
    <row r="188" spans="1:21" x14ac:dyDescent="0.3">
      <c r="A188" s="759"/>
      <c r="B188" s="759"/>
      <c r="C188" s="759"/>
      <c r="D188" s="759"/>
      <c r="E188" s="759"/>
      <c r="F188" s="759"/>
      <c r="G188" s="759"/>
      <c r="H188" s="759"/>
      <c r="I188" s="759"/>
      <c r="J188" s="759"/>
      <c r="K188" s="759"/>
      <c r="L188" s="759"/>
      <c r="M188" s="759"/>
      <c r="N188" s="759"/>
      <c r="O188" s="759"/>
      <c r="P188" s="759"/>
      <c r="Q188" s="759"/>
      <c r="R188" s="759"/>
      <c r="S188" s="759"/>
      <c r="T188" s="759"/>
      <c r="U188" s="759"/>
    </row>
    <row r="189" spans="1:21" x14ac:dyDescent="0.3">
      <c r="A189" s="759"/>
      <c r="B189" s="759"/>
      <c r="C189" s="759"/>
      <c r="D189" s="759"/>
      <c r="E189" s="759"/>
      <c r="F189" s="759"/>
      <c r="G189" s="759"/>
      <c r="H189" s="759"/>
      <c r="I189" s="759"/>
      <c r="J189" s="759"/>
      <c r="K189" s="759"/>
      <c r="L189" s="759"/>
      <c r="M189" s="759"/>
      <c r="N189" s="759"/>
      <c r="O189" s="759"/>
      <c r="P189" s="759"/>
      <c r="Q189" s="759"/>
      <c r="R189" s="759"/>
      <c r="S189" s="759"/>
      <c r="T189" s="759"/>
      <c r="U189" s="759"/>
    </row>
    <row r="190" spans="1:21" x14ac:dyDescent="0.3">
      <c r="A190" s="759"/>
      <c r="B190" s="759"/>
      <c r="C190" s="759"/>
      <c r="D190" s="759"/>
      <c r="E190" s="759"/>
      <c r="F190" s="759"/>
      <c r="G190" s="759"/>
      <c r="H190" s="759"/>
      <c r="I190" s="759"/>
      <c r="J190" s="759"/>
      <c r="K190" s="759"/>
      <c r="L190" s="759"/>
      <c r="M190" s="759"/>
      <c r="N190" s="759"/>
      <c r="O190" s="759"/>
      <c r="P190" s="759"/>
      <c r="Q190" s="759"/>
      <c r="R190" s="759"/>
      <c r="S190" s="759"/>
      <c r="T190" s="759"/>
      <c r="U190" s="759"/>
    </row>
    <row r="191" spans="1:21" x14ac:dyDescent="0.3">
      <c r="A191" s="759"/>
      <c r="B191" s="759"/>
      <c r="C191" s="759"/>
      <c r="D191" s="759"/>
      <c r="E191" s="759"/>
      <c r="F191" s="759"/>
      <c r="G191" s="759"/>
      <c r="H191" s="759"/>
      <c r="I191" s="759"/>
      <c r="J191" s="759"/>
      <c r="K191" s="759"/>
      <c r="L191" s="759"/>
      <c r="M191" s="759"/>
      <c r="N191" s="759"/>
      <c r="O191" s="759"/>
      <c r="P191" s="759"/>
      <c r="Q191" s="759"/>
      <c r="R191" s="759"/>
      <c r="S191" s="759"/>
      <c r="T191" s="759"/>
      <c r="U191" s="759"/>
    </row>
    <row r="192" spans="1:21" x14ac:dyDescent="0.3">
      <c r="A192" s="759"/>
      <c r="B192" s="759"/>
      <c r="C192" s="759"/>
      <c r="D192" s="759"/>
      <c r="E192" s="759"/>
      <c r="F192" s="759"/>
      <c r="G192" s="759"/>
      <c r="H192" s="759"/>
      <c r="I192" s="759"/>
      <c r="J192" s="759"/>
      <c r="K192" s="759"/>
      <c r="L192" s="759"/>
      <c r="M192" s="759"/>
      <c r="N192" s="759"/>
      <c r="O192" s="759"/>
      <c r="P192" s="759"/>
      <c r="Q192" s="759"/>
      <c r="R192" s="759"/>
      <c r="S192" s="759"/>
      <c r="T192" s="759"/>
      <c r="U192" s="759"/>
    </row>
    <row r="193" spans="1:21" x14ac:dyDescent="0.3">
      <c r="A193" s="759"/>
      <c r="B193" s="759"/>
      <c r="C193" s="759"/>
      <c r="D193" s="759"/>
      <c r="E193" s="759"/>
      <c r="F193" s="759"/>
      <c r="G193" s="759"/>
      <c r="H193" s="759"/>
      <c r="I193" s="759"/>
      <c r="J193" s="759"/>
      <c r="K193" s="759"/>
      <c r="L193" s="759"/>
      <c r="M193" s="759"/>
      <c r="N193" s="759"/>
      <c r="O193" s="759"/>
      <c r="P193" s="759"/>
      <c r="Q193" s="759"/>
      <c r="R193" s="759"/>
      <c r="S193" s="759"/>
      <c r="T193" s="759"/>
      <c r="U193" s="759"/>
    </row>
    <row r="194" spans="1:21" x14ac:dyDescent="0.3">
      <c r="A194" s="759"/>
      <c r="B194" s="759"/>
      <c r="C194" s="759"/>
      <c r="D194" s="759"/>
      <c r="E194" s="759"/>
      <c r="F194" s="759"/>
      <c r="G194" s="759"/>
      <c r="H194" s="759"/>
      <c r="I194" s="759"/>
      <c r="J194" s="759"/>
      <c r="K194" s="759"/>
      <c r="L194" s="759"/>
      <c r="M194" s="759"/>
      <c r="N194" s="759"/>
      <c r="O194" s="759"/>
      <c r="P194" s="759"/>
      <c r="Q194" s="759"/>
      <c r="R194" s="759"/>
      <c r="S194" s="759"/>
      <c r="T194" s="759"/>
      <c r="U194" s="759"/>
    </row>
    <row r="195" spans="1:21" x14ac:dyDescent="0.3">
      <c r="A195" s="759"/>
      <c r="B195" s="759"/>
      <c r="C195" s="759"/>
      <c r="D195" s="759"/>
      <c r="E195" s="759"/>
      <c r="F195" s="759"/>
      <c r="G195" s="759"/>
      <c r="H195" s="759"/>
      <c r="I195" s="759"/>
      <c r="J195" s="759"/>
      <c r="K195" s="759"/>
      <c r="L195" s="759"/>
      <c r="M195" s="759"/>
      <c r="N195" s="759"/>
      <c r="O195" s="759"/>
      <c r="P195" s="759"/>
      <c r="Q195" s="759"/>
      <c r="R195" s="759"/>
      <c r="S195" s="759"/>
      <c r="T195" s="759"/>
      <c r="U195" s="759"/>
    </row>
    <row r="196" spans="1:21" x14ac:dyDescent="0.3">
      <c r="A196" s="759"/>
      <c r="B196" s="759"/>
      <c r="C196" s="759"/>
      <c r="D196" s="759"/>
      <c r="E196" s="759"/>
      <c r="F196" s="759"/>
      <c r="G196" s="759"/>
      <c r="H196" s="759"/>
      <c r="I196" s="759"/>
      <c r="J196" s="759"/>
      <c r="K196" s="759"/>
      <c r="L196" s="759"/>
      <c r="M196" s="759"/>
      <c r="N196" s="759"/>
      <c r="O196" s="759"/>
      <c r="P196" s="759"/>
      <c r="Q196" s="759"/>
      <c r="R196" s="759"/>
      <c r="S196" s="759"/>
      <c r="T196" s="759"/>
      <c r="U196" s="759"/>
    </row>
    <row r="197" spans="1:21" x14ac:dyDescent="0.3">
      <c r="A197" s="759"/>
      <c r="B197" s="759"/>
      <c r="C197" s="759"/>
      <c r="D197" s="759"/>
      <c r="E197" s="759"/>
      <c r="F197" s="759"/>
      <c r="G197" s="759"/>
      <c r="H197" s="759"/>
      <c r="I197" s="759"/>
      <c r="J197" s="759"/>
      <c r="K197" s="759"/>
      <c r="L197" s="759"/>
      <c r="M197" s="759"/>
      <c r="N197" s="759"/>
      <c r="O197" s="759"/>
      <c r="P197" s="759"/>
      <c r="Q197" s="759"/>
      <c r="R197" s="759"/>
      <c r="S197" s="759"/>
      <c r="T197" s="759"/>
      <c r="U197" s="759"/>
    </row>
    <row r="198" spans="1:21" x14ac:dyDescent="0.3">
      <c r="A198" s="759"/>
      <c r="B198" s="759"/>
      <c r="C198" s="759"/>
      <c r="D198" s="759"/>
      <c r="E198" s="759"/>
      <c r="F198" s="759"/>
      <c r="G198" s="759"/>
      <c r="H198" s="759"/>
      <c r="I198" s="759"/>
      <c r="J198" s="759"/>
      <c r="K198" s="759"/>
      <c r="L198" s="759"/>
      <c r="M198" s="759"/>
      <c r="N198" s="759"/>
      <c r="O198" s="759"/>
      <c r="P198" s="759"/>
      <c r="Q198" s="759"/>
      <c r="R198" s="759"/>
      <c r="S198" s="759"/>
      <c r="T198" s="759"/>
      <c r="U198" s="759"/>
    </row>
    <row r="199" spans="1:21" x14ac:dyDescent="0.3">
      <c r="A199" s="759"/>
      <c r="B199" s="759"/>
      <c r="C199" s="759"/>
      <c r="D199" s="759"/>
      <c r="E199" s="759"/>
      <c r="F199" s="759"/>
      <c r="G199" s="759"/>
      <c r="H199" s="759"/>
      <c r="I199" s="759"/>
      <c r="J199" s="759"/>
      <c r="K199" s="759"/>
      <c r="L199" s="759"/>
      <c r="M199" s="759"/>
      <c r="N199" s="759"/>
      <c r="O199" s="759"/>
      <c r="P199" s="759"/>
      <c r="Q199" s="759"/>
      <c r="R199" s="759"/>
      <c r="S199" s="759"/>
      <c r="T199" s="759"/>
      <c r="U199" s="759"/>
    </row>
    <row r="200" spans="1:21" x14ac:dyDescent="0.3">
      <c r="A200" s="759"/>
      <c r="B200" s="759"/>
      <c r="C200" s="759"/>
      <c r="D200" s="759"/>
      <c r="E200" s="759"/>
      <c r="F200" s="759"/>
      <c r="G200" s="759"/>
      <c r="H200" s="759"/>
      <c r="I200" s="759"/>
      <c r="J200" s="759"/>
      <c r="K200" s="759"/>
      <c r="L200" s="759"/>
      <c r="M200" s="759"/>
      <c r="N200" s="759"/>
      <c r="O200" s="759"/>
      <c r="P200" s="759"/>
      <c r="Q200" s="759"/>
      <c r="R200" s="759"/>
      <c r="S200" s="759"/>
      <c r="T200" s="759"/>
      <c r="U200" s="759"/>
    </row>
    <row r="201" spans="1:21" x14ac:dyDescent="0.3">
      <c r="A201" s="759"/>
      <c r="B201" s="759"/>
      <c r="C201" s="759"/>
      <c r="D201" s="759"/>
      <c r="E201" s="759"/>
      <c r="F201" s="759"/>
      <c r="G201" s="759"/>
      <c r="H201" s="759"/>
      <c r="I201" s="759"/>
      <c r="J201" s="759"/>
      <c r="K201" s="759"/>
      <c r="L201" s="759"/>
      <c r="M201" s="759"/>
      <c r="N201" s="759"/>
      <c r="O201" s="759"/>
      <c r="P201" s="759"/>
      <c r="Q201" s="759"/>
      <c r="R201" s="759"/>
      <c r="S201" s="759"/>
      <c r="T201" s="759"/>
      <c r="U201" s="759"/>
    </row>
    <row r="202" spans="1:21" x14ac:dyDescent="0.3">
      <c r="A202" s="759"/>
      <c r="B202" s="759"/>
      <c r="C202" s="759"/>
      <c r="D202" s="759"/>
      <c r="E202" s="759"/>
      <c r="F202" s="759"/>
      <c r="G202" s="759"/>
      <c r="H202" s="759"/>
      <c r="I202" s="759"/>
      <c r="J202" s="759"/>
      <c r="K202" s="759"/>
      <c r="L202" s="759"/>
      <c r="M202" s="759"/>
      <c r="N202" s="759"/>
      <c r="O202" s="759"/>
      <c r="P202" s="759"/>
      <c r="Q202" s="759"/>
      <c r="R202" s="759"/>
      <c r="S202" s="759"/>
      <c r="T202" s="759"/>
      <c r="U202" s="759"/>
    </row>
    <row r="203" spans="1:21" x14ac:dyDescent="0.3">
      <c r="A203" s="759"/>
      <c r="B203" s="759"/>
      <c r="C203" s="759"/>
      <c r="D203" s="759"/>
      <c r="E203" s="759"/>
      <c r="F203" s="759"/>
      <c r="G203" s="759"/>
      <c r="H203" s="759"/>
      <c r="I203" s="759"/>
      <c r="J203" s="759"/>
      <c r="K203" s="759"/>
      <c r="L203" s="759"/>
      <c r="M203" s="759"/>
      <c r="N203" s="759"/>
      <c r="O203" s="759"/>
      <c r="P203" s="759"/>
      <c r="Q203" s="759"/>
      <c r="R203" s="759"/>
      <c r="S203" s="759"/>
      <c r="T203" s="759"/>
      <c r="U203" s="759"/>
    </row>
    <row r="204" spans="1:21" x14ac:dyDescent="0.3">
      <c r="A204" s="759"/>
      <c r="B204" s="759"/>
      <c r="C204" s="759"/>
      <c r="D204" s="759"/>
      <c r="E204" s="759"/>
      <c r="F204" s="759"/>
      <c r="G204" s="759"/>
      <c r="H204" s="759"/>
      <c r="I204" s="759"/>
      <c r="J204" s="759"/>
      <c r="K204" s="759"/>
      <c r="L204" s="759"/>
      <c r="M204" s="759"/>
      <c r="N204" s="759"/>
      <c r="O204" s="759"/>
      <c r="P204" s="759"/>
      <c r="Q204" s="759"/>
      <c r="R204" s="759"/>
      <c r="S204" s="759"/>
      <c r="T204" s="759"/>
      <c r="U204" s="759"/>
    </row>
    <row r="205" spans="1:21" x14ac:dyDescent="0.3">
      <c r="A205" s="759"/>
      <c r="B205" s="759"/>
      <c r="C205" s="759"/>
      <c r="D205" s="759"/>
      <c r="E205" s="759"/>
      <c r="F205" s="759"/>
      <c r="G205" s="759"/>
      <c r="H205" s="759"/>
      <c r="I205" s="759"/>
      <c r="J205" s="759"/>
      <c r="K205" s="759"/>
      <c r="L205" s="759"/>
      <c r="M205" s="759"/>
      <c r="N205" s="759"/>
      <c r="O205" s="759"/>
      <c r="P205" s="759"/>
      <c r="Q205" s="759"/>
      <c r="R205" s="759"/>
      <c r="S205" s="759"/>
      <c r="T205" s="759"/>
      <c r="U205" s="759"/>
    </row>
    <row r="206" spans="1:21" x14ac:dyDescent="0.3">
      <c r="A206" s="759"/>
      <c r="B206" s="759"/>
      <c r="C206" s="759"/>
      <c r="D206" s="759"/>
      <c r="E206" s="759"/>
      <c r="F206" s="759"/>
      <c r="G206" s="759"/>
      <c r="H206" s="759"/>
      <c r="I206" s="759"/>
      <c r="J206" s="759"/>
      <c r="K206" s="759"/>
      <c r="L206" s="759"/>
      <c r="M206" s="759"/>
      <c r="N206" s="759"/>
      <c r="O206" s="759"/>
      <c r="P206" s="759"/>
      <c r="Q206" s="759"/>
      <c r="R206" s="759"/>
      <c r="S206" s="759"/>
      <c r="T206" s="759"/>
      <c r="U206" s="759"/>
    </row>
    <row r="207" spans="1:21" x14ac:dyDescent="0.3">
      <c r="A207" s="759"/>
      <c r="B207" s="759"/>
      <c r="C207" s="759"/>
      <c r="D207" s="759"/>
      <c r="E207" s="759"/>
      <c r="F207" s="759"/>
      <c r="G207" s="759"/>
      <c r="H207" s="759"/>
      <c r="I207" s="759"/>
      <c r="J207" s="759"/>
      <c r="K207" s="759"/>
      <c r="L207" s="759"/>
      <c r="M207" s="759"/>
      <c r="N207" s="759"/>
      <c r="O207" s="759"/>
      <c r="P207" s="759"/>
      <c r="Q207" s="759"/>
      <c r="R207" s="759"/>
      <c r="S207" s="759"/>
      <c r="T207" s="759"/>
      <c r="U207" s="759"/>
    </row>
    <row r="208" spans="1:21" x14ac:dyDescent="0.3">
      <c r="A208" s="759"/>
      <c r="B208" s="759"/>
      <c r="C208" s="759"/>
      <c r="D208" s="759"/>
      <c r="E208" s="759"/>
      <c r="F208" s="759"/>
      <c r="G208" s="759"/>
      <c r="H208" s="759"/>
      <c r="I208" s="759"/>
      <c r="J208" s="759"/>
      <c r="K208" s="759"/>
      <c r="L208" s="759"/>
      <c r="M208" s="759"/>
      <c r="N208" s="759"/>
      <c r="O208" s="759"/>
      <c r="P208" s="759"/>
      <c r="Q208" s="759"/>
      <c r="R208" s="759"/>
      <c r="S208" s="759"/>
      <c r="T208" s="759"/>
      <c r="U208" s="759"/>
    </row>
    <row r="209" spans="1:21" x14ac:dyDescent="0.3">
      <c r="A209" s="759"/>
      <c r="B209" s="759"/>
      <c r="C209" s="759"/>
      <c r="D209" s="759"/>
      <c r="E209" s="759"/>
      <c r="F209" s="759"/>
      <c r="G209" s="759"/>
      <c r="H209" s="759"/>
      <c r="I209" s="759"/>
      <c r="J209" s="759"/>
      <c r="K209" s="759"/>
      <c r="L209" s="759"/>
      <c r="M209" s="759"/>
      <c r="N209" s="759"/>
      <c r="O209" s="759"/>
      <c r="P209" s="759"/>
      <c r="Q209" s="759"/>
      <c r="R209" s="759"/>
      <c r="S209" s="759"/>
      <c r="T209" s="759"/>
      <c r="U209" s="759"/>
    </row>
    <row r="210" spans="1:21" x14ac:dyDescent="0.3">
      <c r="A210" s="759"/>
      <c r="B210" s="759"/>
      <c r="C210" s="759"/>
      <c r="D210" s="759"/>
      <c r="E210" s="759"/>
      <c r="F210" s="759"/>
      <c r="G210" s="759"/>
      <c r="H210" s="759"/>
      <c r="I210" s="759"/>
      <c r="J210" s="759"/>
      <c r="K210" s="759"/>
      <c r="L210" s="759"/>
      <c r="M210" s="759"/>
      <c r="N210" s="759"/>
      <c r="O210" s="759"/>
      <c r="P210" s="759"/>
      <c r="Q210" s="759"/>
      <c r="R210" s="759"/>
      <c r="S210" s="759"/>
      <c r="T210" s="759"/>
      <c r="U210" s="759"/>
    </row>
    <row r="211" spans="1:21" x14ac:dyDescent="0.3">
      <c r="A211" s="759"/>
      <c r="B211" s="759"/>
      <c r="C211" s="759"/>
      <c r="D211" s="759"/>
      <c r="E211" s="759"/>
      <c r="F211" s="759"/>
      <c r="G211" s="759"/>
      <c r="H211" s="759"/>
      <c r="I211" s="759"/>
      <c r="J211" s="759"/>
      <c r="K211" s="759"/>
      <c r="L211" s="759"/>
      <c r="M211" s="759"/>
      <c r="N211" s="759"/>
      <c r="O211" s="759"/>
      <c r="P211" s="759"/>
      <c r="Q211" s="759"/>
      <c r="R211" s="759"/>
      <c r="S211" s="759"/>
      <c r="T211" s="759"/>
      <c r="U211" s="759"/>
    </row>
    <row r="212" spans="1:21" x14ac:dyDescent="0.3">
      <c r="A212" s="759"/>
      <c r="B212" s="759"/>
      <c r="C212" s="759"/>
      <c r="D212" s="759"/>
      <c r="E212" s="759"/>
      <c r="F212" s="759"/>
      <c r="G212" s="759"/>
      <c r="H212" s="759"/>
      <c r="I212" s="759"/>
      <c r="J212" s="759"/>
      <c r="K212" s="759"/>
      <c r="L212" s="759"/>
      <c r="M212" s="759"/>
      <c r="N212" s="759"/>
      <c r="O212" s="759"/>
      <c r="P212" s="759"/>
      <c r="Q212" s="759"/>
      <c r="R212" s="759"/>
      <c r="S212" s="759"/>
      <c r="T212" s="759"/>
      <c r="U212" s="759"/>
    </row>
    <row r="213" spans="1:21" x14ac:dyDescent="0.3">
      <c r="A213" s="759"/>
      <c r="B213" s="759"/>
      <c r="C213" s="759"/>
      <c r="D213" s="759"/>
      <c r="E213" s="759"/>
      <c r="F213" s="759"/>
      <c r="G213" s="759"/>
      <c r="H213" s="759"/>
      <c r="I213" s="759"/>
      <c r="J213" s="759"/>
      <c r="K213" s="759"/>
      <c r="L213" s="759"/>
      <c r="M213" s="759"/>
      <c r="N213" s="759"/>
      <c r="O213" s="759"/>
      <c r="P213" s="759"/>
      <c r="Q213" s="759"/>
      <c r="R213" s="759"/>
      <c r="S213" s="759"/>
      <c r="T213" s="759"/>
      <c r="U213" s="759"/>
    </row>
    <row r="214" spans="1:21" x14ac:dyDescent="0.3">
      <c r="A214" s="759"/>
      <c r="B214" s="759"/>
      <c r="C214" s="759"/>
      <c r="D214" s="759"/>
      <c r="E214" s="759"/>
      <c r="F214" s="759"/>
      <c r="G214" s="759"/>
      <c r="H214" s="759"/>
      <c r="I214" s="759"/>
      <c r="J214" s="759"/>
      <c r="K214" s="759"/>
      <c r="L214" s="759"/>
      <c r="M214" s="759"/>
      <c r="N214" s="759"/>
      <c r="O214" s="759"/>
      <c r="P214" s="759"/>
      <c r="Q214" s="759"/>
      <c r="R214" s="759"/>
      <c r="S214" s="759"/>
      <c r="T214" s="759"/>
      <c r="U214" s="759"/>
    </row>
    <row r="215" spans="1:21" x14ac:dyDescent="0.3">
      <c r="A215" s="759"/>
      <c r="B215" s="759"/>
      <c r="C215" s="759"/>
      <c r="D215" s="759"/>
      <c r="E215" s="759"/>
      <c r="F215" s="759"/>
      <c r="G215" s="759"/>
      <c r="H215" s="759"/>
      <c r="I215" s="759"/>
      <c r="J215" s="759"/>
      <c r="K215" s="759"/>
      <c r="L215" s="759"/>
      <c r="M215" s="759"/>
      <c r="N215" s="759"/>
      <c r="O215" s="759"/>
      <c r="P215" s="759"/>
      <c r="Q215" s="759"/>
      <c r="R215" s="759"/>
      <c r="S215" s="759"/>
      <c r="T215" s="759"/>
      <c r="U215" s="759"/>
    </row>
    <row r="216" spans="1:21" x14ac:dyDescent="0.3">
      <c r="A216" s="759"/>
      <c r="B216" s="759"/>
      <c r="C216" s="759"/>
      <c r="D216" s="759"/>
      <c r="E216" s="759"/>
      <c r="F216" s="759"/>
      <c r="G216" s="759"/>
      <c r="H216" s="759"/>
      <c r="I216" s="759"/>
      <c r="J216" s="759"/>
      <c r="K216" s="759"/>
      <c r="L216" s="759"/>
      <c r="M216" s="759"/>
      <c r="N216" s="759"/>
      <c r="O216" s="759"/>
      <c r="P216" s="759"/>
      <c r="Q216" s="759"/>
      <c r="R216" s="759"/>
      <c r="S216" s="759"/>
      <c r="T216" s="759"/>
      <c r="U216" s="759"/>
    </row>
    <row r="217" spans="1:21" x14ac:dyDescent="0.3">
      <c r="A217" s="759"/>
      <c r="B217" s="759"/>
      <c r="C217" s="759"/>
      <c r="D217" s="759"/>
      <c r="E217" s="759"/>
      <c r="F217" s="759"/>
      <c r="G217" s="759"/>
      <c r="H217" s="759"/>
      <c r="I217" s="759"/>
      <c r="J217" s="759"/>
      <c r="K217" s="759"/>
      <c r="L217" s="759"/>
      <c r="M217" s="759"/>
      <c r="N217" s="759"/>
      <c r="O217" s="759"/>
      <c r="P217" s="759"/>
      <c r="Q217" s="759"/>
      <c r="R217" s="759"/>
      <c r="S217" s="759"/>
      <c r="T217" s="759"/>
      <c r="U217" s="759"/>
    </row>
    <row r="218" spans="1:21" x14ac:dyDescent="0.3">
      <c r="A218" s="759"/>
      <c r="B218" s="759"/>
      <c r="C218" s="759"/>
      <c r="D218" s="759"/>
      <c r="E218" s="759"/>
      <c r="F218" s="759"/>
      <c r="G218" s="759"/>
      <c r="H218" s="759"/>
      <c r="I218" s="759"/>
      <c r="J218" s="759"/>
      <c r="K218" s="759"/>
      <c r="L218" s="759"/>
      <c r="M218" s="759"/>
      <c r="N218" s="759"/>
      <c r="O218" s="759"/>
      <c r="P218" s="759"/>
      <c r="Q218" s="759"/>
      <c r="R218" s="759"/>
      <c r="S218" s="759"/>
      <c r="T218" s="759"/>
      <c r="U218" s="759"/>
    </row>
    <row r="219" spans="1:21" x14ac:dyDescent="0.3">
      <c r="A219" s="759"/>
      <c r="B219" s="759"/>
      <c r="C219" s="759"/>
      <c r="D219" s="759"/>
      <c r="E219" s="759"/>
      <c r="F219" s="759"/>
      <c r="G219" s="759"/>
      <c r="H219" s="759"/>
      <c r="I219" s="759"/>
      <c r="J219" s="759"/>
      <c r="K219" s="759"/>
      <c r="L219" s="759"/>
      <c r="M219" s="759"/>
      <c r="N219" s="759"/>
      <c r="O219" s="759"/>
      <c r="P219" s="759"/>
      <c r="Q219" s="759"/>
      <c r="R219" s="759"/>
      <c r="S219" s="759"/>
      <c r="T219" s="759"/>
      <c r="U219" s="759"/>
    </row>
    <row r="220" spans="1:21" x14ac:dyDescent="0.3">
      <c r="A220" s="759"/>
      <c r="B220" s="759"/>
      <c r="C220" s="759"/>
      <c r="D220" s="759"/>
      <c r="E220" s="759"/>
      <c r="F220" s="759"/>
      <c r="G220" s="759"/>
      <c r="H220" s="759"/>
      <c r="I220" s="759"/>
      <c r="J220" s="759"/>
      <c r="K220" s="759"/>
      <c r="L220" s="759"/>
      <c r="M220" s="759"/>
      <c r="N220" s="759"/>
      <c r="O220" s="759"/>
      <c r="P220" s="759"/>
      <c r="Q220" s="759"/>
      <c r="R220" s="759"/>
      <c r="S220" s="759"/>
      <c r="T220" s="759"/>
      <c r="U220" s="759"/>
    </row>
    <row r="221" spans="1:21" x14ac:dyDescent="0.3">
      <c r="A221" s="759"/>
      <c r="B221" s="759"/>
      <c r="C221" s="759"/>
      <c r="D221" s="759"/>
      <c r="E221" s="759"/>
      <c r="F221" s="759"/>
      <c r="G221" s="759"/>
      <c r="H221" s="759"/>
      <c r="I221" s="759"/>
      <c r="J221" s="759"/>
      <c r="K221" s="759"/>
      <c r="L221" s="759"/>
      <c r="M221" s="759"/>
      <c r="N221" s="759"/>
      <c r="O221" s="759"/>
      <c r="P221" s="759"/>
      <c r="Q221" s="759"/>
      <c r="R221" s="759"/>
      <c r="S221" s="759"/>
      <c r="T221" s="759"/>
      <c r="U221" s="759"/>
    </row>
    <row r="222" spans="1:21" x14ac:dyDescent="0.3">
      <c r="A222" s="759"/>
      <c r="B222" s="759"/>
      <c r="C222" s="759"/>
      <c r="D222" s="759"/>
      <c r="E222" s="759"/>
      <c r="F222" s="759"/>
      <c r="G222" s="759"/>
      <c r="H222" s="759"/>
      <c r="I222" s="759"/>
      <c r="J222" s="759"/>
      <c r="K222" s="759"/>
      <c r="L222" s="759"/>
      <c r="M222" s="759"/>
      <c r="N222" s="759"/>
      <c r="O222" s="759"/>
      <c r="P222" s="759"/>
      <c r="Q222" s="759"/>
      <c r="R222" s="759"/>
      <c r="S222" s="759"/>
      <c r="T222" s="759"/>
      <c r="U222" s="759"/>
    </row>
    <row r="223" spans="1:21" x14ac:dyDescent="0.3">
      <c r="A223" s="759"/>
      <c r="B223" s="759"/>
      <c r="C223" s="759"/>
      <c r="D223" s="759"/>
      <c r="E223" s="759"/>
      <c r="F223" s="759"/>
      <c r="G223" s="759"/>
      <c r="H223" s="759"/>
      <c r="I223" s="759"/>
      <c r="J223" s="759"/>
      <c r="K223" s="759"/>
      <c r="L223" s="759"/>
      <c r="M223" s="759"/>
      <c r="N223" s="759"/>
      <c r="O223" s="759"/>
      <c r="P223" s="759"/>
      <c r="Q223" s="759"/>
      <c r="R223" s="759"/>
      <c r="S223" s="759"/>
      <c r="T223" s="759"/>
      <c r="U223" s="759"/>
    </row>
    <row r="224" spans="1:21" x14ac:dyDescent="0.3">
      <c r="A224" s="759"/>
      <c r="B224" s="759"/>
      <c r="C224" s="759"/>
      <c r="D224" s="759"/>
      <c r="E224" s="759"/>
      <c r="F224" s="759"/>
      <c r="G224" s="759"/>
      <c r="H224" s="759"/>
      <c r="I224" s="759"/>
      <c r="J224" s="759"/>
      <c r="K224" s="759"/>
      <c r="L224" s="759"/>
      <c r="M224" s="759"/>
      <c r="N224" s="759"/>
      <c r="O224" s="759"/>
      <c r="P224" s="759"/>
      <c r="Q224" s="759"/>
      <c r="R224" s="759"/>
      <c r="S224" s="759"/>
      <c r="T224" s="759"/>
      <c r="U224" s="759"/>
    </row>
    <row r="225" spans="1:21" x14ac:dyDescent="0.3">
      <c r="A225" s="759"/>
      <c r="B225" s="759"/>
      <c r="C225" s="759"/>
      <c r="D225" s="759"/>
      <c r="E225" s="759"/>
      <c r="F225" s="759"/>
      <c r="G225" s="759"/>
      <c r="H225" s="759"/>
      <c r="I225" s="759"/>
      <c r="J225" s="759"/>
      <c r="K225" s="759"/>
      <c r="L225" s="759"/>
      <c r="M225" s="759"/>
      <c r="N225" s="759"/>
      <c r="O225" s="759"/>
      <c r="P225" s="759"/>
      <c r="Q225" s="759"/>
      <c r="R225" s="759"/>
      <c r="S225" s="759"/>
      <c r="T225" s="759"/>
      <c r="U225" s="759"/>
    </row>
    <row r="226" spans="1:21" x14ac:dyDescent="0.3">
      <c r="A226" s="759"/>
      <c r="B226" s="759"/>
      <c r="C226" s="759"/>
      <c r="D226" s="759"/>
      <c r="E226" s="759"/>
      <c r="F226" s="759"/>
      <c r="G226" s="759"/>
      <c r="H226" s="759"/>
      <c r="I226" s="759"/>
      <c r="J226" s="759"/>
      <c r="K226" s="759"/>
      <c r="L226" s="759"/>
      <c r="M226" s="759"/>
      <c r="N226" s="759"/>
      <c r="O226" s="759"/>
      <c r="P226" s="759"/>
      <c r="Q226" s="759"/>
      <c r="R226" s="759"/>
      <c r="S226" s="759"/>
      <c r="T226" s="759"/>
      <c r="U226" s="759"/>
    </row>
    <row r="227" spans="1:21" x14ac:dyDescent="0.3">
      <c r="A227" s="759"/>
      <c r="B227" s="759"/>
      <c r="C227" s="759"/>
      <c r="D227" s="759"/>
      <c r="E227" s="759"/>
      <c r="F227" s="759"/>
      <c r="G227" s="759"/>
      <c r="H227" s="759"/>
      <c r="I227" s="759"/>
      <c r="J227" s="759"/>
      <c r="K227" s="759"/>
      <c r="L227" s="759"/>
      <c r="M227" s="759"/>
      <c r="N227" s="759"/>
      <c r="O227" s="759"/>
      <c r="P227" s="759"/>
      <c r="Q227" s="759"/>
      <c r="R227" s="759"/>
      <c r="S227" s="759"/>
      <c r="T227" s="759"/>
      <c r="U227" s="759"/>
    </row>
    <row r="228" spans="1:21" x14ac:dyDescent="0.3">
      <c r="A228" s="759"/>
      <c r="B228" s="759"/>
      <c r="C228" s="759"/>
      <c r="D228" s="759"/>
      <c r="E228" s="759"/>
      <c r="F228" s="759"/>
      <c r="G228" s="759"/>
      <c r="H228" s="759"/>
      <c r="I228" s="759"/>
      <c r="J228" s="759"/>
      <c r="K228" s="759"/>
      <c r="L228" s="759"/>
      <c r="M228" s="759"/>
      <c r="N228" s="759"/>
      <c r="O228" s="759"/>
      <c r="P228" s="759"/>
      <c r="Q228" s="759"/>
      <c r="R228" s="759"/>
      <c r="S228" s="759"/>
      <c r="T228" s="759"/>
      <c r="U228" s="759"/>
    </row>
    <row r="229" spans="1:21" x14ac:dyDescent="0.3">
      <c r="A229" s="759"/>
      <c r="B229" s="759"/>
      <c r="C229" s="759"/>
      <c r="D229" s="759"/>
      <c r="E229" s="759"/>
      <c r="F229" s="759"/>
      <c r="G229" s="759"/>
      <c r="H229" s="759"/>
      <c r="I229" s="759"/>
      <c r="J229" s="759"/>
      <c r="K229" s="759"/>
      <c r="L229" s="759"/>
      <c r="M229" s="759"/>
      <c r="N229" s="759"/>
      <c r="O229" s="759"/>
      <c r="P229" s="759"/>
      <c r="Q229" s="759"/>
      <c r="R229" s="759"/>
      <c r="S229" s="759"/>
      <c r="T229" s="759"/>
      <c r="U229" s="759"/>
    </row>
    <row r="230" spans="1:21" x14ac:dyDescent="0.3">
      <c r="A230" s="759"/>
      <c r="B230" s="759"/>
      <c r="C230" s="759"/>
      <c r="D230" s="759"/>
      <c r="E230" s="759"/>
      <c r="F230" s="759"/>
      <c r="G230" s="759"/>
      <c r="H230" s="759"/>
      <c r="I230" s="759"/>
      <c r="J230" s="759"/>
      <c r="K230" s="759"/>
      <c r="L230" s="759"/>
      <c r="M230" s="759"/>
      <c r="N230" s="759"/>
      <c r="O230" s="759"/>
      <c r="P230" s="759"/>
      <c r="Q230" s="759"/>
      <c r="R230" s="759"/>
      <c r="S230" s="759"/>
      <c r="T230" s="759"/>
      <c r="U230" s="759"/>
    </row>
    <row r="231" spans="1:21" x14ac:dyDescent="0.3">
      <c r="A231" s="759"/>
      <c r="B231" s="759"/>
      <c r="C231" s="759"/>
      <c r="D231" s="759"/>
      <c r="E231" s="759"/>
      <c r="F231" s="759"/>
      <c r="G231" s="759"/>
      <c r="H231" s="759"/>
      <c r="I231" s="759"/>
      <c r="J231" s="759"/>
      <c r="K231" s="759"/>
      <c r="L231" s="759"/>
      <c r="M231" s="759"/>
      <c r="N231" s="759"/>
      <c r="O231" s="759"/>
      <c r="P231" s="759"/>
      <c r="Q231" s="759"/>
      <c r="R231" s="759"/>
      <c r="S231" s="759"/>
      <c r="T231" s="759"/>
      <c r="U231" s="759"/>
    </row>
    <row r="232" spans="1:21" x14ac:dyDescent="0.3">
      <c r="A232" s="759"/>
      <c r="B232" s="759"/>
      <c r="C232" s="759"/>
      <c r="D232" s="759"/>
      <c r="E232" s="759"/>
      <c r="F232" s="759"/>
      <c r="G232" s="759"/>
      <c r="H232" s="759"/>
      <c r="I232" s="759"/>
      <c r="J232" s="759"/>
      <c r="K232" s="759"/>
      <c r="L232" s="759"/>
      <c r="M232" s="759"/>
      <c r="N232" s="759"/>
      <c r="O232" s="759"/>
      <c r="P232" s="759"/>
      <c r="Q232" s="759"/>
      <c r="R232" s="759"/>
      <c r="S232" s="759"/>
      <c r="T232" s="759"/>
      <c r="U232" s="759"/>
    </row>
    <row r="233" spans="1:21" x14ac:dyDescent="0.3">
      <c r="A233" s="759"/>
      <c r="B233" s="759"/>
      <c r="C233" s="759"/>
      <c r="D233" s="759"/>
      <c r="E233" s="759"/>
      <c r="F233" s="759"/>
      <c r="G233" s="759"/>
      <c r="H233" s="759"/>
      <c r="I233" s="759"/>
      <c r="J233" s="759"/>
      <c r="K233" s="759"/>
      <c r="L233" s="759"/>
      <c r="M233" s="759"/>
      <c r="N233" s="759"/>
      <c r="O233" s="759"/>
      <c r="P233" s="759"/>
      <c r="Q233" s="759"/>
      <c r="R233" s="759"/>
      <c r="S233" s="759"/>
      <c r="T233" s="759"/>
      <c r="U233" s="759"/>
    </row>
    <row r="234" spans="1:21" x14ac:dyDescent="0.3">
      <c r="A234" s="759"/>
      <c r="B234" s="759"/>
      <c r="C234" s="759"/>
      <c r="D234" s="759"/>
      <c r="E234" s="759"/>
      <c r="F234" s="759"/>
      <c r="G234" s="759"/>
      <c r="H234" s="759"/>
      <c r="I234" s="759"/>
      <c r="J234" s="759"/>
      <c r="K234" s="759"/>
      <c r="L234" s="759"/>
      <c r="M234" s="759"/>
      <c r="N234" s="759"/>
      <c r="O234" s="759"/>
      <c r="P234" s="759"/>
      <c r="Q234" s="759"/>
      <c r="R234" s="759"/>
      <c r="S234" s="759"/>
      <c r="T234" s="759"/>
      <c r="U234" s="759"/>
    </row>
    <row r="235" spans="1:21" x14ac:dyDescent="0.3">
      <c r="A235" s="759"/>
      <c r="B235" s="759"/>
      <c r="C235" s="759"/>
      <c r="D235" s="759"/>
      <c r="E235" s="759"/>
      <c r="F235" s="759"/>
      <c r="G235" s="759"/>
      <c r="H235" s="759"/>
      <c r="I235" s="759"/>
      <c r="J235" s="759"/>
      <c r="K235" s="759"/>
      <c r="L235" s="759"/>
      <c r="M235" s="759"/>
      <c r="N235" s="759"/>
      <c r="O235" s="759"/>
      <c r="P235" s="759"/>
      <c r="Q235" s="759"/>
      <c r="R235" s="759"/>
      <c r="S235" s="759"/>
      <c r="T235" s="759"/>
      <c r="U235" s="759"/>
    </row>
    <row r="236" spans="1:21" x14ac:dyDescent="0.3">
      <c r="A236" s="759"/>
      <c r="B236" s="759"/>
      <c r="C236" s="759"/>
      <c r="D236" s="759"/>
      <c r="E236" s="759"/>
      <c r="F236" s="759"/>
      <c r="G236" s="759"/>
      <c r="H236" s="759"/>
      <c r="I236" s="759"/>
      <c r="J236" s="759"/>
      <c r="K236" s="759"/>
      <c r="L236" s="759"/>
      <c r="M236" s="759"/>
      <c r="N236" s="759"/>
      <c r="O236" s="759"/>
      <c r="P236" s="759"/>
      <c r="Q236" s="759"/>
      <c r="R236" s="759"/>
      <c r="S236" s="759"/>
      <c r="T236" s="759"/>
      <c r="U236" s="759"/>
    </row>
    <row r="237" spans="1:21" x14ac:dyDescent="0.3">
      <c r="A237" s="759"/>
      <c r="B237" s="759"/>
      <c r="C237" s="759"/>
      <c r="D237" s="759"/>
      <c r="E237" s="759"/>
      <c r="F237" s="759"/>
      <c r="G237" s="759"/>
      <c r="H237" s="759"/>
      <c r="I237" s="759"/>
      <c r="J237" s="759"/>
      <c r="K237" s="759"/>
      <c r="L237" s="759"/>
      <c r="M237" s="759"/>
      <c r="N237" s="759"/>
      <c r="O237" s="759"/>
      <c r="P237" s="759"/>
      <c r="Q237" s="759"/>
      <c r="R237" s="759"/>
      <c r="S237" s="759"/>
      <c r="T237" s="759"/>
      <c r="U237" s="759"/>
    </row>
    <row r="238" spans="1:21" x14ac:dyDescent="0.3">
      <c r="B238" s="759"/>
      <c r="C238" s="759"/>
      <c r="D238" s="759"/>
      <c r="E238" s="759"/>
      <c r="F238" s="759"/>
      <c r="G238" s="759"/>
      <c r="H238" s="759"/>
      <c r="I238" s="759"/>
      <c r="J238" s="759"/>
      <c r="K238" s="759"/>
      <c r="L238" s="759"/>
      <c r="M238" s="759"/>
      <c r="N238" s="759"/>
      <c r="O238" s="759"/>
      <c r="P238" s="759"/>
      <c r="Q238" s="759"/>
      <c r="R238" s="759"/>
      <c r="S238" s="759"/>
      <c r="T238" s="759"/>
      <c r="U238" s="759"/>
    </row>
    <row r="239" spans="1:21" x14ac:dyDescent="0.3">
      <c r="B239" s="759"/>
      <c r="C239" s="759"/>
      <c r="D239" s="759"/>
      <c r="E239" s="759"/>
      <c r="F239" s="759"/>
      <c r="G239" s="759"/>
      <c r="H239" s="759"/>
      <c r="I239" s="759"/>
      <c r="J239" s="759"/>
      <c r="K239" s="759"/>
      <c r="L239" s="759"/>
      <c r="M239" s="759"/>
      <c r="N239" s="759"/>
      <c r="O239" s="759"/>
      <c r="P239" s="759"/>
      <c r="Q239" s="759"/>
      <c r="R239" s="759"/>
      <c r="S239" s="759"/>
      <c r="T239" s="759"/>
      <c r="U239" s="759"/>
    </row>
    <row r="240" spans="1:21" x14ac:dyDescent="0.3">
      <c r="B240" s="759"/>
      <c r="C240" s="759"/>
      <c r="D240" s="759"/>
      <c r="E240" s="759"/>
      <c r="F240" s="759"/>
      <c r="G240" s="759"/>
      <c r="H240" s="759"/>
      <c r="I240" s="759"/>
      <c r="J240" s="759"/>
      <c r="K240" s="759"/>
      <c r="L240" s="759"/>
      <c r="M240" s="759"/>
      <c r="N240" s="759"/>
      <c r="O240" s="759"/>
      <c r="P240" s="759"/>
      <c r="Q240" s="759"/>
      <c r="R240" s="759"/>
      <c r="S240" s="759"/>
      <c r="T240" s="759"/>
      <c r="U240" s="759"/>
    </row>
    <row r="241" spans="2:21" x14ac:dyDescent="0.3">
      <c r="B241" s="759"/>
      <c r="C241" s="759"/>
      <c r="D241" s="759"/>
      <c r="E241" s="759"/>
      <c r="F241" s="759"/>
      <c r="G241" s="759"/>
      <c r="H241" s="759"/>
      <c r="I241" s="759"/>
      <c r="J241" s="759"/>
      <c r="K241" s="759"/>
      <c r="L241" s="759"/>
      <c r="M241" s="759"/>
      <c r="N241" s="759"/>
      <c r="O241" s="759"/>
      <c r="P241" s="759"/>
      <c r="Q241" s="759"/>
      <c r="R241" s="759"/>
      <c r="S241" s="759"/>
      <c r="T241" s="759"/>
      <c r="U241" s="759"/>
    </row>
    <row r="242" spans="2:21" x14ac:dyDescent="0.3">
      <c r="B242" s="759"/>
      <c r="C242" s="759"/>
      <c r="D242" s="759"/>
      <c r="E242" s="759"/>
      <c r="F242" s="759"/>
      <c r="G242" s="759"/>
      <c r="H242" s="759"/>
      <c r="I242" s="759"/>
      <c r="J242" s="759"/>
      <c r="K242" s="759"/>
      <c r="L242" s="759"/>
      <c r="M242" s="759"/>
      <c r="N242" s="759"/>
      <c r="O242" s="759"/>
      <c r="P242" s="759"/>
      <c r="Q242" s="759"/>
      <c r="R242" s="759"/>
      <c r="S242" s="759"/>
      <c r="T242" s="759"/>
      <c r="U242" s="759"/>
    </row>
    <row r="243" spans="2:21" x14ac:dyDescent="0.3">
      <c r="B243" s="759"/>
      <c r="C243" s="759"/>
      <c r="D243" s="759"/>
      <c r="E243" s="759"/>
      <c r="F243" s="759"/>
      <c r="G243" s="759"/>
      <c r="H243" s="759"/>
      <c r="I243" s="759"/>
      <c r="J243" s="759"/>
      <c r="K243" s="759"/>
      <c r="L243" s="759"/>
      <c r="M243" s="759"/>
      <c r="N243" s="759"/>
      <c r="O243" s="759"/>
      <c r="P243" s="759"/>
      <c r="Q243" s="759"/>
      <c r="R243" s="759"/>
      <c r="S243" s="759"/>
      <c r="T243" s="759"/>
      <c r="U243" s="759"/>
    </row>
    <row r="244" spans="2:21" x14ac:dyDescent="0.3">
      <c r="B244" s="759"/>
      <c r="C244" s="759"/>
      <c r="D244" s="759"/>
      <c r="E244" s="759"/>
      <c r="F244" s="759"/>
      <c r="G244" s="759"/>
      <c r="H244" s="759"/>
      <c r="I244" s="759"/>
      <c r="J244" s="759"/>
      <c r="K244" s="759"/>
      <c r="L244" s="759"/>
      <c r="M244" s="759"/>
      <c r="N244" s="759"/>
      <c r="O244" s="759"/>
      <c r="P244" s="759"/>
      <c r="Q244" s="759"/>
      <c r="R244" s="759"/>
      <c r="S244" s="759"/>
      <c r="T244" s="759"/>
      <c r="U244" s="759"/>
    </row>
    <row r="245" spans="2:21" x14ac:dyDescent="0.3">
      <c r="B245" s="759"/>
      <c r="C245" s="759"/>
      <c r="D245" s="759"/>
      <c r="E245" s="759"/>
      <c r="F245" s="759"/>
      <c r="G245" s="759"/>
      <c r="H245" s="759"/>
      <c r="I245" s="759"/>
      <c r="J245" s="759"/>
      <c r="K245" s="759"/>
      <c r="L245" s="759"/>
      <c r="M245" s="759"/>
      <c r="N245" s="759"/>
      <c r="O245" s="759"/>
      <c r="P245" s="759"/>
      <c r="Q245" s="759"/>
      <c r="R245" s="759"/>
      <c r="S245" s="759"/>
      <c r="T245" s="759"/>
      <c r="U245" s="759"/>
    </row>
    <row r="246" spans="2:21" x14ac:dyDescent="0.3">
      <c r="B246" s="759"/>
      <c r="C246" s="759"/>
      <c r="D246" s="759"/>
      <c r="E246" s="759"/>
      <c r="F246" s="759"/>
      <c r="G246" s="759"/>
      <c r="H246" s="759"/>
      <c r="I246" s="759"/>
      <c r="J246" s="759"/>
      <c r="K246" s="759"/>
      <c r="L246" s="759"/>
      <c r="M246" s="759"/>
      <c r="N246" s="759"/>
      <c r="O246" s="759"/>
      <c r="P246" s="759"/>
      <c r="Q246" s="759"/>
      <c r="R246" s="759"/>
      <c r="S246" s="759"/>
      <c r="T246" s="759"/>
      <c r="U246" s="759"/>
    </row>
    <row r="247" spans="2:21" x14ac:dyDescent="0.3">
      <c r="B247" s="759"/>
      <c r="C247" s="759"/>
      <c r="D247" s="759"/>
      <c r="E247" s="759"/>
      <c r="F247" s="759"/>
      <c r="G247" s="759"/>
      <c r="H247" s="759"/>
      <c r="I247" s="759"/>
      <c r="J247" s="759"/>
      <c r="K247" s="759"/>
      <c r="L247" s="759"/>
      <c r="M247" s="759"/>
      <c r="N247" s="759"/>
      <c r="O247" s="759"/>
      <c r="P247" s="759"/>
      <c r="Q247" s="759"/>
      <c r="R247" s="759"/>
      <c r="S247" s="759"/>
      <c r="T247" s="759"/>
      <c r="U247" s="759"/>
    </row>
    <row r="248" spans="2:21" x14ac:dyDescent="0.3">
      <c r="B248" s="759"/>
      <c r="C248" s="759"/>
      <c r="D248" s="759"/>
      <c r="E248" s="759"/>
      <c r="F248" s="759"/>
      <c r="G248" s="759"/>
      <c r="H248" s="759"/>
      <c r="I248" s="759"/>
      <c r="J248" s="759"/>
      <c r="K248" s="759"/>
      <c r="L248" s="759"/>
      <c r="M248" s="759"/>
      <c r="N248" s="759"/>
      <c r="O248" s="759"/>
      <c r="P248" s="759"/>
      <c r="Q248" s="759"/>
      <c r="R248" s="759"/>
      <c r="S248" s="759"/>
      <c r="T248" s="759"/>
      <c r="U248" s="759"/>
    </row>
  </sheetData>
  <sheetProtection algorithmName="SHA-512" hashValue="6QlrRcN6MPxD476heRcNCbAmnCICE7kfAxYSktl4LxnkzlTxqbmUkK4jA50hu30Ozzp0Y+dRssxYmdctP9ej6w==" saltValue="b3UuEbZVDV7V1K814A4/zQ==" spinCount="100000" sheet="1" objects="1" scenarios="1"/>
  <dataConsolidate/>
  <customSheetViews>
    <customSheetView guid="{75D6F8CE-A4F4-4FDD-BA92-7996F9E19FA9}" hiddenRows="1" topLeftCell="A37">
      <selection activeCell="G52" sqref="G52"/>
      <pageMargins left="0.7" right="0.7" top="0.75" bottom="0.75" header="0.3" footer="0.3"/>
      <pageSetup orientation="portrait" r:id="rId1"/>
    </customSheetView>
  </customSheetViews>
  <mergeCells count="106">
    <mergeCell ref="S29:S30"/>
    <mergeCell ref="Q21:U21"/>
    <mergeCell ref="T9:U9"/>
    <mergeCell ref="N9:O9"/>
    <mergeCell ref="P9:Q9"/>
    <mergeCell ref="B15:S15"/>
    <mergeCell ref="D9:E9"/>
    <mergeCell ref="F9:G9"/>
    <mergeCell ref="B13:S13"/>
    <mergeCell ref="T29:T30"/>
    <mergeCell ref="U29:U30"/>
    <mergeCell ref="M29:N29"/>
    <mergeCell ref="B14:S14"/>
    <mergeCell ref="J9:K9"/>
    <mergeCell ref="L9:M9"/>
    <mergeCell ref="H9:I9"/>
    <mergeCell ref="B16:S16"/>
    <mergeCell ref="B17:S17"/>
    <mergeCell ref="B18:S18"/>
    <mergeCell ref="B19:S19"/>
    <mergeCell ref="R9:S9"/>
    <mergeCell ref="B9:C10"/>
    <mergeCell ref="O29:O30"/>
    <mergeCell ref="B28:B30"/>
    <mergeCell ref="C28:C30"/>
    <mergeCell ref="D28:D30"/>
    <mergeCell ref="E28:E30"/>
    <mergeCell ref="F28:F30"/>
    <mergeCell ref="P29:P30"/>
    <mergeCell ref="Q29:Q30"/>
    <mergeCell ref="R29:R30"/>
    <mergeCell ref="G28:G30"/>
    <mergeCell ref="H29:I29"/>
    <mergeCell ref="L29:L30"/>
    <mergeCell ref="J29:J30"/>
    <mergeCell ref="K29:K30"/>
    <mergeCell ref="B42:V42"/>
    <mergeCell ref="B44:B46"/>
    <mergeCell ref="C44:C46"/>
    <mergeCell ref="D44:D46"/>
    <mergeCell ref="E44:E46"/>
    <mergeCell ref="L44:L46"/>
    <mergeCell ref="M44:R44"/>
    <mergeCell ref="M45:O45"/>
    <mergeCell ref="P45:R45"/>
    <mergeCell ref="S44:S46"/>
    <mergeCell ref="T44:U45"/>
    <mergeCell ref="D71:D73"/>
    <mergeCell ref="E71:E73"/>
    <mergeCell ref="F71:K71"/>
    <mergeCell ref="L71:L73"/>
    <mergeCell ref="M71:R71"/>
    <mergeCell ref="S71:S73"/>
    <mergeCell ref="T71:U72"/>
    <mergeCell ref="F72:H72"/>
    <mergeCell ref="I72:K72"/>
    <mergeCell ref="M72:O72"/>
    <mergeCell ref="P72:R72"/>
    <mergeCell ref="T83:U83"/>
    <mergeCell ref="Q55:Q57"/>
    <mergeCell ref="R55:U55"/>
    <mergeCell ref="H56:I56"/>
    <mergeCell ref="J56:J57"/>
    <mergeCell ref="K56:K57"/>
    <mergeCell ref="B80:Q80"/>
    <mergeCell ref="R80:U80"/>
    <mergeCell ref="C81:Q81"/>
    <mergeCell ref="T81:U81"/>
    <mergeCell ref="B55:B57"/>
    <mergeCell ref="C55:C57"/>
    <mergeCell ref="D55:D57"/>
    <mergeCell ref="E55:E57"/>
    <mergeCell ref="F55:F57"/>
    <mergeCell ref="G55:G57"/>
    <mergeCell ref="H55:K55"/>
    <mergeCell ref="L55:L57"/>
    <mergeCell ref="M55:P55"/>
    <mergeCell ref="C82:Q82"/>
    <mergeCell ref="T82:U82"/>
    <mergeCell ref="B69:U69"/>
    <mergeCell ref="B71:B73"/>
    <mergeCell ref="C71:C73"/>
    <mergeCell ref="B26:U26"/>
    <mergeCell ref="H88:H89"/>
    <mergeCell ref="T56:T57"/>
    <mergeCell ref="U56:U57"/>
    <mergeCell ref="B85:U85"/>
    <mergeCell ref="B87:B89"/>
    <mergeCell ref="C87:C89"/>
    <mergeCell ref="D87:E88"/>
    <mergeCell ref="F87:H87"/>
    <mergeCell ref="I87:J88"/>
    <mergeCell ref="K87:L88"/>
    <mergeCell ref="M87:N88"/>
    <mergeCell ref="O87:P88"/>
    <mergeCell ref="Q87:R88"/>
    <mergeCell ref="S87:S89"/>
    <mergeCell ref="T87:U88"/>
    <mergeCell ref="F88:F89"/>
    <mergeCell ref="G88:G89"/>
    <mergeCell ref="M56:N56"/>
    <mergeCell ref="O56:O57"/>
    <mergeCell ref="P56:P57"/>
    <mergeCell ref="R56:R57"/>
    <mergeCell ref="S56:S57"/>
    <mergeCell ref="C83:Q83"/>
  </mergeCells>
  <dataValidations count="6">
    <dataValidation type="list" allowBlank="1" showInputMessage="1" showErrorMessage="1" sqref="E59:E62 E32:E35" xr:uid="{00000000-0002-0000-0600-000000000000}">
      <formula1>"Yes, No"</formula1>
    </dataValidation>
    <dataValidation type="list" allowBlank="1" showInputMessage="1" showErrorMessage="1" sqref="C59:C62" xr:uid="{00000000-0002-0000-0600-000001000000}">
      <formula1>Homes_LaundryEqpList</formula1>
    </dataValidation>
    <dataValidation type="list" allowBlank="1" showInputMessage="1" showErrorMessage="1" sqref="C32:C35" xr:uid="{00000000-0002-0000-0600-000002000000}">
      <formula1>Homes_DwellingEqpList</formula1>
    </dataValidation>
    <dataValidation type="list" allowBlank="1" showInputMessage="1" showErrorMessage="1" sqref="B59:B62 B32:B35" xr:uid="{00000000-0002-0000-0600-000003000000}">
      <formula1>BuildingIDLookup</formula1>
    </dataValidation>
    <dataValidation type="decimal" allowBlank="1" showInputMessage="1" showErrorMessage="1" sqref="D12:U12" xr:uid="{00000000-0002-0000-0600-000004000000}">
      <formula1>0</formula1>
      <formula2>100000</formula2>
    </dataValidation>
    <dataValidation type="list" allowBlank="1" showInputMessage="1" showErrorMessage="1" sqref="C91" xr:uid="{00000000-0002-0000-0600-000005000000}">
      <formula1>MD_SWH_Profile</formula1>
    </dataValidation>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0835" r:id="rId5" name="Button 3">
              <controlPr defaultSize="0" print="0" autoFill="0" autoPict="0" macro="[0]!addA">
                <anchor moveWithCells="1" sizeWithCells="1">
                  <from>
                    <xdr:col>1</xdr:col>
                    <xdr:colOff>22860</xdr:colOff>
                    <xdr:row>36</xdr:row>
                    <xdr:rowOff>175260</xdr:rowOff>
                  </from>
                  <to>
                    <xdr:col>2</xdr:col>
                    <xdr:colOff>556260</xdr:colOff>
                    <xdr:row>38</xdr:row>
                    <xdr:rowOff>38100</xdr:rowOff>
                  </to>
                </anchor>
              </controlPr>
            </control>
          </mc:Choice>
        </mc:AlternateContent>
        <mc:AlternateContent xmlns:mc="http://schemas.openxmlformats.org/markup-compatibility/2006">
          <mc:Choice Requires="x14">
            <control shapeId="120837" r:id="rId6" name="Button 5">
              <controlPr defaultSize="0" print="0" autoFill="0" autoPict="0" macro="[0]!DeleteSome">
                <anchor moveWithCells="1" sizeWithCells="1">
                  <from>
                    <xdr:col>2</xdr:col>
                    <xdr:colOff>632460</xdr:colOff>
                    <xdr:row>36</xdr:row>
                    <xdr:rowOff>175260</xdr:rowOff>
                  </from>
                  <to>
                    <xdr:col>3</xdr:col>
                    <xdr:colOff>312420</xdr:colOff>
                    <xdr:row>38</xdr:row>
                    <xdr:rowOff>38100</xdr:rowOff>
                  </to>
                </anchor>
              </controlPr>
            </control>
          </mc:Choice>
        </mc:AlternateContent>
        <mc:AlternateContent xmlns:mc="http://schemas.openxmlformats.org/markup-compatibility/2006">
          <mc:Choice Requires="x14">
            <control shapeId="120839" r:id="rId7" name="Button 7">
              <controlPr defaultSize="0" print="0" autoFill="0" autoPict="0" macro="[0]!addB">
                <anchor moveWithCells="1" sizeWithCells="1">
                  <from>
                    <xdr:col>1</xdr:col>
                    <xdr:colOff>22860</xdr:colOff>
                    <xdr:row>63</xdr:row>
                    <xdr:rowOff>83820</xdr:rowOff>
                  </from>
                  <to>
                    <xdr:col>2</xdr:col>
                    <xdr:colOff>556260</xdr:colOff>
                    <xdr:row>64</xdr:row>
                    <xdr:rowOff>144780</xdr:rowOff>
                  </to>
                </anchor>
              </controlPr>
            </control>
          </mc:Choice>
        </mc:AlternateContent>
        <mc:AlternateContent xmlns:mc="http://schemas.openxmlformats.org/markup-compatibility/2006">
          <mc:Choice Requires="x14">
            <control shapeId="120840" r:id="rId8" name="Button 8">
              <controlPr defaultSize="0" print="0" autoFill="0" autoPict="0" macro="[0]!DeleteSome">
                <anchor moveWithCells="1" sizeWithCells="1">
                  <from>
                    <xdr:col>2</xdr:col>
                    <xdr:colOff>632460</xdr:colOff>
                    <xdr:row>63</xdr:row>
                    <xdr:rowOff>83820</xdr:rowOff>
                  </from>
                  <to>
                    <xdr:col>3</xdr:col>
                    <xdr:colOff>312420</xdr:colOff>
                    <xdr:row>64</xdr:row>
                    <xdr:rowOff>144780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U90"/>
  <sheetViews>
    <sheetView showGridLines="0" topLeftCell="A31" zoomScale="90" zoomScaleNormal="90" zoomScaleSheetLayoutView="100" zoomScalePageLayoutView="90" workbookViewId="0">
      <selection activeCell="I44" sqref="I44"/>
    </sheetView>
  </sheetViews>
  <sheetFormatPr defaultColWidth="8.6640625" defaultRowHeight="13.2" outlineLevelCol="1" x14ac:dyDescent="0.3"/>
  <cols>
    <col min="1" max="1" width="2.6640625" style="590" customWidth="1"/>
    <col min="2" max="3" width="14.6640625" style="94" customWidth="1"/>
    <col min="4" max="4" width="12.6640625" style="94" customWidth="1"/>
    <col min="5" max="5" width="1.6640625" style="85" customWidth="1"/>
    <col min="6" max="6" width="40.6640625" style="94" customWidth="1"/>
    <col min="7" max="7" width="14.6640625" style="85" customWidth="1"/>
    <col min="8" max="8" width="40.6640625" style="94" customWidth="1"/>
    <col min="9" max="9" width="14.6640625" style="94" customWidth="1"/>
    <col min="10" max="10" width="2" style="94" customWidth="1"/>
    <col min="11" max="12" width="14.6640625" style="85" customWidth="1"/>
    <col min="13" max="13" width="2.77734375" style="85" customWidth="1"/>
    <col min="14" max="14" width="10.6640625" style="91" hidden="1" customWidth="1" outlineLevel="1"/>
    <col min="15" max="16" width="10.6640625" style="85" hidden="1" customWidth="1" outlineLevel="1"/>
    <col min="17" max="18" width="8.6640625" style="85" hidden="1" customWidth="1" outlineLevel="1"/>
    <col min="19" max="19" width="2.77734375" style="85" customWidth="1" collapsed="1"/>
    <col min="20" max="20" width="2.77734375" style="85" customWidth="1"/>
    <col min="21" max="21" width="50.77734375" style="85" customWidth="1"/>
    <col min="22" max="26" width="8.6640625" style="85" customWidth="1"/>
    <col min="27" max="16384" width="8.6640625" style="85"/>
  </cols>
  <sheetData>
    <row r="1" spans="1:21" x14ac:dyDescent="0.25">
      <c r="A1" s="717" t="s">
        <v>1299</v>
      </c>
      <c r="B1" s="88"/>
      <c r="C1" s="88"/>
      <c r="D1" s="88"/>
      <c r="E1" s="88"/>
      <c r="F1" s="87"/>
      <c r="G1" s="88"/>
      <c r="H1" s="87"/>
      <c r="I1" s="87"/>
      <c r="J1" s="88"/>
      <c r="K1" s="88"/>
      <c r="L1" s="88"/>
      <c r="M1" s="89"/>
      <c r="N1" s="89"/>
      <c r="O1" s="89"/>
    </row>
    <row r="2" spans="1:21" ht="24.75" customHeight="1" x14ac:dyDescent="0.25">
      <c r="A2" s="717" t="s">
        <v>1299</v>
      </c>
      <c r="B2" s="40" t="s">
        <v>1032</v>
      </c>
      <c r="C2" s="40"/>
      <c r="D2" s="40"/>
      <c r="E2" s="40"/>
      <c r="F2" s="40"/>
      <c r="G2" s="40"/>
      <c r="H2" s="40"/>
      <c r="I2" s="40"/>
      <c r="J2" s="40"/>
      <c r="K2" s="40"/>
      <c r="L2" s="40"/>
      <c r="M2" s="89"/>
      <c r="N2" s="89"/>
      <c r="O2" s="89"/>
    </row>
    <row r="3" spans="1:21" ht="15" customHeight="1" x14ac:dyDescent="0.25">
      <c r="A3" s="717" t="s">
        <v>1299</v>
      </c>
      <c r="B3" s="88"/>
      <c r="C3" s="88"/>
      <c r="D3" s="88"/>
      <c r="E3" s="88"/>
      <c r="F3" s="87"/>
      <c r="G3" s="88"/>
      <c r="H3" s="87"/>
      <c r="I3" s="87"/>
      <c r="J3" s="88"/>
      <c r="K3" s="88"/>
      <c r="L3" s="88"/>
      <c r="M3" s="89"/>
      <c r="N3" s="89"/>
      <c r="O3" s="89"/>
    </row>
    <row r="4" spans="1:21" s="89" customFormat="1" ht="21.75" customHeight="1" x14ac:dyDescent="0.25">
      <c r="A4" s="593" t="s">
        <v>1299</v>
      </c>
    </row>
    <row r="5" spans="1:21" ht="46.5" customHeight="1" x14ac:dyDescent="0.25">
      <c r="A5" s="593" t="s">
        <v>1299</v>
      </c>
      <c r="B5" s="2209" t="s">
        <v>1137</v>
      </c>
      <c r="C5" s="2209"/>
      <c r="D5" s="2209"/>
      <c r="E5" s="2209"/>
      <c r="F5" s="2209"/>
      <c r="G5" s="2209"/>
      <c r="H5" s="2209"/>
      <c r="I5" s="2209"/>
      <c r="J5" s="2209"/>
      <c r="K5" s="2209"/>
      <c r="L5" s="39"/>
      <c r="M5" s="39"/>
      <c r="N5" s="39"/>
      <c r="U5" s="750" t="s">
        <v>2090</v>
      </c>
    </row>
    <row r="6" spans="1:21" ht="20.25" customHeight="1" x14ac:dyDescent="0.25">
      <c r="A6" s="593" t="s">
        <v>1299</v>
      </c>
      <c r="B6" s="35"/>
      <c r="C6" s="35"/>
      <c r="D6" s="35"/>
      <c r="E6" s="35"/>
      <c r="F6" s="35"/>
      <c r="G6" s="35"/>
      <c r="H6" s="35"/>
      <c r="I6" s="35"/>
      <c r="J6" s="35"/>
      <c r="K6" s="35"/>
      <c r="L6" s="35"/>
      <c r="N6" s="85"/>
    </row>
    <row r="7" spans="1:21" ht="24" customHeight="1" x14ac:dyDescent="0.25">
      <c r="A7" s="593" t="s">
        <v>1299</v>
      </c>
      <c r="B7" s="26" t="s">
        <v>177</v>
      </c>
      <c r="C7" s="90"/>
      <c r="D7" s="90"/>
      <c r="E7" s="90"/>
      <c r="F7" s="90"/>
      <c r="G7" s="90"/>
      <c r="H7" s="728"/>
      <c r="I7" s="90"/>
      <c r="J7" s="90"/>
      <c r="K7" s="90"/>
      <c r="L7" s="90"/>
      <c r="N7" s="85"/>
    </row>
    <row r="8" spans="1:21" ht="15" customHeight="1" x14ac:dyDescent="0.25">
      <c r="A8" s="593" t="s">
        <v>1299</v>
      </c>
      <c r="B8" s="29"/>
      <c r="C8" s="90"/>
      <c r="D8" s="90"/>
      <c r="E8" s="90"/>
      <c r="F8" s="90"/>
      <c r="G8" s="90"/>
      <c r="H8" s="90"/>
      <c r="I8" s="90"/>
      <c r="J8" s="90"/>
      <c r="K8" s="90"/>
      <c r="L8" s="90"/>
      <c r="N8" s="85"/>
    </row>
    <row r="9" spans="1:21" ht="45" customHeight="1" x14ac:dyDescent="0.3">
      <c r="A9" s="593" t="s">
        <v>1299</v>
      </c>
      <c r="B9" s="2219" t="s">
        <v>1109</v>
      </c>
      <c r="C9" s="2211"/>
      <c r="D9" s="2211"/>
      <c r="E9" s="2211"/>
      <c r="F9" s="2212"/>
      <c r="G9" s="2220" t="s">
        <v>2242</v>
      </c>
      <c r="H9" s="2221"/>
      <c r="I9" s="2221"/>
      <c r="J9" s="2221"/>
      <c r="K9" s="2221"/>
      <c r="L9" s="2222"/>
      <c r="N9" s="85"/>
      <c r="U9" s="1887"/>
    </row>
    <row r="10" spans="1:21" ht="15" customHeight="1" x14ac:dyDescent="0.25">
      <c r="A10" s="593" t="s">
        <v>1299</v>
      </c>
      <c r="B10" s="86"/>
      <c r="C10" s="86"/>
      <c r="D10" s="86"/>
      <c r="E10" s="86"/>
      <c r="F10" s="86"/>
      <c r="G10" s="522"/>
      <c r="H10" s="522"/>
      <c r="I10" s="522"/>
      <c r="J10" s="522"/>
      <c r="K10" s="522"/>
      <c r="L10" s="523"/>
      <c r="N10" s="85"/>
    </row>
    <row r="11" spans="1:21" ht="33" customHeight="1" x14ac:dyDescent="0.3">
      <c r="A11" s="593" t="s">
        <v>1299</v>
      </c>
      <c r="B11" s="2210" t="s">
        <v>178</v>
      </c>
      <c r="C11" s="2211"/>
      <c r="D11" s="2211"/>
      <c r="E11" s="2211"/>
      <c r="F11" s="2212"/>
      <c r="G11" s="2220" t="s">
        <v>2243</v>
      </c>
      <c r="H11" s="2221"/>
      <c r="I11" s="2221"/>
      <c r="J11" s="2221"/>
      <c r="K11" s="2221"/>
      <c r="L11" s="2222"/>
      <c r="N11" s="85"/>
      <c r="U11" s="1887"/>
    </row>
    <row r="12" spans="1:21" ht="15" customHeight="1" x14ac:dyDescent="0.25">
      <c r="A12" s="593" t="s">
        <v>1299</v>
      </c>
      <c r="B12" s="86"/>
      <c r="C12" s="86"/>
      <c r="D12" s="86"/>
      <c r="E12" s="86"/>
      <c r="F12" s="86"/>
      <c r="G12" s="522"/>
      <c r="H12" s="522"/>
      <c r="I12" s="522"/>
      <c r="J12" s="522"/>
      <c r="K12" s="522"/>
      <c r="L12" s="523"/>
      <c r="N12" s="85"/>
    </row>
    <row r="13" spans="1:21" ht="34.5" customHeight="1" x14ac:dyDescent="0.3">
      <c r="A13" s="593" t="s">
        <v>1299</v>
      </c>
      <c r="B13" s="2213" t="s">
        <v>433</v>
      </c>
      <c r="C13" s="2214"/>
      <c r="D13" s="2214"/>
      <c r="E13" s="2214"/>
      <c r="F13" s="2215"/>
      <c r="G13" s="2220" t="s">
        <v>2244</v>
      </c>
      <c r="H13" s="2221"/>
      <c r="I13" s="2221"/>
      <c r="J13" s="2221"/>
      <c r="K13" s="2221"/>
      <c r="L13" s="2222"/>
      <c r="N13" s="85"/>
      <c r="U13" s="1887"/>
    </row>
    <row r="14" spans="1:21" ht="15" customHeight="1" x14ac:dyDescent="0.25">
      <c r="A14" s="593" t="s">
        <v>1299</v>
      </c>
      <c r="B14" s="93"/>
      <c r="C14" s="93"/>
      <c r="D14" s="93"/>
      <c r="E14" s="93"/>
      <c r="F14" s="93"/>
      <c r="G14" s="93"/>
      <c r="H14" s="85"/>
      <c r="I14" s="85"/>
      <c r="J14" s="92"/>
      <c r="K14" s="92"/>
      <c r="L14" s="90"/>
      <c r="N14" s="85"/>
    </row>
    <row r="15" spans="1:21" ht="63" customHeight="1" x14ac:dyDescent="0.3">
      <c r="A15" s="593" t="s">
        <v>1299</v>
      </c>
      <c r="B15" s="2216" t="s">
        <v>1174</v>
      </c>
      <c r="C15" s="2217"/>
      <c r="D15" s="2217"/>
      <c r="E15" s="2217"/>
      <c r="F15" s="2218"/>
      <c r="G15" s="2220" t="s">
        <v>25</v>
      </c>
      <c r="H15" s="2221"/>
      <c r="I15" s="2221"/>
      <c r="J15" s="2221"/>
      <c r="K15" s="2221"/>
      <c r="L15" s="2222"/>
      <c r="N15" s="85"/>
      <c r="U15" s="1887"/>
    </row>
    <row r="16" spans="1:21" customFormat="1" ht="15" customHeight="1" x14ac:dyDescent="0.3">
      <c r="A16" s="593" t="s">
        <v>1299</v>
      </c>
      <c r="H16" s="85"/>
      <c r="I16" s="85"/>
      <c r="N16" s="85"/>
      <c r="O16" s="85"/>
      <c r="P16" s="85"/>
    </row>
    <row r="17" spans="1:21" ht="33" customHeight="1" x14ac:dyDescent="0.3">
      <c r="A17" s="593" t="s">
        <v>1299</v>
      </c>
      <c r="B17" s="2207" t="s">
        <v>1175</v>
      </c>
      <c r="C17" s="2208"/>
      <c r="D17" s="2208"/>
      <c r="E17" s="2208"/>
      <c r="F17" s="2208"/>
      <c r="G17" s="2208"/>
      <c r="H17" s="2208"/>
      <c r="I17" s="2208"/>
      <c r="J17" s="2208"/>
      <c r="K17" s="2223" t="s">
        <v>25</v>
      </c>
      <c r="L17" s="2222"/>
      <c r="M17"/>
      <c r="N17" s="85"/>
      <c r="U17" s="1887"/>
    </row>
    <row r="18" spans="1:21" ht="10.5" customHeight="1" x14ac:dyDescent="0.3">
      <c r="A18" s="593" t="s">
        <v>1299</v>
      </c>
      <c r="B18" s="95"/>
      <c r="C18" s="96"/>
      <c r="D18" s="96"/>
      <c r="E18" s="96"/>
      <c r="F18" s="96"/>
      <c r="G18" s="96"/>
      <c r="H18" s="93"/>
      <c r="I18" s="93"/>
      <c r="J18" s="93"/>
      <c r="K18" s="92"/>
      <c r="L18"/>
      <c r="M18"/>
      <c r="N18" s="85"/>
    </row>
    <row r="19" spans="1:21" ht="33" customHeight="1" x14ac:dyDescent="0.3">
      <c r="A19" s="593" t="s">
        <v>1299</v>
      </c>
      <c r="B19" s="2207" t="str">
        <f>IF(RatingSystem_IDC,CONCATENATE("All existing envelope opaque assemblies were modeled as required by Table 5.5 for the project's climate zone and Table G3.1#5(Proposed)(b) as lightweight assembly types,"," and are not modeled using Exception (f) per Rating system requirements"),CONCATENATE("All baseline existing roofs, above-grade exterior walls, below-grade exterior walls, exposed floors, slab-on-grade floors, and opaque doors were modeled"," using the existing conditions prior to any revisions in spaces with unchanged space conditioning categories."))</f>
        <v>All baseline existing roofs, above-grade exterior walls, below-grade exterior walls, exposed floors, slab-on-grade floors, and opaque doors were modeled using the existing conditions prior to any revisions in spaces with unchanged space conditioning categories.</v>
      </c>
      <c r="C19" s="2208"/>
      <c r="D19" s="2208"/>
      <c r="E19" s="2208"/>
      <c r="F19" s="2208"/>
      <c r="G19" s="2208"/>
      <c r="H19" s="2208"/>
      <c r="I19" s="2208"/>
      <c r="J19" s="2208"/>
      <c r="K19" s="2223" t="s">
        <v>25</v>
      </c>
      <c r="L19" s="2222"/>
      <c r="M19" s="92"/>
      <c r="N19" s="85"/>
      <c r="U19" s="1887"/>
    </row>
    <row r="20" spans="1:21" ht="10.5" customHeight="1" x14ac:dyDescent="0.25">
      <c r="A20" s="593" t="s">
        <v>1299</v>
      </c>
      <c r="B20" s="95"/>
      <c r="C20" s="96"/>
      <c r="D20" s="96"/>
      <c r="E20" s="96"/>
      <c r="F20" s="96"/>
      <c r="G20" s="96"/>
      <c r="H20" s="93"/>
      <c r="I20" s="93"/>
      <c r="J20" s="93"/>
      <c r="K20" s="92"/>
      <c r="L20" s="92"/>
      <c r="M20" s="92"/>
      <c r="N20" s="85"/>
    </row>
    <row r="21" spans="1:21" ht="33" customHeight="1" x14ac:dyDescent="0.3">
      <c r="A21" s="593" t="s">
        <v>1299</v>
      </c>
      <c r="B21" s="2207" t="s">
        <v>1134</v>
      </c>
      <c r="C21" s="2208"/>
      <c r="D21" s="2208"/>
      <c r="E21" s="2208"/>
      <c r="F21" s="2208"/>
      <c r="G21" s="2208"/>
      <c r="H21" s="2208"/>
      <c r="I21" s="2208"/>
      <c r="J21" s="2208"/>
      <c r="K21" s="2223" t="s">
        <v>25</v>
      </c>
      <c r="L21" s="2222"/>
      <c r="M21" s="92"/>
      <c r="N21" s="85"/>
      <c r="U21" s="1887"/>
    </row>
    <row r="22" spans="1:21" ht="10.5" customHeight="1" x14ac:dyDescent="0.25">
      <c r="A22" s="593" t="s">
        <v>1299</v>
      </c>
      <c r="B22" s="95"/>
      <c r="C22" s="96"/>
      <c r="D22" s="96"/>
      <c r="E22" s="96"/>
      <c r="F22" s="96"/>
      <c r="G22" s="96"/>
      <c r="H22" s="93"/>
      <c r="I22" s="93"/>
      <c r="J22" s="93"/>
      <c r="K22" s="92"/>
      <c r="L22" s="92"/>
      <c r="M22" s="92"/>
      <c r="N22" s="85"/>
    </row>
    <row r="23" spans="1:21" ht="21" customHeight="1" x14ac:dyDescent="0.3">
      <c r="A23" s="593" t="s">
        <v>1299</v>
      </c>
      <c r="B23" s="2207" t="s">
        <v>1135</v>
      </c>
      <c r="C23" s="2208"/>
      <c r="D23" s="2208"/>
      <c r="E23" s="2208"/>
      <c r="F23" s="2208"/>
      <c r="G23" s="2208"/>
      <c r="H23" s="2208"/>
      <c r="I23" s="2208"/>
      <c r="J23" s="2208"/>
      <c r="K23" s="2223" t="s">
        <v>25</v>
      </c>
      <c r="L23" s="2222"/>
      <c r="M23" s="92"/>
      <c r="N23" s="85"/>
      <c r="U23" s="1887"/>
    </row>
    <row r="24" spans="1:21" customFormat="1" ht="21" customHeight="1" x14ac:dyDescent="0.3">
      <c r="A24" s="593" t="s">
        <v>1299</v>
      </c>
      <c r="L24" s="92"/>
      <c r="M24" s="92"/>
      <c r="N24" s="85"/>
      <c r="O24" s="85"/>
    </row>
    <row r="25" spans="1:21" ht="54.75" customHeight="1" x14ac:dyDescent="0.25">
      <c r="A25" s="593" t="s">
        <v>1299</v>
      </c>
      <c r="B25" s="2239" t="s">
        <v>304</v>
      </c>
      <c r="C25" s="2239"/>
      <c r="D25" s="2239"/>
      <c r="E25" s="2239"/>
      <c r="F25" s="2239"/>
      <c r="G25" s="2239"/>
      <c r="H25" s="2239"/>
      <c r="I25" s="2239"/>
      <c r="J25" s="2239"/>
      <c r="K25" s="2239"/>
      <c r="L25" s="2240"/>
      <c r="M25" s="97"/>
      <c r="N25" s="97"/>
    </row>
    <row r="26" spans="1:21" ht="21" customHeight="1" x14ac:dyDescent="0.3">
      <c r="A26" s="593" t="s">
        <v>1299</v>
      </c>
      <c r="B26" s="2241"/>
      <c r="C26" s="2242"/>
      <c r="D26" s="2242"/>
      <c r="E26" s="2242"/>
      <c r="F26" s="2242"/>
      <c r="G26" s="2242"/>
      <c r="H26" s="2242"/>
      <c r="I26" s="2242"/>
      <c r="J26" s="2242"/>
      <c r="K26" s="2242"/>
      <c r="L26" s="2243"/>
      <c r="M26" s="97"/>
      <c r="N26" s="97"/>
      <c r="U26" s="1887"/>
    </row>
    <row r="27" spans="1:21" ht="30.75" customHeight="1" x14ac:dyDescent="0.25">
      <c r="A27" s="593" t="s">
        <v>1299</v>
      </c>
      <c r="B27" s="30"/>
      <c r="C27" s="31"/>
      <c r="D27" s="31"/>
      <c r="E27" s="31"/>
      <c r="F27" s="31"/>
      <c r="G27" s="31"/>
      <c r="H27" s="31"/>
      <c r="I27" s="31"/>
      <c r="J27" s="31"/>
      <c r="K27" s="31"/>
      <c r="L27" s="97"/>
      <c r="N27" s="85"/>
    </row>
    <row r="28" spans="1:21" ht="30" customHeight="1" x14ac:dyDescent="0.25">
      <c r="A28" s="593" t="s">
        <v>1299</v>
      </c>
      <c r="B28" s="26" t="s">
        <v>179</v>
      </c>
      <c r="C28" s="31"/>
      <c r="D28" s="31"/>
      <c r="E28" s="31"/>
      <c r="F28" s="31"/>
      <c r="G28" s="31"/>
      <c r="H28" s="31"/>
      <c r="I28" s="31"/>
      <c r="J28" s="31"/>
      <c r="K28" s="31"/>
      <c r="L28" s="31"/>
      <c r="N28" s="85"/>
    </row>
    <row r="29" spans="1:21" ht="26.25" customHeight="1" x14ac:dyDescent="0.25">
      <c r="A29" s="593" t="s">
        <v>1299</v>
      </c>
      <c r="B29" s="105" t="s">
        <v>4</v>
      </c>
      <c r="C29" s="31"/>
      <c r="D29" s="31"/>
      <c r="E29" s="31"/>
      <c r="F29" s="31"/>
      <c r="G29" s="31"/>
      <c r="H29" s="31"/>
      <c r="I29" s="31"/>
      <c r="J29" s="31"/>
      <c r="K29" s="31"/>
      <c r="L29" s="31"/>
      <c r="N29" s="85"/>
    </row>
    <row r="30" spans="1:21" ht="34.200000000000003" customHeight="1" x14ac:dyDescent="0.25">
      <c r="A30" s="593" t="s">
        <v>1299</v>
      </c>
      <c r="B30" s="2224" t="s">
        <v>305</v>
      </c>
      <c r="C30" s="2226"/>
      <c r="D30" s="2225"/>
      <c r="E30" s="793"/>
      <c r="F30" s="2224" t="s">
        <v>347</v>
      </c>
      <c r="G30" s="2225"/>
      <c r="H30" s="2232" t="s">
        <v>348</v>
      </c>
      <c r="I30" s="2225"/>
      <c r="J30" s="41"/>
      <c r="K30" s="2224" t="s">
        <v>1176</v>
      </c>
      <c r="L30" s="2225"/>
      <c r="M30" s="31"/>
      <c r="N30" s="85"/>
    </row>
    <row r="31" spans="1:21" ht="39.6" x14ac:dyDescent="0.25">
      <c r="A31" s="593" t="s">
        <v>1299</v>
      </c>
      <c r="B31" s="274" t="s">
        <v>1358</v>
      </c>
      <c r="C31" s="285" t="s">
        <v>303</v>
      </c>
      <c r="D31" s="275" t="s">
        <v>22</v>
      </c>
      <c r="E31" s="794"/>
      <c r="F31" s="274" t="s">
        <v>3</v>
      </c>
      <c r="G31" s="275" t="s">
        <v>1990</v>
      </c>
      <c r="H31" s="1455" t="s">
        <v>3</v>
      </c>
      <c r="I31" s="275" t="s">
        <v>307</v>
      </c>
      <c r="J31" s="42"/>
      <c r="K31" s="274" t="s">
        <v>347</v>
      </c>
      <c r="L31" s="275" t="s">
        <v>348</v>
      </c>
      <c r="M31" s="31"/>
      <c r="N31" s="85"/>
    </row>
    <row r="32" spans="1:21" ht="66.75" customHeight="1" x14ac:dyDescent="0.25">
      <c r="A32" s="593" t="s">
        <v>1299</v>
      </c>
      <c r="B32" s="2227" t="s">
        <v>1888</v>
      </c>
      <c r="C32" s="2228"/>
      <c r="D32" s="2229"/>
      <c r="E32" s="954"/>
      <c r="F32" s="2230" t="s">
        <v>1704</v>
      </c>
      <c r="G32" s="2231"/>
      <c r="H32" s="2230" t="s">
        <v>1705</v>
      </c>
      <c r="I32" s="2231"/>
      <c r="J32" s="954"/>
      <c r="K32" s="2230" t="s">
        <v>1706</v>
      </c>
      <c r="L32" s="2231"/>
      <c r="M32" s="31"/>
      <c r="N32" s="85"/>
    </row>
    <row r="33" spans="1:21" ht="66.75" hidden="1" customHeight="1" x14ac:dyDescent="0.25">
      <c r="A33" s="593" t="s">
        <v>1299</v>
      </c>
      <c r="B33" s="1456" t="str">
        <f>B31</f>
        <v>Building ID</v>
      </c>
      <c r="C33" s="1456" t="str">
        <f t="shared" ref="C33:L33" si="0">C31</f>
        <v>New or 
Existing
Construction</v>
      </c>
      <c r="D33" s="1456" t="str">
        <f t="shared" si="0"/>
        <v>Space-Conditioning Category</v>
      </c>
      <c r="E33" s="1209"/>
      <c r="F33" s="1456" t="s">
        <v>1988</v>
      </c>
      <c r="G33" s="1456" t="str">
        <f t="shared" si="0"/>
        <v>Assembly U-factor</v>
      </c>
      <c r="H33" s="1456" t="s">
        <v>1989</v>
      </c>
      <c r="I33" s="1456" t="str">
        <f t="shared" si="0"/>
        <v>Assembly 
U-factor</v>
      </c>
      <c r="J33" s="1209"/>
      <c r="K33" s="1456" t="str">
        <f t="shared" si="0"/>
        <v>Baseline</v>
      </c>
      <c r="L33" s="1456" t="str">
        <f t="shared" si="0"/>
        <v>Proposed</v>
      </c>
      <c r="M33" s="31"/>
      <c r="N33" s="85"/>
      <c r="Q33" s="1352" t="s">
        <v>1986</v>
      </c>
      <c r="R33" s="1352" t="s">
        <v>1987</v>
      </c>
    </row>
    <row r="34" spans="1:21" ht="33" hidden="1" customHeight="1" x14ac:dyDescent="0.3">
      <c r="A34" s="590" t="s">
        <v>915</v>
      </c>
      <c r="B34" s="319" t="str">
        <f>GI_Project_Name</f>
        <v>Saudi Aramco Corporate Academy - Dhahran</v>
      </c>
      <c r="C34" s="501"/>
      <c r="D34" s="504"/>
      <c r="E34" s="323"/>
      <c r="F34" s="1976" t="str">
        <f>IF(AND($O34&lt;&gt;0,$D34&lt;&gt;""),$O34,"")</f>
        <v/>
      </c>
      <c r="G34" s="1977" t="str">
        <f>IF(AND($P34&lt;&gt;0,$D34&lt;&gt;""),$P34,"")</f>
        <v/>
      </c>
      <c r="H34" s="909"/>
      <c r="I34" s="320"/>
      <c r="J34" s="323"/>
      <c r="K34" s="348"/>
      <c r="L34" s="347"/>
      <c r="M34" s="31"/>
      <c r="N34" s="85"/>
      <c r="O34" s="340">
        <f>IFERROR(IF(C34="New",INDEX('Envelope Assumptions'!$A$2:$D$38,MATCH('General Information'!$J$12,'Envelope Assumptions'!$A$2:$A$38,0),MATCH(D34,'Envelope Assumptions'!$A$2:$D$2,0)),0),"")</f>
        <v>0</v>
      </c>
      <c r="P34" s="1351">
        <f>IFERROR(IF(C34="New",INDEX('Envelope Assumptions'!$X$2:$Z$38,MATCH('General Information'!$J$12,'Envelope Assumptions'!$A$2:$A$38,0),MATCH(D34,'Envelope Assumptions'!$X$2:$Z$2,0)),0),"")</f>
        <v>0</v>
      </c>
      <c r="Q34" s="1353" t="str">
        <f>IF(AND($O34&lt;&gt;0,$D34&lt;&gt;""),$O34,"")</f>
        <v/>
      </c>
      <c r="R34" s="1354" t="str">
        <f>IF(AND($P34&lt;&gt;0,$D34&lt;&gt;""),$P34,"")</f>
        <v/>
      </c>
      <c r="U34" s="1887"/>
    </row>
    <row r="35" spans="1:21" ht="33" customHeight="1" x14ac:dyDescent="0.3">
      <c r="B35" s="319" t="str">
        <f>GI_Project_Name</f>
        <v>Saudi Aramco Corporate Academy - Dhahran</v>
      </c>
      <c r="C35" s="501" t="s">
        <v>434</v>
      </c>
      <c r="D35" s="504" t="s">
        <v>24</v>
      </c>
      <c r="E35" s="323"/>
      <c r="F35" s="1976" t="str">
        <f t="shared" ref="F35" si="1">IF(AND($O35&lt;&gt;0,$D35&lt;&gt;""),$O35,"")</f>
        <v>R-2.6 c.i. insulation entirely above deck with a U-factor of 0.360</v>
      </c>
      <c r="G35" s="1977" t="str">
        <f t="shared" ref="G35" si="2">IF(AND($P35&lt;&gt;0,$D35&lt;&gt;""),$P35,"")</f>
        <v>U-0.360</v>
      </c>
      <c r="H35" s="909" t="s">
        <v>2245</v>
      </c>
      <c r="I35" s="320">
        <v>0.27</v>
      </c>
      <c r="J35" s="323"/>
      <c r="K35" s="348" t="s">
        <v>2246</v>
      </c>
      <c r="L35" s="347" t="s">
        <v>2246</v>
      </c>
      <c r="M35" s="31"/>
      <c r="N35" s="85"/>
      <c r="O35" s="501" t="str">
        <f>IFERROR(IF(C35="New",INDEX('Envelope Assumptions'!$A$2:$D$38,MATCH('General Information'!$J$12,'Envelope Assumptions'!$A$2:$A$38,0),MATCH(D35,'Envelope Assumptions'!$A$2:$D$2,0)),0),"")</f>
        <v>R-2.6 c.i. insulation entirely above deck with a U-factor of 0.360</v>
      </c>
      <c r="P35" s="693" t="str">
        <f>IFERROR(IF(C35="New",INDEX('Envelope Assumptions'!$X$2:$Z$38,MATCH('General Information'!$J$12,'Envelope Assumptions'!$A$2:$A$38,0),MATCH(D35,'Envelope Assumptions'!$X$2:$Z$2,0)),0),"")</f>
        <v>U-0.360</v>
      </c>
      <c r="Q35" s="1353" t="str">
        <f t="shared" ref="Q35" si="3">IF(AND($O35&lt;&gt;0,$D35&lt;&gt;""),$O35,"")</f>
        <v>R-2.6 c.i. insulation entirely above deck with a U-factor of 0.360</v>
      </c>
      <c r="R35" s="1354" t="str">
        <f t="shared" ref="R35" si="4">IF(AND($P35&lt;&gt;0,$D35&lt;&gt;""),$P35,"")</f>
        <v>U-0.360</v>
      </c>
      <c r="U35" s="1887"/>
    </row>
    <row r="36" spans="1:21" customFormat="1" ht="40.5" customHeight="1" x14ac:dyDescent="0.3">
      <c r="A36" s="593" t="s">
        <v>1299</v>
      </c>
      <c r="E36" s="344"/>
      <c r="F36" s="344"/>
      <c r="N36" s="342"/>
      <c r="O36" s="343"/>
      <c r="P36" s="344"/>
    </row>
    <row r="37" spans="1:21" customFormat="1" ht="20.25" customHeight="1" x14ac:dyDescent="0.3">
      <c r="A37" s="593" t="s">
        <v>1299</v>
      </c>
      <c r="N37" s="342"/>
      <c r="O37" s="343"/>
      <c r="P37" s="344"/>
    </row>
    <row r="38" spans="1:21" ht="26.25" customHeight="1" x14ac:dyDescent="0.25">
      <c r="A38" s="593" t="s">
        <v>1299</v>
      </c>
      <c r="B38" s="105" t="s">
        <v>7</v>
      </c>
      <c r="C38" s="31"/>
      <c r="D38" s="31"/>
      <c r="E38" s="31"/>
      <c r="F38" s="31"/>
      <c r="G38" s="31"/>
      <c r="H38" s="31"/>
      <c r="I38" s="31"/>
      <c r="J38" s="31"/>
      <c r="K38" s="31"/>
      <c r="L38" s="31"/>
      <c r="N38" s="345"/>
      <c r="O38" s="346"/>
      <c r="P38" s="341"/>
    </row>
    <row r="39" spans="1:21" ht="26.25" customHeight="1" x14ac:dyDescent="0.25">
      <c r="A39" s="593" t="s">
        <v>1299</v>
      </c>
      <c r="B39" s="2224" t="s">
        <v>305</v>
      </c>
      <c r="C39" s="2226"/>
      <c r="D39" s="2225"/>
      <c r="E39" s="41"/>
      <c r="F39" s="2224" t="s">
        <v>347</v>
      </c>
      <c r="G39" s="2225"/>
      <c r="H39" s="2232" t="s">
        <v>348</v>
      </c>
      <c r="I39" s="2225"/>
      <c r="J39" s="85"/>
      <c r="L39" s="31"/>
      <c r="N39" s="345"/>
      <c r="O39" s="346"/>
      <c r="P39" s="341"/>
    </row>
    <row r="40" spans="1:21" ht="54.75" customHeight="1" x14ac:dyDescent="0.25">
      <c r="A40" s="593" t="s">
        <v>1299</v>
      </c>
      <c r="B40" s="274" t="s">
        <v>1358</v>
      </c>
      <c r="C40" s="285" t="s">
        <v>303</v>
      </c>
      <c r="D40" s="275" t="s">
        <v>22</v>
      </c>
      <c r="E40" s="42"/>
      <c r="F40" s="274" t="s">
        <v>3</v>
      </c>
      <c r="G40" s="483" t="s">
        <v>1990</v>
      </c>
      <c r="H40" s="274" t="s">
        <v>3</v>
      </c>
      <c r="I40" s="275" t="s">
        <v>307</v>
      </c>
      <c r="J40" s="85"/>
      <c r="N40" s="345"/>
      <c r="O40" s="346"/>
      <c r="P40" s="341"/>
    </row>
    <row r="41" spans="1:21" ht="80.25" customHeight="1" x14ac:dyDescent="0.25">
      <c r="A41" s="593" t="s">
        <v>1299</v>
      </c>
      <c r="B41" s="2227" t="s">
        <v>1888</v>
      </c>
      <c r="C41" s="2228"/>
      <c r="D41" s="2229"/>
      <c r="E41" s="323"/>
      <c r="F41" s="2230" t="s">
        <v>1707</v>
      </c>
      <c r="G41" s="2231"/>
      <c r="H41" s="2230" t="s">
        <v>1708</v>
      </c>
      <c r="I41" s="2231"/>
      <c r="J41" s="85"/>
      <c r="N41" s="345"/>
      <c r="O41" s="346"/>
      <c r="P41" s="341"/>
    </row>
    <row r="42" spans="1:21" ht="52.8" hidden="1" x14ac:dyDescent="0.25">
      <c r="A42" s="593" t="s">
        <v>1299</v>
      </c>
      <c r="B42" s="1457" t="str">
        <f>B40</f>
        <v>Building ID</v>
      </c>
      <c r="C42" s="1457" t="str">
        <f>C40</f>
        <v>New or 
Existing
Construction</v>
      </c>
      <c r="D42" s="1457" t="str">
        <f>D40</f>
        <v>Space-Conditioning Category</v>
      </c>
      <c r="E42" s="1210"/>
      <c r="F42" s="1457" t="s">
        <v>1988</v>
      </c>
      <c r="G42" s="1457" t="str">
        <f>G40</f>
        <v>Assembly U-factor</v>
      </c>
      <c r="H42" s="1457" t="s">
        <v>1989</v>
      </c>
      <c r="I42" s="1457" t="str">
        <f>I40</f>
        <v>Assembly 
U-factor</v>
      </c>
      <c r="J42" s="85"/>
      <c r="N42" s="345"/>
      <c r="O42" s="346"/>
      <c r="P42" s="341"/>
      <c r="Q42" s="1352" t="s">
        <v>1986</v>
      </c>
      <c r="R42" s="1352" t="s">
        <v>1987</v>
      </c>
    </row>
    <row r="43" spans="1:21" ht="33" hidden="1" customHeight="1" x14ac:dyDescent="0.3">
      <c r="A43" s="591" t="s">
        <v>917</v>
      </c>
      <c r="B43" s="319" t="str">
        <f>GI_Project_Name</f>
        <v>Saudi Aramco Corporate Academy - Dhahran</v>
      </c>
      <c r="C43" s="501"/>
      <c r="D43" s="504"/>
      <c r="E43" s="323"/>
      <c r="F43" s="1976" t="str">
        <f>IF(AND($O43&lt;&gt;0,$D43&lt;&gt;""),$O43,"")</f>
        <v/>
      </c>
      <c r="G43" s="1978" t="str">
        <f>IF(AND($P43&lt;&gt;0,$D43&lt;&gt;""),$P43,"")</f>
        <v/>
      </c>
      <c r="H43" s="319"/>
      <c r="I43" s="320"/>
      <c r="O43" s="340">
        <f>IFERROR(IF(C43="New",INDEX('Envelope Assumptions'!$E$2:$G$38,MATCH('General Information'!$J$12,'Envelope Assumptions'!$A$2:$A$38,0),MATCH(D43,'Envelope Assumptions'!$E$2:$G$2,0)),0),"")</f>
        <v>0</v>
      </c>
      <c r="P43" s="1351">
        <f>IFERROR(IF(C43="New",INDEX('Envelope Assumptions'!$AA$2:$AC$38,MATCH('General Information'!$J$12,'Envelope Assumptions'!$A$2:$A$38,0),MATCH(D43,'Envelope Assumptions'!$AA$2:$AC$2,0)),0),"")</f>
        <v>0</v>
      </c>
      <c r="Q43" s="1354" t="str">
        <f>IF(AND($O43&lt;&gt;0,$D43&lt;&gt;""),$O43,"")</f>
        <v/>
      </c>
      <c r="R43" s="1354" t="str">
        <f>IF(AND($P43&lt;&gt;0,$D43&lt;&gt;""),$P43,"")</f>
        <v/>
      </c>
      <c r="U43" s="1887"/>
    </row>
    <row r="44" spans="1:21" ht="33" customHeight="1" x14ac:dyDescent="0.3">
      <c r="A44" s="591"/>
      <c r="B44" s="319" t="str">
        <f>GI_Project_Name</f>
        <v>Saudi Aramco Corporate Academy - Dhahran</v>
      </c>
      <c r="C44" s="501" t="s">
        <v>434</v>
      </c>
      <c r="D44" s="504" t="s">
        <v>24</v>
      </c>
      <c r="E44" s="323"/>
      <c r="F44" s="1976" t="str">
        <f t="shared" ref="F44" si="5">IF(AND($O44&lt;&gt;0,$D44&lt;&gt;""),$O44,"")</f>
        <v>steel-framed with R-2.3 cavity insulation with a U-factor of 0.705</v>
      </c>
      <c r="G44" s="1978" t="str">
        <f t="shared" ref="G44" si="6">IF(AND($P44&lt;&gt;0,$D44&lt;&gt;""),$P44,"")</f>
        <v>U-0.705</v>
      </c>
      <c r="H44" s="319" t="s">
        <v>2329</v>
      </c>
      <c r="I44" s="320">
        <v>0.25</v>
      </c>
      <c r="O44" s="501" t="str">
        <f>IFERROR(IF(C44="New",INDEX('Envelope Assumptions'!$E$2:$G$38,MATCH('General Information'!$J$12,'Envelope Assumptions'!$A$2:$A$38,0),MATCH(D44,'Envelope Assumptions'!$E$2:$G$2,0)),0),"")</f>
        <v>steel-framed with R-2.3 cavity insulation with a U-factor of 0.705</v>
      </c>
      <c r="P44" s="693" t="str">
        <f>IFERROR(IF(C44="New",INDEX('Envelope Assumptions'!$AA$2:$AC$38,MATCH('General Information'!$J$12,'Envelope Assumptions'!$A$2:$A$38,0),MATCH(D44,'Envelope Assumptions'!$AA$2:$AC$2,0)),0),"")</f>
        <v>U-0.705</v>
      </c>
      <c r="Q44" s="1354" t="str">
        <f t="shared" ref="Q44" si="7">IF(AND($O44&lt;&gt;0,$D44&lt;&gt;""),$O44,"")</f>
        <v>steel-framed with R-2.3 cavity insulation with a U-factor of 0.705</v>
      </c>
      <c r="R44" s="1354" t="str">
        <f t="shared" ref="R44" si="8">IF(AND($P44&lt;&gt;0,$D44&lt;&gt;""),$P44,"")</f>
        <v>U-0.705</v>
      </c>
      <c r="U44" s="1887"/>
    </row>
    <row r="45" spans="1:21" customFormat="1" ht="40.5" customHeight="1" x14ac:dyDescent="0.3">
      <c r="A45" s="593" t="s">
        <v>1299</v>
      </c>
      <c r="N45" s="342"/>
      <c r="O45" s="343"/>
      <c r="P45" s="344"/>
    </row>
    <row r="46" spans="1:21" customFormat="1" ht="20.25" customHeight="1" x14ac:dyDescent="0.3">
      <c r="A46" s="593" t="s">
        <v>1299</v>
      </c>
      <c r="N46" s="342"/>
      <c r="O46" s="343"/>
      <c r="P46" s="344"/>
    </row>
    <row r="47" spans="1:21" ht="26.25" customHeight="1" x14ac:dyDescent="0.25">
      <c r="A47" s="593" t="s">
        <v>1299</v>
      </c>
      <c r="B47" s="105" t="s">
        <v>8</v>
      </c>
      <c r="C47" s="31"/>
      <c r="D47" s="31"/>
      <c r="E47" s="31"/>
      <c r="F47" s="31"/>
      <c r="G47" s="31"/>
      <c r="H47" s="31"/>
      <c r="I47" s="31"/>
      <c r="J47" s="31"/>
      <c r="K47" s="31"/>
      <c r="L47" s="31"/>
      <c r="N47" s="345"/>
      <c r="O47" s="346"/>
      <c r="P47" s="341"/>
    </row>
    <row r="48" spans="1:21" ht="26.25" customHeight="1" x14ac:dyDescent="0.25">
      <c r="A48" s="593" t="s">
        <v>1299</v>
      </c>
      <c r="B48" s="2224" t="s">
        <v>305</v>
      </c>
      <c r="C48" s="2226"/>
      <c r="D48" s="2225"/>
      <c r="E48" s="41"/>
      <c r="F48" s="2224" t="s">
        <v>347</v>
      </c>
      <c r="G48" s="2225"/>
      <c r="H48" s="2232" t="s">
        <v>348</v>
      </c>
      <c r="I48" s="2225"/>
      <c r="J48" s="85"/>
      <c r="L48" s="31"/>
      <c r="N48" s="345"/>
      <c r="O48" s="346"/>
      <c r="P48" s="341"/>
    </row>
    <row r="49" spans="1:21" ht="54.75" customHeight="1" x14ac:dyDescent="0.25">
      <c r="A49" s="593" t="s">
        <v>1299</v>
      </c>
      <c r="B49" s="274" t="s">
        <v>1358</v>
      </c>
      <c r="C49" s="285" t="s">
        <v>303</v>
      </c>
      <c r="D49" s="275" t="s">
        <v>22</v>
      </c>
      <c r="E49" s="42"/>
      <c r="F49" s="274" t="s">
        <v>3</v>
      </c>
      <c r="G49" s="483" t="s">
        <v>1992</v>
      </c>
      <c r="H49" s="274" t="s">
        <v>3</v>
      </c>
      <c r="I49" s="275" t="s">
        <v>814</v>
      </c>
      <c r="J49" s="85"/>
      <c r="N49" s="345"/>
      <c r="O49" s="346"/>
      <c r="P49" s="341"/>
    </row>
    <row r="50" spans="1:21" ht="91.5" customHeight="1" x14ac:dyDescent="0.25">
      <c r="A50" s="593" t="s">
        <v>1299</v>
      </c>
      <c r="B50" s="2227" t="s">
        <v>1888</v>
      </c>
      <c r="C50" s="2228"/>
      <c r="D50" s="2229"/>
      <c r="E50" s="323"/>
      <c r="F50" s="2230" t="s">
        <v>1709</v>
      </c>
      <c r="G50" s="2231"/>
      <c r="H50" s="2230" t="s">
        <v>1710</v>
      </c>
      <c r="I50" s="2231"/>
      <c r="J50" s="85"/>
      <c r="N50" s="345"/>
      <c r="O50" s="346"/>
      <c r="P50" s="341"/>
    </row>
    <row r="51" spans="1:21" ht="52.8" hidden="1" x14ac:dyDescent="0.25">
      <c r="A51" s="593" t="s">
        <v>1299</v>
      </c>
      <c r="B51" s="1457" t="str">
        <f>B49</f>
        <v>Building ID</v>
      </c>
      <c r="C51" s="1457" t="str">
        <f>C49</f>
        <v>New or 
Existing
Construction</v>
      </c>
      <c r="D51" s="1457" t="str">
        <f>D49</f>
        <v>Space-Conditioning Category</v>
      </c>
      <c r="E51" s="1210"/>
      <c r="F51" s="1457" t="s">
        <v>1988</v>
      </c>
      <c r="G51" s="1457" t="str">
        <f>G49</f>
        <v>Assembly C-factor</v>
      </c>
      <c r="H51" s="1457" t="s">
        <v>1989</v>
      </c>
      <c r="I51" s="1457" t="str">
        <f>I49</f>
        <v>Assembly
C-factor</v>
      </c>
      <c r="J51" s="85"/>
      <c r="N51" s="345"/>
      <c r="O51" s="346"/>
      <c r="P51" s="341"/>
      <c r="Q51" s="1352" t="s">
        <v>1986</v>
      </c>
      <c r="R51" s="1352" t="s">
        <v>1991</v>
      </c>
    </row>
    <row r="52" spans="1:21" ht="33" hidden="1" customHeight="1" x14ac:dyDescent="0.25">
      <c r="A52" s="593" t="s">
        <v>918</v>
      </c>
      <c r="B52" s="319" t="str">
        <f>GI_Project_Name</f>
        <v>Saudi Aramco Corporate Academy - Dhahran</v>
      </c>
      <c r="C52" s="501"/>
      <c r="D52" s="504"/>
      <c r="E52" s="323"/>
      <c r="F52" s="1976" t="str">
        <f>IF(AND($O52&lt;&gt;0,$D52&lt;&gt;""),$O52,"")</f>
        <v/>
      </c>
      <c r="G52" s="1978" t="str">
        <f>IF(AND($P52&lt;&gt;0,$D52&lt;&gt;""),$P52,"")</f>
        <v/>
      </c>
      <c r="H52" s="319"/>
      <c r="I52" s="320"/>
      <c r="O52" s="501">
        <f>IFERROR(IF(C52="New",INDEX('Envelope Assumptions'!H$2:$J$38,MATCH('General Information'!$J$12,'Envelope Assumptions'!$A$2:$A$38,0),MATCH(D52,'Envelope Assumptions'!$H$2:$J$2,0)),0),"")</f>
        <v>0</v>
      </c>
      <c r="P52" s="693">
        <f>IFERROR(IF(C52="New",INDEX('Envelope Assumptions'!$AD$2:$AF$38,MATCH('General Information'!$J$12,'Envelope Assumptions'!$A$2:$A$38,0),MATCH(D52,'Envelope Assumptions'!$AD$2:$AF$2,0)),0),"")</f>
        <v>0</v>
      </c>
      <c r="Q52" s="1354" t="str">
        <f>IF(AND($O52&lt;&gt;0,$D52&lt;&gt;""),$O52,"")</f>
        <v/>
      </c>
      <c r="R52" s="1354" t="str">
        <f>IF(AND($P52&lt;&gt;0,$D52&lt;&gt;""),$P52,"")</f>
        <v/>
      </c>
      <c r="U52" s="1887"/>
    </row>
    <row r="53" spans="1:21" ht="33" customHeight="1" x14ac:dyDescent="0.25">
      <c r="A53" s="593"/>
      <c r="B53" s="319" t="str">
        <f>GI_Project_Name</f>
        <v>Saudi Aramco Corporate Academy - Dhahran</v>
      </c>
      <c r="C53" s="501" t="s">
        <v>434</v>
      </c>
      <c r="D53" s="504" t="s">
        <v>24</v>
      </c>
      <c r="E53" s="323"/>
      <c r="F53" s="1976" t="str">
        <f t="shared" ref="F53" si="9">IF(AND($O53&lt;&gt;0,$D53&lt;&gt;""),$O53,"")</f>
        <v>205 mm medium weight concrete block with solid grouted cores and no insulation with a C-factor of 6.473</v>
      </c>
      <c r="G53" s="1978" t="str">
        <f t="shared" ref="G53" si="10">IF(AND($P53&lt;&gt;0,$D53&lt;&gt;""),$P53,"")</f>
        <v>C-6.473</v>
      </c>
      <c r="H53" s="319" t="s">
        <v>2336</v>
      </c>
      <c r="I53" s="320" t="s">
        <v>2335</v>
      </c>
      <c r="O53" s="501" t="str">
        <f>IFERROR(IF(C53="New",INDEX('Envelope Assumptions'!H$2:$J$38,MATCH('General Information'!$J$12,'Envelope Assumptions'!$A$2:$A$38,0),MATCH(D53,'Envelope Assumptions'!$H$2:$J$2,0)),0),"")</f>
        <v>205 mm medium weight concrete block with solid grouted cores and no insulation with a C-factor of 6.473</v>
      </c>
      <c r="P53" s="693" t="str">
        <f>IFERROR(IF(C53="New",INDEX('Envelope Assumptions'!$AD$2:$AF$38,MATCH('General Information'!$J$12,'Envelope Assumptions'!$A$2:$A$38,0),MATCH(D53,'Envelope Assumptions'!$AD$2:$AF$2,0)),0),"")</f>
        <v>C-6.473</v>
      </c>
      <c r="Q53" s="1354" t="str">
        <f t="shared" ref="Q53" si="11">IF(AND($O53&lt;&gt;0,$D53&lt;&gt;""),$O53,"")</f>
        <v>205 mm medium weight concrete block with solid grouted cores and no insulation with a C-factor of 6.473</v>
      </c>
      <c r="R53" s="1354" t="str">
        <f t="shared" ref="R53" si="12">IF(AND($P53&lt;&gt;0,$D53&lt;&gt;""),$P53,"")</f>
        <v>C-6.473</v>
      </c>
      <c r="U53" s="1887"/>
    </row>
    <row r="54" spans="1:21" customFormat="1" ht="39" customHeight="1" x14ac:dyDescent="0.3">
      <c r="A54" s="592" t="s">
        <v>1299</v>
      </c>
      <c r="O54" s="342"/>
      <c r="P54" s="343"/>
    </row>
    <row r="55" spans="1:21" customFormat="1" ht="20.25" customHeight="1" x14ac:dyDescent="0.3">
      <c r="A55" s="592" t="s">
        <v>1299</v>
      </c>
      <c r="O55" s="342"/>
      <c r="P55" s="343"/>
    </row>
    <row r="56" spans="1:21" ht="26.25" customHeight="1" x14ac:dyDescent="0.3">
      <c r="A56" s="592" t="s">
        <v>1299</v>
      </c>
      <c r="B56" s="105" t="s">
        <v>21</v>
      </c>
      <c r="C56" s="31"/>
      <c r="D56" s="31"/>
      <c r="E56" s="31"/>
      <c r="F56" s="31"/>
      <c r="G56" s="31"/>
      <c r="H56" s="31"/>
      <c r="I56" s="31"/>
      <c r="J56" s="31"/>
      <c r="K56" s="31"/>
      <c r="L56" s="31"/>
      <c r="O56" s="345"/>
      <c r="P56" s="346"/>
    </row>
    <row r="57" spans="1:21" ht="26.25" customHeight="1" x14ac:dyDescent="0.3">
      <c r="A57" s="592" t="s">
        <v>1299</v>
      </c>
      <c r="B57" s="2224" t="s">
        <v>305</v>
      </c>
      <c r="C57" s="2226"/>
      <c r="D57" s="2225"/>
      <c r="E57" s="41"/>
      <c r="F57" s="2224" t="s">
        <v>347</v>
      </c>
      <c r="G57" s="2225"/>
      <c r="H57" s="2232" t="s">
        <v>348</v>
      </c>
      <c r="I57" s="2225"/>
      <c r="J57" s="85"/>
      <c r="L57" s="31"/>
      <c r="O57" s="345"/>
      <c r="P57" s="346"/>
    </row>
    <row r="58" spans="1:21" ht="54.75" customHeight="1" x14ac:dyDescent="0.3">
      <c r="A58" s="592" t="s">
        <v>1299</v>
      </c>
      <c r="B58" s="274" t="s">
        <v>1358</v>
      </c>
      <c r="C58" s="285" t="s">
        <v>303</v>
      </c>
      <c r="D58" s="275" t="s">
        <v>22</v>
      </c>
      <c r="E58" s="42"/>
      <c r="F58" s="274" t="s">
        <v>3</v>
      </c>
      <c r="G58" s="483" t="s">
        <v>1990</v>
      </c>
      <c r="H58" s="274" t="s">
        <v>3</v>
      </c>
      <c r="I58" s="275" t="s">
        <v>307</v>
      </c>
      <c r="J58" s="85"/>
      <c r="O58" s="345"/>
      <c r="P58" s="346"/>
    </row>
    <row r="59" spans="1:21" ht="108.75" customHeight="1" x14ac:dyDescent="0.3">
      <c r="A59" s="592" t="s">
        <v>1299</v>
      </c>
      <c r="B59" s="2227" t="s">
        <v>1888</v>
      </c>
      <c r="C59" s="2228"/>
      <c r="D59" s="2229"/>
      <c r="E59" s="323"/>
      <c r="F59" s="2230" t="s">
        <v>1711</v>
      </c>
      <c r="G59" s="2231"/>
      <c r="H59" s="2230" t="s">
        <v>1712</v>
      </c>
      <c r="I59" s="2231"/>
      <c r="J59" s="85"/>
      <c r="O59" s="345"/>
      <c r="P59" s="346"/>
    </row>
    <row r="60" spans="1:21" ht="52.8" hidden="1" x14ac:dyDescent="0.3">
      <c r="A60" s="592" t="s">
        <v>1299</v>
      </c>
      <c r="B60" s="1457" t="str">
        <f>B58</f>
        <v>Building ID</v>
      </c>
      <c r="C60" s="1457" t="str">
        <f>C58</f>
        <v>New or 
Existing
Construction</v>
      </c>
      <c r="D60" s="1457" t="str">
        <f>D58</f>
        <v>Space-Conditioning Category</v>
      </c>
      <c r="E60" s="1210"/>
      <c r="F60" s="1457" t="s">
        <v>1988</v>
      </c>
      <c r="G60" s="1457" t="str">
        <f>G58</f>
        <v>Assembly U-factor</v>
      </c>
      <c r="H60" s="1457" t="s">
        <v>1989</v>
      </c>
      <c r="I60" s="1457" t="str">
        <f>I58</f>
        <v>Assembly 
U-factor</v>
      </c>
      <c r="J60" s="85"/>
      <c r="O60" s="345"/>
      <c r="P60" s="346"/>
      <c r="Q60" s="1352" t="s">
        <v>1986</v>
      </c>
      <c r="R60" s="1352" t="s">
        <v>1987</v>
      </c>
    </row>
    <row r="61" spans="1:21" ht="33" hidden="1" customHeight="1" x14ac:dyDescent="0.3">
      <c r="A61" s="591" t="s">
        <v>919</v>
      </c>
      <c r="B61" s="319" t="str">
        <f>GI_Project_Name</f>
        <v>Saudi Aramco Corporate Academy - Dhahran</v>
      </c>
      <c r="C61" s="501"/>
      <c r="D61" s="504"/>
      <c r="E61" s="323"/>
      <c r="F61" s="1976" t="str">
        <f>IF(AND($O61&lt;&gt;0,$D61&lt;&gt;""),$O61,"")</f>
        <v/>
      </c>
      <c r="G61" s="1978" t="str">
        <f>IF(AND($P61&lt;&gt;0,$D61&lt;&gt;""),$P61,"")</f>
        <v/>
      </c>
      <c r="H61" s="319"/>
      <c r="I61" s="320"/>
      <c r="O61" s="340">
        <f>IFERROR(IF(C61="New",INDEX('Envelope Assumptions'!K$2:$M$38,MATCH('General Information'!$J$12,'Envelope Assumptions'!$A$2:$A$38,0),MATCH(D61,'Envelope Assumptions'!$K$2:$M$2,0)),0),"")</f>
        <v>0</v>
      </c>
      <c r="P61" s="1351">
        <f>IFERROR(IF(C61="New",INDEX('Envelope Assumptions'!$AG$2:$AI$38,MATCH('General Information'!$J$12,'Envelope Assumptions'!$A$2:$A$38,0),MATCH(D61,'Envelope Assumptions'!$AG$2:$AI$2,0)),0),"")</f>
        <v>0</v>
      </c>
      <c r="Q61" s="1354" t="str">
        <f>IF(AND($O61&lt;&gt;0,$D61&lt;&gt;""),$O61,"")</f>
        <v/>
      </c>
      <c r="R61" s="1354" t="str">
        <f>IF(AND($P61&lt;&gt;0,$D61&lt;&gt;""),$P61,"")</f>
        <v/>
      </c>
      <c r="U61" s="1887"/>
    </row>
    <row r="62" spans="1:21" customFormat="1" ht="41.25" customHeight="1" x14ac:dyDescent="0.3">
      <c r="A62" s="592" t="s">
        <v>1299</v>
      </c>
      <c r="O62" s="342"/>
      <c r="P62" s="343"/>
    </row>
    <row r="63" spans="1:21" customFormat="1" ht="20.25" customHeight="1" x14ac:dyDescent="0.3">
      <c r="A63" s="592" t="s">
        <v>1299</v>
      </c>
      <c r="O63" s="342"/>
      <c r="P63" s="343"/>
    </row>
    <row r="64" spans="1:21" ht="26.25" customHeight="1" x14ac:dyDescent="0.3">
      <c r="A64" s="592" t="s">
        <v>1299</v>
      </c>
      <c r="B64" s="105" t="s">
        <v>1</v>
      </c>
      <c r="C64" s="31"/>
      <c r="D64" s="31"/>
      <c r="E64" s="31"/>
      <c r="F64" s="31"/>
      <c r="G64" s="31"/>
      <c r="H64" s="31"/>
      <c r="I64" s="31"/>
      <c r="J64" s="31"/>
      <c r="K64" s="31"/>
      <c r="L64" s="31"/>
      <c r="O64" s="345"/>
      <c r="P64" s="346"/>
    </row>
    <row r="65" spans="1:21" ht="26.25" customHeight="1" x14ac:dyDescent="0.3">
      <c r="A65" s="592" t="s">
        <v>1299</v>
      </c>
      <c r="B65" s="2224" t="s">
        <v>305</v>
      </c>
      <c r="C65" s="2226"/>
      <c r="D65" s="2225"/>
      <c r="E65" s="41"/>
      <c r="F65" s="2224" t="s">
        <v>347</v>
      </c>
      <c r="G65" s="2225"/>
      <c r="H65" s="2232" t="s">
        <v>348</v>
      </c>
      <c r="I65" s="2225"/>
      <c r="J65" s="85"/>
      <c r="L65" s="31"/>
      <c r="O65" s="345"/>
      <c r="P65" s="346"/>
    </row>
    <row r="66" spans="1:21" ht="55.5" customHeight="1" x14ac:dyDescent="0.3">
      <c r="A66" s="592" t="s">
        <v>1299</v>
      </c>
      <c r="B66" s="274" t="s">
        <v>1358</v>
      </c>
      <c r="C66" s="285" t="s">
        <v>303</v>
      </c>
      <c r="D66" s="275" t="s">
        <v>22</v>
      </c>
      <c r="E66" s="42"/>
      <c r="F66" s="274" t="s">
        <v>3</v>
      </c>
      <c r="G66" s="483" t="s">
        <v>1994</v>
      </c>
      <c r="H66" s="274" t="s">
        <v>3</v>
      </c>
      <c r="I66" s="275" t="s">
        <v>815</v>
      </c>
      <c r="J66" s="85"/>
      <c r="O66" s="345"/>
      <c r="P66" s="346"/>
    </row>
    <row r="67" spans="1:21" ht="83.25" customHeight="1" x14ac:dyDescent="0.3">
      <c r="A67" s="592" t="s">
        <v>1299</v>
      </c>
      <c r="B67" s="2227" t="s">
        <v>1888</v>
      </c>
      <c r="C67" s="2228"/>
      <c r="D67" s="2229"/>
      <c r="E67" s="323"/>
      <c r="F67" s="2230" t="s">
        <v>1713</v>
      </c>
      <c r="G67" s="2231"/>
      <c r="H67" s="2230" t="s">
        <v>1714</v>
      </c>
      <c r="I67" s="2231"/>
      <c r="J67" s="85"/>
      <c r="O67" s="345"/>
      <c r="P67" s="346"/>
    </row>
    <row r="68" spans="1:21" ht="52.8" hidden="1" x14ac:dyDescent="0.3">
      <c r="A68" s="592" t="s">
        <v>1299</v>
      </c>
      <c r="B68" s="1457" t="str">
        <f>B66</f>
        <v>Building ID</v>
      </c>
      <c r="C68" s="1457" t="str">
        <f>C66</f>
        <v>New or 
Existing
Construction</v>
      </c>
      <c r="D68" s="1457" t="str">
        <f>D66</f>
        <v>Space-Conditioning Category</v>
      </c>
      <c r="E68" s="1210"/>
      <c r="F68" s="1457" t="s">
        <v>1988</v>
      </c>
      <c r="G68" s="1457" t="str">
        <f>G66</f>
        <v>Assembly F-factor</v>
      </c>
      <c r="H68" s="1457" t="s">
        <v>1989</v>
      </c>
      <c r="I68" s="1457" t="str">
        <f>I66</f>
        <v>Assembly 
F-factor</v>
      </c>
      <c r="J68" s="85"/>
      <c r="O68" s="345"/>
      <c r="P68" s="346"/>
      <c r="Q68" s="1352" t="s">
        <v>1986</v>
      </c>
      <c r="R68" s="1352" t="s">
        <v>1993</v>
      </c>
    </row>
    <row r="69" spans="1:21" ht="33" hidden="1" customHeight="1" x14ac:dyDescent="0.3">
      <c r="A69" s="591" t="s">
        <v>920</v>
      </c>
      <c r="B69" s="319" t="str">
        <f>GI_Project_Name</f>
        <v>Saudi Aramco Corporate Academy - Dhahran</v>
      </c>
      <c r="C69" s="501"/>
      <c r="D69" s="504"/>
      <c r="E69" s="321"/>
      <c r="F69" s="1976" t="str">
        <f>IF(AND($O69&lt;&gt;0,$D69&lt;&gt;""),$O69,"")</f>
        <v/>
      </c>
      <c r="G69" s="1978" t="str">
        <f>IF(AND($P69&lt;&gt;0,$D69&lt;&gt;""),$P69,"")</f>
        <v/>
      </c>
      <c r="H69" s="319"/>
      <c r="I69" s="320"/>
      <c r="O69" s="340">
        <f>IFERROR(IF(C69="New",INDEX('Envelope Assumptions'!N$2:$P$38,MATCH('General Information'!$J$12,'Envelope Assumptions'!$A$2:$A$38,0),MATCH(D69,'Envelope Assumptions'!$N$2:$P$2,0)),0),"")</f>
        <v>0</v>
      </c>
      <c r="P69" s="1351">
        <f>IFERROR(IF(C69="New",INDEX('Envelope Assumptions'!$AJ$2:$AL$38,MATCH('General Information'!$J$12,'Envelope Assumptions'!$A$2:$A$38,0),MATCH(D69,'Envelope Assumptions'!$AJ$2:$AL$2,0)),0),"")</f>
        <v>0</v>
      </c>
      <c r="Q69" s="1354" t="str">
        <f>IF(AND($O69&lt;&gt;0,$D69&lt;&gt;""),$O69,"")</f>
        <v/>
      </c>
      <c r="R69" s="1354" t="str">
        <f>IF(AND($P69&lt;&gt;0,$D69&lt;&gt;""),$P69,"")</f>
        <v/>
      </c>
      <c r="U69" s="1887"/>
    </row>
    <row r="70" spans="1:21" ht="33" customHeight="1" x14ac:dyDescent="0.3">
      <c r="A70" s="591"/>
      <c r="B70" s="319" t="str">
        <f>GI_Project_Name</f>
        <v>Saudi Aramco Corporate Academy - Dhahran</v>
      </c>
      <c r="C70" s="501" t="s">
        <v>434</v>
      </c>
      <c r="D70" s="504" t="s">
        <v>24</v>
      </c>
      <c r="E70" s="321"/>
      <c r="F70" s="1976" t="str">
        <f t="shared" ref="F70" si="13">IF(AND($O70&lt;&gt;0,$D70&lt;&gt;""),$O70,"")</f>
        <v>150 mm concrete slabs with no insulation with an F-factor of 1.264</v>
      </c>
      <c r="G70" s="1978" t="str">
        <f t="shared" ref="G70" si="14">IF(AND($P70&lt;&gt;0,$D70&lt;&gt;""),$P70,"")</f>
        <v>F-1.264</v>
      </c>
      <c r="H70" s="319" t="s">
        <v>2247</v>
      </c>
      <c r="I70" s="320" t="s">
        <v>2248</v>
      </c>
      <c r="O70" s="501" t="str">
        <f>IFERROR(IF(C70="New",INDEX('Envelope Assumptions'!N$2:$P$38,MATCH('General Information'!$J$12,'Envelope Assumptions'!$A$2:$A$38,0),MATCH(D70,'Envelope Assumptions'!$N$2:$P$2,0)),0),"")</f>
        <v>150 mm concrete slabs with no insulation with an F-factor of 1.264</v>
      </c>
      <c r="P70" s="693" t="str">
        <f>IFERROR(IF(C70="New",INDEX('Envelope Assumptions'!$AJ$2:$AL$38,MATCH('General Information'!$J$12,'Envelope Assumptions'!$A$2:$A$38,0),MATCH(D70,'Envelope Assumptions'!$AJ$2:$AL$2,0)),0),"")</f>
        <v>F-1.264</v>
      </c>
      <c r="Q70" s="1354" t="str">
        <f t="shared" ref="Q70" si="15">IF(AND($O70&lt;&gt;0,$D70&lt;&gt;""),$O70,"")</f>
        <v>150 mm concrete slabs with no insulation with an F-factor of 1.264</v>
      </c>
      <c r="R70" s="1354" t="str">
        <f t="shared" ref="R70" si="16">IF(AND($P70&lt;&gt;0,$D70&lt;&gt;""),$P70,"")</f>
        <v>F-1.264</v>
      </c>
      <c r="U70" s="1887"/>
    </row>
    <row r="71" spans="1:21" customFormat="1" ht="39.75" customHeight="1" x14ac:dyDescent="0.3">
      <c r="A71" s="592" t="s">
        <v>1299</v>
      </c>
      <c r="O71" s="342"/>
      <c r="P71" s="343"/>
    </row>
    <row r="72" spans="1:21" customFormat="1" ht="20.25" customHeight="1" x14ac:dyDescent="0.3">
      <c r="A72" s="592" t="s">
        <v>1299</v>
      </c>
      <c r="O72" s="342"/>
      <c r="P72" s="343"/>
    </row>
    <row r="73" spans="1:21" ht="26.25" customHeight="1" x14ac:dyDescent="0.3">
      <c r="A73" s="592" t="s">
        <v>1299</v>
      </c>
      <c r="B73" s="105" t="s">
        <v>2</v>
      </c>
      <c r="C73" s="31"/>
      <c r="D73" s="31"/>
      <c r="E73" s="31"/>
      <c r="F73" s="31"/>
      <c r="G73" s="31"/>
      <c r="H73" s="31"/>
      <c r="I73" s="31"/>
      <c r="J73" s="31"/>
      <c r="K73" s="31"/>
      <c r="L73" s="31"/>
      <c r="O73" s="345"/>
      <c r="P73" s="346"/>
    </row>
    <row r="74" spans="1:21" ht="26.25" customHeight="1" x14ac:dyDescent="0.3">
      <c r="A74" s="592" t="s">
        <v>1299</v>
      </c>
      <c r="B74" s="2224" t="s">
        <v>305</v>
      </c>
      <c r="C74" s="2226"/>
      <c r="D74" s="2225"/>
      <c r="E74" s="41"/>
      <c r="F74" s="2233" t="s">
        <v>347</v>
      </c>
      <c r="G74" s="2234"/>
      <c r="H74" s="2232" t="s">
        <v>348</v>
      </c>
      <c r="I74" s="2225"/>
      <c r="J74" s="85"/>
      <c r="L74" s="31"/>
      <c r="O74" s="345"/>
      <c r="P74" s="346"/>
    </row>
    <row r="75" spans="1:21" ht="54.75" customHeight="1" x14ac:dyDescent="0.3">
      <c r="A75" s="592" t="s">
        <v>1299</v>
      </c>
      <c r="B75" s="274" t="s">
        <v>1358</v>
      </c>
      <c r="C75" s="285" t="s">
        <v>303</v>
      </c>
      <c r="D75" s="275" t="s">
        <v>22</v>
      </c>
      <c r="E75" s="42"/>
      <c r="F75" s="274" t="s">
        <v>3</v>
      </c>
      <c r="G75" s="483" t="s">
        <v>1990</v>
      </c>
      <c r="H75" s="274" t="s">
        <v>3</v>
      </c>
      <c r="I75" s="275" t="s">
        <v>307</v>
      </c>
      <c r="J75" s="85"/>
      <c r="O75" s="345"/>
      <c r="P75" s="346"/>
    </row>
    <row r="76" spans="1:21" ht="69" customHeight="1" x14ac:dyDescent="0.3">
      <c r="A76" s="592" t="s">
        <v>1299</v>
      </c>
      <c r="B76" s="2227" t="s">
        <v>1888</v>
      </c>
      <c r="C76" s="2228"/>
      <c r="D76" s="2229"/>
      <c r="E76" s="323"/>
      <c r="F76" s="2230" t="s">
        <v>1715</v>
      </c>
      <c r="G76" s="2231"/>
      <c r="H76" s="2230" t="s">
        <v>1716</v>
      </c>
      <c r="I76" s="2231"/>
      <c r="J76" s="85"/>
      <c r="O76" s="345"/>
      <c r="P76" s="346"/>
    </row>
    <row r="77" spans="1:21" ht="52.8" hidden="1" x14ac:dyDescent="0.3">
      <c r="A77" s="592" t="s">
        <v>1299</v>
      </c>
      <c r="B77" s="1457" t="str">
        <f>B75</f>
        <v>Building ID</v>
      </c>
      <c r="C77" s="1457" t="str">
        <f>C75</f>
        <v>New or 
Existing
Construction</v>
      </c>
      <c r="D77" s="1457" t="str">
        <f>D75</f>
        <v>Space-Conditioning Category</v>
      </c>
      <c r="E77" s="1210"/>
      <c r="F77" s="1457" t="s">
        <v>1988</v>
      </c>
      <c r="G77" s="1457" t="str">
        <f>G75</f>
        <v>Assembly U-factor</v>
      </c>
      <c r="H77" s="1457" t="s">
        <v>1989</v>
      </c>
      <c r="I77" s="1457" t="str">
        <f>I75</f>
        <v>Assembly 
U-factor</v>
      </c>
      <c r="J77" s="85"/>
      <c r="O77" s="345"/>
      <c r="P77" s="346"/>
      <c r="Q77" s="1352" t="s">
        <v>1986</v>
      </c>
      <c r="R77" s="1352" t="s">
        <v>1987</v>
      </c>
    </row>
    <row r="78" spans="1:21" ht="33" hidden="1" customHeight="1" x14ac:dyDescent="0.3">
      <c r="A78" s="591" t="s">
        <v>921</v>
      </c>
      <c r="B78" s="319" t="str">
        <f>GI_Project_Name</f>
        <v>Saudi Aramco Corporate Academy - Dhahran</v>
      </c>
      <c r="C78" s="501"/>
      <c r="D78" s="504"/>
      <c r="E78" s="318"/>
      <c r="F78" s="1976" t="str">
        <f>IF(AND($O78&lt;&gt;0,$D78&lt;&gt;""),$O78,"")</f>
        <v/>
      </c>
      <c r="G78" s="1978" t="str">
        <f>IF(AND($P78&lt;&gt;0,$D78&lt;&gt;""),$P78,"")</f>
        <v/>
      </c>
      <c r="H78" s="319"/>
      <c r="I78" s="320"/>
      <c r="O78" s="340">
        <f>IFERROR(IF(C78="New",CONCATENATE("Swinging Doors: ",INDEX('Envelope Assumptions'!Q$2:$S$38,MATCH('General Information'!$J$12,'Envelope Assumptions'!$A$2:$A$38,0),MATCH(D78,'Envelope Assumptions'!$Q$2:$S$2,0)),"; Nonswinging Doors: ",INDEX('Envelope Assumptions'!T$2:$V$38,MATCH('General Information'!$J$12,'Envelope Assumptions'!$A$2:$A$38,0),MATCH(D78,'Envelope Assumptions'!$T$2:$V$2,0))),0),"")</f>
        <v>0</v>
      </c>
      <c r="P78" s="1351">
        <f>IFERROR(IF(C78="New",CONCATENATE(INDEX('Envelope Assumptions'!AM$2:$AO$38,MATCH('General Information'!$J$12,'Envelope Assumptions'!$A$2:$A$38,0),MATCH(D78,'Envelope Assumptions'!$AM$2:$AO$2,0))," / ",INDEX('Envelope Assumptions'!AP$2:$AR$38,MATCH('General Information'!$J$12,'Envelope Assumptions'!$A$2:$A$38,0),MATCH(D78,'Envelope Assumptions'!$AP$2:$AR$2,0))),0),0)</f>
        <v>0</v>
      </c>
      <c r="Q78" s="1354" t="str">
        <f>IF(AND($O78&lt;&gt;0,$D78&lt;&gt;""),$O78,"")</f>
        <v/>
      </c>
      <c r="R78" s="1354" t="str">
        <f>IF(AND($P78&lt;&gt;0,$D78&lt;&gt;""),$P78,"")</f>
        <v/>
      </c>
      <c r="U78" s="1887"/>
    </row>
    <row r="79" spans="1:21" ht="40.5" customHeight="1" x14ac:dyDescent="0.3">
      <c r="A79" s="592" t="s">
        <v>1299</v>
      </c>
      <c r="B79" s="85"/>
      <c r="C79" s="85"/>
      <c r="D79" s="85"/>
      <c r="F79" s="85"/>
      <c r="H79" s="85"/>
      <c r="I79" s="85"/>
      <c r="J79" s="85"/>
      <c r="N79" s="85"/>
    </row>
    <row r="80" spans="1:21" customFormat="1" ht="20.25" customHeight="1" x14ac:dyDescent="0.3">
      <c r="A80" s="592" t="s">
        <v>1299</v>
      </c>
    </row>
    <row r="81" spans="1:14" ht="20.25" customHeight="1" x14ac:dyDescent="0.3">
      <c r="A81" s="592" t="s">
        <v>1299</v>
      </c>
      <c r="B81" s="91" t="s">
        <v>23</v>
      </c>
      <c r="C81" s="91"/>
      <c r="D81" s="91"/>
      <c r="E81" s="91"/>
      <c r="F81" s="91"/>
      <c r="G81" s="91"/>
      <c r="H81" s="91"/>
      <c r="I81" s="91"/>
      <c r="J81" s="91"/>
      <c r="K81" s="91"/>
      <c r="L81" s="91"/>
      <c r="N81" s="85"/>
    </row>
    <row r="82" spans="1:14" ht="21" customHeight="1" x14ac:dyDescent="0.3">
      <c r="A82" s="592" t="s">
        <v>1299</v>
      </c>
      <c r="B82" s="2235"/>
      <c r="C82" s="2236"/>
      <c r="D82" s="2236"/>
      <c r="E82" s="2236"/>
      <c r="F82" s="2236"/>
      <c r="G82" s="2236"/>
      <c r="H82" s="2236"/>
      <c r="I82" s="2237"/>
      <c r="J82" s="2237"/>
      <c r="K82" s="2237"/>
      <c r="L82" s="2238"/>
      <c r="N82" s="85"/>
    </row>
    <row r="83" spans="1:14" x14ac:dyDescent="0.3">
      <c r="B83" s="85"/>
      <c r="I83" s="91"/>
      <c r="J83" s="91"/>
      <c r="K83" s="91"/>
      <c r="L83" s="91"/>
    </row>
    <row r="84" spans="1:14" x14ac:dyDescent="0.3">
      <c r="B84" s="85"/>
    </row>
    <row r="85" spans="1:14" x14ac:dyDescent="0.3">
      <c r="B85" s="85"/>
    </row>
    <row r="86" spans="1:14" x14ac:dyDescent="0.3">
      <c r="B86" s="85"/>
    </row>
    <row r="87" spans="1:14" x14ac:dyDescent="0.3">
      <c r="B87" s="85"/>
    </row>
    <row r="88" spans="1:14" x14ac:dyDescent="0.3">
      <c r="B88" s="85"/>
    </row>
    <row r="89" spans="1:14" x14ac:dyDescent="0.3">
      <c r="B89" s="85"/>
    </row>
    <row r="90" spans="1:14" x14ac:dyDescent="0.3">
      <c r="B90" s="85"/>
    </row>
  </sheetData>
  <sheetProtection algorithmName="SHA-512" hashValue="vYat44m4UdK/sOEV/PlPoG4mpizrmVlSBnSi5hUn1r7JG6jCPaBFhGS58vEDsLFV1zRgD0H1N49p8LIyog+2kw==" saltValue="RdPjewthxOddvVodwAO1uA==" spinCount="100000" sheet="1" objects="1" scenarios="1"/>
  <customSheetViews>
    <customSheetView guid="{75D6F8CE-A4F4-4FDD-BA92-7996F9E19FA9}" scale="90" showGridLines="0" hiddenRows="1" topLeftCell="A27">
      <selection activeCell="G27" sqref="G27"/>
      <rowBreaks count="1" manualBreakCount="1">
        <brk id="82" min="1" max="9" man="1"/>
      </rowBreaks>
      <pageMargins left="0.25" right="0.25" top="0.75" bottom="0.75" header="0" footer="0"/>
      <pageSetup scale="74" fitToWidth="0" fitToHeight="0" orientation="portrait" r:id="rId1"/>
    </customSheetView>
  </customSheetViews>
  <mergeCells count="58">
    <mergeCell ref="H67:I67"/>
    <mergeCell ref="B82:L82"/>
    <mergeCell ref="K19:L19"/>
    <mergeCell ref="K21:L21"/>
    <mergeCell ref="K23:L23"/>
    <mergeCell ref="B25:L25"/>
    <mergeCell ref="B26:L26"/>
    <mergeCell ref="B50:D50"/>
    <mergeCell ref="F50:G50"/>
    <mergeCell ref="H50:I50"/>
    <mergeCell ref="B59:D59"/>
    <mergeCell ref="F59:G59"/>
    <mergeCell ref="H59:I59"/>
    <mergeCell ref="B41:D41"/>
    <mergeCell ref="F41:G41"/>
    <mergeCell ref="H41:I41"/>
    <mergeCell ref="B76:D76"/>
    <mergeCell ref="F76:G76"/>
    <mergeCell ref="H76:I76"/>
    <mergeCell ref="F48:G48"/>
    <mergeCell ref="H48:I48"/>
    <mergeCell ref="B57:D57"/>
    <mergeCell ref="B65:D65"/>
    <mergeCell ref="B74:D74"/>
    <mergeCell ref="B67:D67"/>
    <mergeCell ref="F67:G67"/>
    <mergeCell ref="F74:G74"/>
    <mergeCell ref="H74:I74"/>
    <mergeCell ref="F57:G57"/>
    <mergeCell ref="H57:I57"/>
    <mergeCell ref="F65:G65"/>
    <mergeCell ref="H65:I65"/>
    <mergeCell ref="B39:D39"/>
    <mergeCell ref="B48:D48"/>
    <mergeCell ref="B21:J21"/>
    <mergeCell ref="B23:J23"/>
    <mergeCell ref="F30:G30"/>
    <mergeCell ref="H30:I30"/>
    <mergeCell ref="H39:I39"/>
    <mergeCell ref="F39:G39"/>
    <mergeCell ref="K30:L30"/>
    <mergeCell ref="B30:D30"/>
    <mergeCell ref="B32:D32"/>
    <mergeCell ref="F32:G32"/>
    <mergeCell ref="H32:I32"/>
    <mergeCell ref="K32:L32"/>
    <mergeCell ref="B19:J19"/>
    <mergeCell ref="B5:K5"/>
    <mergeCell ref="B11:F11"/>
    <mergeCell ref="B13:F13"/>
    <mergeCell ref="B15:F15"/>
    <mergeCell ref="B17:J17"/>
    <mergeCell ref="B9:F9"/>
    <mergeCell ref="G9:L9"/>
    <mergeCell ref="G11:L11"/>
    <mergeCell ref="G13:L13"/>
    <mergeCell ref="G15:L15"/>
    <mergeCell ref="K17:L17"/>
  </mergeCells>
  <conditionalFormatting sqref="F34:G35">
    <cfRule type="expression" dxfId="104" priority="310" stopIfTrue="1">
      <formula>$C34&lt;&gt;"Existing"</formula>
    </cfRule>
  </conditionalFormatting>
  <conditionalFormatting sqref="F42:G44 F52:G53 F69:G70 F78:G78 F61:G61">
    <cfRule type="expression" dxfId="103" priority="5">
      <formula>$C42&lt;&gt;"Existing"</formula>
    </cfRule>
  </conditionalFormatting>
  <dataValidations count="14">
    <dataValidation type="list" allowBlank="1" showInputMessage="1" showErrorMessage="1" sqref="G13" xr:uid="{00000000-0002-0000-0700-000000000000}">
      <formula1>"Yes, N/A (no semiheated space)"</formula1>
    </dataValidation>
    <dataValidation type="list" allowBlank="1" showInputMessage="1" showErrorMessage="1" sqref="G15:G16" xr:uid="{00000000-0002-0000-0700-000001000000}">
      <formula1>"Yes, N/A (no opaque assemblies separating conditioned and semiheated/unconditioned space"</formula1>
    </dataValidation>
    <dataValidation type="list" allowBlank="1" showInputMessage="1" sqref="K19 K21 K17" xr:uid="{00000000-0002-0000-0700-000002000000}">
      <formula1>"Yes,No, N/A"</formula1>
    </dataValidation>
    <dataValidation type="list" allowBlank="1" showInputMessage="1" showErrorMessage="1" sqref="F22:G22 F20:G20 F18:G18" xr:uid="{00000000-0002-0000-0700-000003000000}">
      <formula1>"100% new construction, 100% existing renovation, Combination of new construction and existing renovation"</formula1>
    </dataValidation>
    <dataValidation type="list" allowBlank="1" showInputMessage="1" sqref="K23" xr:uid="{00000000-0002-0000-0700-000004000000}">
      <formula1>"Yes,No"</formula1>
    </dataValidation>
    <dataValidation allowBlank="1" showErrorMessage="1" sqref="E37:F38 G36:N38 B36:D38" xr:uid="{00000000-0002-0000-0700-000005000000}"/>
    <dataValidation allowBlank="1" showInputMessage="1" showErrorMessage="1" prompt="Enter the Proposed above-grade exterior wall construction assembly U-factor" sqref="J54 J71 J62" xr:uid="{00000000-0002-0000-0700-000006000000}"/>
    <dataValidation type="list" allowBlank="1" showInputMessage="1" showErrorMessage="1" sqref="G11:K11" xr:uid="{00000000-0002-0000-0700-000007000000}">
      <formula1>"No changes to space conditioning categories, Yes and the associated constructions in the Baseline case have been modeled using the Appendix G requirements for new construction, N/A (no existing space)"</formula1>
    </dataValidation>
    <dataValidation type="list" allowBlank="1" showInputMessage="1" showErrorMessage="1" sqref="C69:C70 C61 C34:C35 C52:C53 C43:C44 C78" xr:uid="{00000000-0002-0000-0700-000008000000}">
      <formula1>"New,Existing"</formula1>
    </dataValidation>
    <dataValidation type="list" errorStyle="warning" allowBlank="1" showErrorMessage="1" errorTitle="Invalid Entry" error="Please select Nonresidential, Residential, Semiheated, or Unconditioned" sqref="D69:D70 D61 D34:D35 D52:D53 D43:D44 D78" xr:uid="{00000000-0002-0000-0700-000009000000}">
      <formula1>"Nonresidential,Residential,Semiheated,Unconditioned"</formula1>
    </dataValidation>
    <dataValidation type="list" allowBlank="1" showInputMessage="1" showErrorMessage="1" sqref="G9:K9" xr:uid="{00000000-0002-0000-0700-00000A000000}">
      <formula1>"Yes,No,N/A (no residential spaces)"</formula1>
    </dataValidation>
    <dataValidation type="list" errorStyle="warning" allowBlank="1" showErrorMessage="1" errorTitle="Invalid Entry" error="Please verify that the Proposed roof has been modeled with a reflectivity of 0.30 or 0.45 as required by Table G3.1#5(Proposed)(c)" sqref="L34:L35" xr:uid="{00000000-0002-0000-0700-00000B000000}">
      <formula1>"Reflectance 0.3 / Emittance 0.9, Other (describe in additional notes below)"</formula1>
    </dataValidation>
    <dataValidation type="list" errorStyle="warning" allowBlank="1" showErrorMessage="1" errorTitle="Invalid Entry" error="Please verify that the Baseline roof has been modeled with a reflectivity of 0.3 as required by Table G3.1#5(Baseline)(e)" sqref="K34:K35" xr:uid="{00000000-0002-0000-0700-00000C000000}">
      <formula1>"Reflectance 0.55 / Emittance 0.75, Reflectance 0.3 / Emittance 0.9"</formula1>
    </dataValidation>
    <dataValidation type="list" allowBlank="1" showInputMessage="1" showErrorMessage="1" sqref="B69:B70 B34:B35 B43:B44 B61 B52:B53 B78" xr:uid="{00000000-0002-0000-0700-00000D000000}">
      <formula1>BuildingIDLookup</formula1>
    </dataValidation>
  </dataValidations>
  <pageMargins left="0.25" right="0.25" top="0.75" bottom="0.75" header="0" footer="0"/>
  <pageSetup scale="74" fitToWidth="0" fitToHeight="0" orientation="portrait" r:id="rId2"/>
  <rowBreaks count="1" manualBreakCount="1">
    <brk id="84" min="1" max="9" man="1"/>
  </rowBreaks>
  <drawing r:id="rId3"/>
  <legacyDrawing r:id="rId4"/>
  <mc:AlternateContent xmlns:mc="http://schemas.openxmlformats.org/markup-compatibility/2006">
    <mc:Choice Requires="x14">
      <controls>
        <mc:AlternateContent xmlns:mc="http://schemas.openxmlformats.org/markup-compatibility/2006">
          <mc:Choice Requires="x14">
            <control shapeId="20485" r:id="rId5" name="Button 5">
              <controlPr defaultSize="0" print="0" autoFill="0" autoPict="0" macro="[0]!addA">
                <anchor moveWithCells="1">
                  <from>
                    <xdr:col>0</xdr:col>
                    <xdr:colOff>152400</xdr:colOff>
                    <xdr:row>35</xdr:row>
                    <xdr:rowOff>175260</xdr:rowOff>
                  </from>
                  <to>
                    <xdr:col>2</xdr:col>
                    <xdr:colOff>365760</xdr:colOff>
                    <xdr:row>36</xdr:row>
                    <xdr:rowOff>0</xdr:rowOff>
                  </to>
                </anchor>
              </controlPr>
            </control>
          </mc:Choice>
        </mc:AlternateContent>
        <mc:AlternateContent xmlns:mc="http://schemas.openxmlformats.org/markup-compatibility/2006">
          <mc:Choice Requires="x14">
            <control shapeId="20525" r:id="rId6" name="Button 45">
              <controlPr defaultSize="0" print="0" autoFill="0" autoPict="0" macro="[0]!addB">
                <anchor moveWithCells="1">
                  <from>
                    <xdr:col>1</xdr:col>
                    <xdr:colOff>22860</xdr:colOff>
                    <xdr:row>44</xdr:row>
                    <xdr:rowOff>137160</xdr:rowOff>
                  </from>
                  <to>
                    <xdr:col>2</xdr:col>
                    <xdr:colOff>419100</xdr:colOff>
                    <xdr:row>44</xdr:row>
                    <xdr:rowOff>403860</xdr:rowOff>
                  </to>
                </anchor>
              </controlPr>
            </control>
          </mc:Choice>
        </mc:AlternateContent>
        <mc:AlternateContent xmlns:mc="http://schemas.openxmlformats.org/markup-compatibility/2006">
          <mc:Choice Requires="x14">
            <control shapeId="20526" r:id="rId7" name="Button 46">
              <controlPr defaultSize="0" print="0" autoFill="0" autoPict="0" macro="[0]!addC">
                <anchor moveWithCells="1">
                  <from>
                    <xdr:col>1</xdr:col>
                    <xdr:colOff>22860</xdr:colOff>
                    <xdr:row>53</xdr:row>
                    <xdr:rowOff>137160</xdr:rowOff>
                  </from>
                  <to>
                    <xdr:col>2</xdr:col>
                    <xdr:colOff>419100</xdr:colOff>
                    <xdr:row>53</xdr:row>
                    <xdr:rowOff>403860</xdr:rowOff>
                  </to>
                </anchor>
              </controlPr>
            </control>
          </mc:Choice>
        </mc:AlternateContent>
        <mc:AlternateContent xmlns:mc="http://schemas.openxmlformats.org/markup-compatibility/2006">
          <mc:Choice Requires="x14">
            <control shapeId="20527" r:id="rId8" name="Button 47">
              <controlPr defaultSize="0" print="0" autoFill="0" autoPict="0" macro="[0]!addD">
                <anchor moveWithCells="1">
                  <from>
                    <xdr:col>0</xdr:col>
                    <xdr:colOff>175260</xdr:colOff>
                    <xdr:row>61</xdr:row>
                    <xdr:rowOff>137160</xdr:rowOff>
                  </from>
                  <to>
                    <xdr:col>2</xdr:col>
                    <xdr:colOff>403860</xdr:colOff>
                    <xdr:row>61</xdr:row>
                    <xdr:rowOff>403860</xdr:rowOff>
                  </to>
                </anchor>
              </controlPr>
            </control>
          </mc:Choice>
        </mc:AlternateContent>
        <mc:AlternateContent xmlns:mc="http://schemas.openxmlformats.org/markup-compatibility/2006">
          <mc:Choice Requires="x14">
            <control shapeId="20529" r:id="rId9" name="Button 49">
              <controlPr defaultSize="0" print="0" autoFill="0" autoPict="0" macro="[0]!addE">
                <anchor moveWithCells="1">
                  <from>
                    <xdr:col>1</xdr:col>
                    <xdr:colOff>0</xdr:colOff>
                    <xdr:row>70</xdr:row>
                    <xdr:rowOff>137160</xdr:rowOff>
                  </from>
                  <to>
                    <xdr:col>2</xdr:col>
                    <xdr:colOff>403860</xdr:colOff>
                    <xdr:row>70</xdr:row>
                    <xdr:rowOff>403860</xdr:rowOff>
                  </to>
                </anchor>
              </controlPr>
            </control>
          </mc:Choice>
        </mc:AlternateContent>
        <mc:AlternateContent xmlns:mc="http://schemas.openxmlformats.org/markup-compatibility/2006">
          <mc:Choice Requires="x14">
            <control shapeId="20530" r:id="rId10" name="Button 50">
              <controlPr defaultSize="0" print="0" autoFill="0" autoPict="0" macro="[0]!addF">
                <anchor moveWithCells="1">
                  <from>
                    <xdr:col>0</xdr:col>
                    <xdr:colOff>152400</xdr:colOff>
                    <xdr:row>78</xdr:row>
                    <xdr:rowOff>99060</xdr:rowOff>
                  </from>
                  <to>
                    <xdr:col>2</xdr:col>
                    <xdr:colOff>365760</xdr:colOff>
                    <xdr:row>78</xdr:row>
                    <xdr:rowOff>381000</xdr:rowOff>
                  </to>
                </anchor>
              </controlPr>
            </control>
          </mc:Choice>
        </mc:AlternateContent>
        <mc:AlternateContent xmlns:mc="http://schemas.openxmlformats.org/markup-compatibility/2006">
          <mc:Choice Requires="x14">
            <control shapeId="20560" r:id="rId11" name="Button 80">
              <controlPr defaultSize="0" print="0" autoFill="0" autoPict="0" macro="[0]!DeleteSome">
                <anchor moveWithCells="1">
                  <from>
                    <xdr:col>2</xdr:col>
                    <xdr:colOff>426720</xdr:colOff>
                    <xdr:row>35</xdr:row>
                    <xdr:rowOff>182880</xdr:rowOff>
                  </from>
                  <to>
                    <xdr:col>3</xdr:col>
                    <xdr:colOff>822960</xdr:colOff>
                    <xdr:row>36</xdr:row>
                    <xdr:rowOff>0</xdr:rowOff>
                  </to>
                </anchor>
              </controlPr>
            </control>
          </mc:Choice>
        </mc:AlternateContent>
        <mc:AlternateContent xmlns:mc="http://schemas.openxmlformats.org/markup-compatibility/2006">
          <mc:Choice Requires="x14">
            <control shapeId="20561" r:id="rId12" name="Button 81">
              <controlPr defaultSize="0" print="0" autoFill="0" autoPict="0" macro="[0]!DeleteSome">
                <anchor moveWithCells="1">
                  <from>
                    <xdr:col>2</xdr:col>
                    <xdr:colOff>480060</xdr:colOff>
                    <xdr:row>44</xdr:row>
                    <xdr:rowOff>137160</xdr:rowOff>
                  </from>
                  <to>
                    <xdr:col>4</xdr:col>
                    <xdr:colOff>30480</xdr:colOff>
                    <xdr:row>44</xdr:row>
                    <xdr:rowOff>403860</xdr:rowOff>
                  </to>
                </anchor>
              </controlPr>
            </control>
          </mc:Choice>
        </mc:AlternateContent>
        <mc:AlternateContent xmlns:mc="http://schemas.openxmlformats.org/markup-compatibility/2006">
          <mc:Choice Requires="x14">
            <control shapeId="20562" r:id="rId13" name="Button 82">
              <controlPr defaultSize="0" print="0" autoFill="0" autoPict="0" macro="[0]!DeleteSome">
                <anchor moveWithCells="1">
                  <from>
                    <xdr:col>2</xdr:col>
                    <xdr:colOff>495300</xdr:colOff>
                    <xdr:row>53</xdr:row>
                    <xdr:rowOff>137160</xdr:rowOff>
                  </from>
                  <to>
                    <xdr:col>4</xdr:col>
                    <xdr:colOff>38100</xdr:colOff>
                    <xdr:row>53</xdr:row>
                    <xdr:rowOff>403860</xdr:rowOff>
                  </to>
                </anchor>
              </controlPr>
            </control>
          </mc:Choice>
        </mc:AlternateContent>
        <mc:AlternateContent xmlns:mc="http://schemas.openxmlformats.org/markup-compatibility/2006">
          <mc:Choice Requires="x14">
            <control shapeId="20563" r:id="rId14" name="Button 83">
              <controlPr defaultSize="0" print="0" autoFill="0" autoPict="0" macro="[0]!DeleteSome">
                <anchor moveWithCells="1">
                  <from>
                    <xdr:col>2</xdr:col>
                    <xdr:colOff>457200</xdr:colOff>
                    <xdr:row>61</xdr:row>
                    <xdr:rowOff>137160</xdr:rowOff>
                  </from>
                  <to>
                    <xdr:col>4</xdr:col>
                    <xdr:colOff>0</xdr:colOff>
                    <xdr:row>61</xdr:row>
                    <xdr:rowOff>403860</xdr:rowOff>
                  </to>
                </anchor>
              </controlPr>
            </control>
          </mc:Choice>
        </mc:AlternateContent>
        <mc:AlternateContent xmlns:mc="http://schemas.openxmlformats.org/markup-compatibility/2006">
          <mc:Choice Requires="x14">
            <control shapeId="20564" r:id="rId15" name="Button 84">
              <controlPr defaultSize="0" print="0" autoFill="0" autoPict="0" macro="[0]!DeleteSome">
                <anchor moveWithCells="1">
                  <from>
                    <xdr:col>2</xdr:col>
                    <xdr:colOff>480060</xdr:colOff>
                    <xdr:row>70</xdr:row>
                    <xdr:rowOff>137160</xdr:rowOff>
                  </from>
                  <to>
                    <xdr:col>4</xdr:col>
                    <xdr:colOff>22860</xdr:colOff>
                    <xdr:row>70</xdr:row>
                    <xdr:rowOff>403860</xdr:rowOff>
                  </to>
                </anchor>
              </controlPr>
            </control>
          </mc:Choice>
        </mc:AlternateContent>
        <mc:AlternateContent xmlns:mc="http://schemas.openxmlformats.org/markup-compatibility/2006">
          <mc:Choice Requires="x14">
            <control shapeId="20565" r:id="rId16" name="Button 85">
              <controlPr defaultSize="0" print="0" autoFill="0" autoPict="0" macro="[0]!DeleteSome">
                <anchor moveWithCells="1">
                  <from>
                    <xdr:col>2</xdr:col>
                    <xdr:colOff>441960</xdr:colOff>
                    <xdr:row>78</xdr:row>
                    <xdr:rowOff>114300</xdr:rowOff>
                  </from>
                  <to>
                    <xdr:col>3</xdr:col>
                    <xdr:colOff>830580</xdr:colOff>
                    <xdr:row>78</xdr:row>
                    <xdr:rowOff>381000</xdr:rowOff>
                  </to>
                </anchor>
              </controlPr>
            </control>
          </mc:Choice>
        </mc:AlternateContent>
        <mc:AlternateContent xmlns:mc="http://schemas.openxmlformats.org/markup-compatibility/2006">
          <mc:Choice Requires="x14">
            <control shapeId="20567" r:id="rId17" name="Button 87">
              <controlPr defaultSize="0" print="0" autoFill="0" autoPict="0" macro="[0]!Copy_Default_OA_OBEC_Table">
                <anchor moveWithCells="1">
                  <from>
                    <xdr:col>10</xdr:col>
                    <xdr:colOff>426720</xdr:colOff>
                    <xdr:row>35</xdr:row>
                    <xdr:rowOff>182880</xdr:rowOff>
                  </from>
                  <to>
                    <xdr:col>11</xdr:col>
                    <xdr:colOff>822960</xdr:colOff>
                    <xdr:row>36</xdr:row>
                    <xdr:rowOff>0</xdr:rowOff>
                  </to>
                </anchor>
              </controlPr>
            </control>
          </mc:Choice>
        </mc:AlternateContent>
        <mc:AlternateContent xmlns:mc="http://schemas.openxmlformats.org/markup-compatibility/2006">
          <mc:Choice Requires="x14">
            <control shapeId="20570" r:id="rId18" name="Button 90">
              <controlPr defaultSize="0" print="0" autoFill="0" autoPict="0" macro="[0]!Copy_Default_OA_AGEWC_Table">
                <anchor moveWithCells="1">
                  <from>
                    <xdr:col>7</xdr:col>
                    <xdr:colOff>2278380</xdr:colOff>
                    <xdr:row>44</xdr:row>
                    <xdr:rowOff>137160</xdr:rowOff>
                  </from>
                  <to>
                    <xdr:col>8</xdr:col>
                    <xdr:colOff>944880</xdr:colOff>
                    <xdr:row>44</xdr:row>
                    <xdr:rowOff>403860</xdr:rowOff>
                  </to>
                </anchor>
              </controlPr>
            </control>
          </mc:Choice>
        </mc:AlternateContent>
        <mc:AlternateContent xmlns:mc="http://schemas.openxmlformats.org/markup-compatibility/2006">
          <mc:Choice Requires="x14">
            <control shapeId="20572" r:id="rId19" name="Button 92">
              <controlPr defaultSize="0" print="0" autoFill="0" autoPict="0" macro="[0]!Copy_Default_OA_BGEWC_Table">
                <anchor moveWithCells="1">
                  <from>
                    <xdr:col>7</xdr:col>
                    <xdr:colOff>2194560</xdr:colOff>
                    <xdr:row>53</xdr:row>
                    <xdr:rowOff>137160</xdr:rowOff>
                  </from>
                  <to>
                    <xdr:col>8</xdr:col>
                    <xdr:colOff>845820</xdr:colOff>
                    <xdr:row>53</xdr:row>
                    <xdr:rowOff>403860</xdr:rowOff>
                  </to>
                </anchor>
              </controlPr>
            </control>
          </mc:Choice>
        </mc:AlternateContent>
        <mc:AlternateContent xmlns:mc="http://schemas.openxmlformats.org/markup-compatibility/2006">
          <mc:Choice Requires="x14">
            <control shapeId="20573" r:id="rId20" name="Button 93">
              <controlPr defaultSize="0" print="0" autoFill="0" autoPict="0" macro="[0]!Copy_Default_OA_EFC_Table">
                <anchor moveWithCells="1">
                  <from>
                    <xdr:col>7</xdr:col>
                    <xdr:colOff>2286000</xdr:colOff>
                    <xdr:row>61</xdr:row>
                    <xdr:rowOff>137160</xdr:rowOff>
                  </from>
                  <to>
                    <xdr:col>8</xdr:col>
                    <xdr:colOff>944880</xdr:colOff>
                    <xdr:row>61</xdr:row>
                    <xdr:rowOff>403860</xdr:rowOff>
                  </to>
                </anchor>
              </controlPr>
            </control>
          </mc:Choice>
        </mc:AlternateContent>
        <mc:AlternateContent xmlns:mc="http://schemas.openxmlformats.org/markup-compatibility/2006">
          <mc:Choice Requires="x14">
            <control shapeId="20575" r:id="rId21" name="Button 95">
              <controlPr defaultSize="0" print="0" autoFill="0" autoPict="0" macro="[0]!Copy_Default_OA_SOGF_Table">
                <anchor moveWithCells="1">
                  <from>
                    <xdr:col>7</xdr:col>
                    <xdr:colOff>2316480</xdr:colOff>
                    <xdr:row>70</xdr:row>
                    <xdr:rowOff>137160</xdr:rowOff>
                  </from>
                  <to>
                    <xdr:col>8</xdr:col>
                    <xdr:colOff>975360</xdr:colOff>
                    <xdr:row>70</xdr:row>
                    <xdr:rowOff>403860</xdr:rowOff>
                  </to>
                </anchor>
              </controlPr>
            </control>
          </mc:Choice>
        </mc:AlternateContent>
        <mc:AlternateContent xmlns:mc="http://schemas.openxmlformats.org/markup-compatibility/2006">
          <mc:Choice Requires="x14">
            <control shapeId="20576" r:id="rId22" name="Button 96">
              <controlPr defaultSize="0" print="0" autoFill="0" autoPict="0" macro="[0]!Copy_Default_OA_OD_Table">
                <anchor moveWithCells="1">
                  <from>
                    <xdr:col>7</xdr:col>
                    <xdr:colOff>2286000</xdr:colOff>
                    <xdr:row>78</xdr:row>
                    <xdr:rowOff>114300</xdr:rowOff>
                  </from>
                  <to>
                    <xdr:col>8</xdr:col>
                    <xdr:colOff>952500</xdr:colOff>
                    <xdr:row>78</xdr:row>
                    <xdr:rowOff>381000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ErrorMessage="1" xr:uid="{00000000-0002-0000-0700-000010000000}">
          <x14:formula1>
            <xm:f>Instructions!$I$43:$I$60</xm:f>
          </x14:formula1>
          <xm:sqref>K23</xm:sqref>
        </x14:dataValidation>
        <x14:dataValidation type="list" allowBlank="1" showInputMessage="1" showErrorMessage="1" xr:uid="{00000000-0002-0000-0700-000011000000}">
          <x14:formula1>
            <xm:f>Instructions!$I$33:$I$34</xm:f>
          </x14:formula1>
          <xm:sqref>C69:C70</xm:sqref>
        </x14:dataValidation>
        <x14:dataValidation type="list" errorStyle="warning" allowBlank="1" showErrorMessage="1" errorTitle="Invalid Entry" error="Please select Nonresidential, Residential, Semiheated, or Unconditioned" xr:uid="{00000000-0002-0000-0700-000012000000}">
          <x14:formula1>
            <xm:f>Instructions!$I$37:$I$40</xm:f>
          </x14:formula1>
          <xm:sqref>D69:D70</xm:sqref>
        </x14:dataValidation>
      </x14:dataValidations>
    </ex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dimension ref="A1:Z70"/>
  <sheetViews>
    <sheetView showGridLines="0" zoomScale="90" zoomScaleNormal="90" zoomScaleSheetLayoutView="120" zoomScalePageLayoutView="90" workbookViewId="0">
      <selection activeCell="I49" sqref="I49"/>
    </sheetView>
  </sheetViews>
  <sheetFormatPr defaultColWidth="8.6640625" defaultRowHeight="13.2" outlineLevelCol="1" x14ac:dyDescent="0.3"/>
  <cols>
    <col min="1" max="1" width="2.5546875" style="306" customWidth="1"/>
    <col min="2" max="2" width="14.44140625" style="351" customWidth="1"/>
    <col min="3" max="3" width="14.6640625" style="351" customWidth="1"/>
    <col min="4" max="4" width="13" style="351" customWidth="1"/>
    <col min="5" max="5" width="2.44140625" style="306" customWidth="1"/>
    <col min="6" max="6" width="30.109375" style="351" customWidth="1"/>
    <col min="7" max="7" width="14.6640625" style="351" customWidth="1"/>
    <col min="8" max="8" width="15.5546875" style="306" customWidth="1"/>
    <col min="9" max="9" width="30.109375" style="351" customWidth="1"/>
    <col min="10" max="11" width="14.6640625" style="351" customWidth="1"/>
    <col min="12" max="12" width="9.44140625" style="306" customWidth="1"/>
    <col min="13" max="13" width="2.77734375" style="839" customWidth="1"/>
    <col min="14" max="14" width="2.77734375" style="306" customWidth="1"/>
    <col min="15" max="16" width="10.6640625" style="306" hidden="1" customWidth="1" outlineLevel="1"/>
    <col min="17" max="19" width="8.6640625" style="306" hidden="1" customWidth="1" outlineLevel="1"/>
    <col min="20" max="20" width="2.77734375" style="306" customWidth="1" collapsed="1"/>
    <col min="21" max="21" width="2.77734375" style="306" customWidth="1"/>
    <col min="22" max="22" width="50.77734375" style="306" customWidth="1"/>
    <col min="23" max="28" width="8.6640625" style="306" customWidth="1"/>
    <col min="29" max="16384" width="8.6640625" style="306"/>
  </cols>
  <sheetData>
    <row r="1" spans="1:22" x14ac:dyDescent="0.3">
      <c r="A1" s="717" t="s">
        <v>1299</v>
      </c>
      <c r="B1" s="350"/>
      <c r="C1" s="350"/>
      <c r="D1" s="350"/>
      <c r="E1" s="350"/>
      <c r="F1" s="349"/>
      <c r="G1" s="350"/>
      <c r="H1" s="349"/>
      <c r="I1" s="349"/>
      <c r="J1" s="350"/>
      <c r="K1" s="350"/>
      <c r="L1" s="350"/>
      <c r="M1" s="846"/>
      <c r="N1" s="351"/>
      <c r="O1" s="351"/>
      <c r="P1" s="351"/>
    </row>
    <row r="2" spans="1:22" ht="24.75" customHeight="1" x14ac:dyDescent="0.3">
      <c r="A2" s="717" t="s">
        <v>1299</v>
      </c>
      <c r="B2" s="40" t="s">
        <v>1033</v>
      </c>
      <c r="C2" s="44"/>
      <c r="D2" s="44"/>
      <c r="E2" s="44"/>
      <c r="F2" s="44"/>
      <c r="G2" s="44"/>
      <c r="H2" s="44"/>
      <c r="I2" s="44"/>
      <c r="J2" s="44"/>
      <c r="K2" s="44"/>
      <c r="L2" s="44"/>
      <c r="M2" s="847"/>
      <c r="N2" s="69"/>
      <c r="O2" s="69"/>
      <c r="P2" s="69"/>
    </row>
    <row r="3" spans="1:22" ht="15" customHeight="1" x14ac:dyDescent="0.3">
      <c r="A3" s="717" t="s">
        <v>1299</v>
      </c>
      <c r="B3" s="350"/>
      <c r="C3" s="350"/>
      <c r="D3" s="350"/>
      <c r="E3" s="350"/>
      <c r="F3" s="349"/>
      <c r="G3" s="350"/>
      <c r="H3" s="349"/>
      <c r="I3" s="349"/>
      <c r="J3" s="350"/>
      <c r="K3" s="350"/>
      <c r="L3" s="350"/>
      <c r="M3" s="846"/>
      <c r="N3" s="351"/>
      <c r="O3" s="351"/>
      <c r="P3" s="351"/>
    </row>
    <row r="4" spans="1:22" s="352" customFormat="1" ht="21.75" customHeight="1" x14ac:dyDescent="0.25">
      <c r="A4" s="593" t="s">
        <v>1299</v>
      </c>
      <c r="M4" s="848"/>
    </row>
    <row r="5" spans="1:22" ht="30" customHeight="1" x14ac:dyDescent="0.25">
      <c r="A5" s="593" t="s">
        <v>1299</v>
      </c>
      <c r="B5" s="26" t="s">
        <v>1503</v>
      </c>
      <c r="C5" s="31"/>
      <c r="D5" s="31"/>
      <c r="E5" s="31"/>
      <c r="F5" s="31"/>
      <c r="G5" s="31"/>
      <c r="H5" s="31"/>
      <c r="I5" s="31"/>
      <c r="J5" s="31"/>
      <c r="K5" s="31"/>
      <c r="P5" s="352"/>
    </row>
    <row r="6" spans="1:22" ht="40.5" customHeight="1" x14ac:dyDescent="0.25">
      <c r="A6" s="593" t="s">
        <v>1299</v>
      </c>
      <c r="B6" s="2209" t="s">
        <v>1054</v>
      </c>
      <c r="C6" s="2209"/>
      <c r="D6" s="2209"/>
      <c r="E6" s="2209"/>
      <c r="F6" s="2209"/>
      <c r="G6" s="2209"/>
      <c r="H6" s="2209"/>
      <c r="I6" s="2209"/>
      <c r="J6" s="2209"/>
      <c r="K6" s="39"/>
      <c r="P6" s="352"/>
      <c r="V6" s="750" t="s">
        <v>2090</v>
      </c>
    </row>
    <row r="7" spans="1:22" ht="21" customHeight="1" x14ac:dyDescent="0.25">
      <c r="A7" s="593"/>
      <c r="B7" s="2274" t="s">
        <v>1961</v>
      </c>
      <c r="C7" s="2274"/>
      <c r="D7" s="2274"/>
      <c r="E7" s="2274"/>
      <c r="F7" s="2274"/>
      <c r="G7" s="2274"/>
      <c r="H7" s="2274"/>
      <c r="I7" s="2274"/>
      <c r="J7" s="2274"/>
      <c r="K7" s="2274"/>
      <c r="L7" s="841" t="s">
        <v>25</v>
      </c>
      <c r="P7" s="352"/>
      <c r="V7" s="841"/>
    </row>
    <row r="8" spans="1:22" ht="21" customHeight="1" x14ac:dyDescent="0.25">
      <c r="A8" s="593"/>
      <c r="B8" s="2274" t="s">
        <v>1962</v>
      </c>
      <c r="C8" s="2274"/>
      <c r="D8" s="2274"/>
      <c r="E8" s="2274"/>
      <c r="F8" s="2274"/>
      <c r="G8" s="2274"/>
      <c r="H8" s="2274"/>
      <c r="I8" s="2274"/>
      <c r="J8" s="2274"/>
      <c r="K8" s="2274"/>
      <c r="L8" s="841" t="s">
        <v>25</v>
      </c>
      <c r="P8" s="352"/>
      <c r="V8" s="841"/>
    </row>
    <row r="9" spans="1:22" ht="21" customHeight="1" x14ac:dyDescent="0.25">
      <c r="A9" s="593"/>
      <c r="B9" s="2274" t="s">
        <v>1757</v>
      </c>
      <c r="C9" s="2274"/>
      <c r="D9" s="2274"/>
      <c r="E9" s="2274"/>
      <c r="F9" s="2274"/>
      <c r="G9" s="2274"/>
      <c r="H9" s="2274"/>
      <c r="I9" s="2274"/>
      <c r="J9" s="2274"/>
      <c r="K9" s="2274"/>
      <c r="L9" s="841" t="s">
        <v>25</v>
      </c>
      <c r="P9" s="352"/>
      <c r="V9" s="841"/>
    </row>
    <row r="10" spans="1:22" ht="33" customHeight="1" x14ac:dyDescent="0.25">
      <c r="A10" s="593"/>
      <c r="B10" s="2274" t="str">
        <f>IF(RatingSystem_IDC,CONCATENATE("All existing fenestration has been modeled as required by Table 5.5 for the project's climate zone and Table G3.1#5(Proposed)(c)  and (d)"," and are not modeled using Exception (f) per Rating system requirements"),CONCATENATE("All baseline existing fenestration for spaces with unchanged space conditioning categories has been modeled using existing conditions prior to revisions that are part of the project scope of work."))</f>
        <v>All baseline existing fenestration for spaces with unchanged space conditioning categories has been modeled using existing conditions prior to revisions that are part of the project scope of work.</v>
      </c>
      <c r="C10" s="2274"/>
      <c r="D10" s="2274"/>
      <c r="E10" s="2274"/>
      <c r="F10" s="2274"/>
      <c r="G10" s="2274"/>
      <c r="H10" s="2274"/>
      <c r="I10" s="2274"/>
      <c r="J10" s="2274"/>
      <c r="K10" s="2274"/>
      <c r="L10" s="841" t="s">
        <v>1069</v>
      </c>
      <c r="P10" s="352"/>
      <c r="V10" s="841"/>
    </row>
    <row r="11" spans="1:22" ht="21" customHeight="1" x14ac:dyDescent="0.25">
      <c r="A11" s="593"/>
      <c r="B11" s="2290" t="s">
        <v>1756</v>
      </c>
      <c r="C11" s="2290"/>
      <c r="D11" s="2290"/>
      <c r="E11" s="2290"/>
      <c r="F11" s="2290"/>
      <c r="G11" s="2290"/>
      <c r="H11" s="2290"/>
      <c r="I11" s="2290"/>
      <c r="J11" s="2290"/>
      <c r="K11" s="2290"/>
      <c r="L11" s="841" t="s">
        <v>25</v>
      </c>
      <c r="P11" s="352"/>
      <c r="V11" s="841"/>
    </row>
    <row r="12" spans="1:22" ht="17.25" customHeight="1" x14ac:dyDescent="0.25">
      <c r="A12" s="593"/>
      <c r="B12" s="758"/>
      <c r="C12" s="758"/>
      <c r="D12" s="758"/>
      <c r="E12" s="758"/>
      <c r="F12" s="758"/>
      <c r="G12" s="758"/>
      <c r="H12" s="758"/>
      <c r="I12" s="758"/>
      <c r="J12" s="758"/>
      <c r="K12" s="758"/>
      <c r="L12" s="839"/>
      <c r="M12" s="840"/>
      <c r="P12" s="352"/>
    </row>
    <row r="13" spans="1:22" ht="56.25" customHeight="1" x14ac:dyDescent="0.25">
      <c r="A13" s="593"/>
      <c r="B13" s="2005" t="s">
        <v>1594</v>
      </c>
      <c r="C13" s="2005"/>
      <c r="D13" s="2005"/>
      <c r="E13" s="2005"/>
      <c r="F13" s="2005"/>
      <c r="G13" s="2005"/>
      <c r="H13" s="2005"/>
      <c r="I13" s="2005"/>
      <c r="J13" s="2005"/>
      <c r="K13" s="2005"/>
      <c r="L13" s="2005"/>
      <c r="M13" s="845"/>
      <c r="P13" s="352"/>
    </row>
    <row r="14" spans="1:22" ht="40.5" customHeight="1" x14ac:dyDescent="0.25">
      <c r="A14" s="593"/>
      <c r="B14" s="2287"/>
      <c r="C14" s="2288"/>
      <c r="D14" s="2288"/>
      <c r="E14" s="2288"/>
      <c r="F14" s="2288"/>
      <c r="G14" s="2288"/>
      <c r="H14" s="2288"/>
      <c r="I14" s="2288"/>
      <c r="J14" s="2288"/>
      <c r="K14" s="2288"/>
      <c r="L14" s="2289"/>
      <c r="M14" s="758"/>
      <c r="P14" s="352"/>
      <c r="V14" s="841"/>
    </row>
    <row r="15" spans="1:22" ht="17.25" customHeight="1" x14ac:dyDescent="0.25">
      <c r="A15" s="593"/>
      <c r="B15" s="822"/>
      <c r="C15" s="822"/>
      <c r="D15" s="35"/>
      <c r="E15" s="35"/>
      <c r="F15" s="35"/>
      <c r="G15" s="35"/>
      <c r="H15" s="35"/>
      <c r="I15" s="35"/>
      <c r="J15" s="35"/>
      <c r="K15" s="39"/>
      <c r="P15" s="352"/>
    </row>
    <row r="16" spans="1:22" ht="40.5" customHeight="1" x14ac:dyDescent="0.25">
      <c r="A16" s="593" t="s">
        <v>1299</v>
      </c>
      <c r="B16" s="2282" t="s">
        <v>1358</v>
      </c>
      <c r="C16" s="2283"/>
      <c r="D16" s="1462" t="str">
        <f>'Multiple Buildings Details'!B24</f>
        <v>Saudi Aramco Corporate Academy - Dhahran</v>
      </c>
      <c r="E16" s="795"/>
      <c r="F16" s="795"/>
      <c r="G16" s="795"/>
      <c r="H16" s="795"/>
      <c r="I16" s="796"/>
      <c r="J16" s="796"/>
      <c r="K16" s="39"/>
      <c r="P16" s="352"/>
    </row>
    <row r="17" spans="1:22" ht="26.25" customHeight="1" x14ac:dyDescent="0.25">
      <c r="A17" s="593" t="s">
        <v>1299</v>
      </c>
      <c r="B17" s="2284" t="s">
        <v>0</v>
      </c>
      <c r="C17" s="2285"/>
      <c r="D17" s="2286"/>
      <c r="E17" s="829"/>
      <c r="F17" s="2279" t="s">
        <v>347</v>
      </c>
      <c r="G17" s="2280"/>
      <c r="H17" s="2280"/>
      <c r="I17" s="2280" t="s">
        <v>348</v>
      </c>
      <c r="J17" s="2280"/>
      <c r="K17" s="2281"/>
      <c r="L17" s="842"/>
    </row>
    <row r="18" spans="1:22" ht="102" customHeight="1" x14ac:dyDescent="0.25">
      <c r="A18" s="593"/>
      <c r="B18" s="2248" t="s">
        <v>1703</v>
      </c>
      <c r="C18" s="2249"/>
      <c r="D18" s="2250"/>
      <c r="E18" s="963"/>
      <c r="F18" s="2251" t="s">
        <v>1717</v>
      </c>
      <c r="G18" s="2252"/>
      <c r="H18" s="2253"/>
      <c r="I18" s="2251" t="s">
        <v>1718</v>
      </c>
      <c r="J18" s="2252"/>
      <c r="K18" s="2253"/>
      <c r="L18" s="843"/>
    </row>
    <row r="19" spans="1:22" ht="21.75" customHeight="1" x14ac:dyDescent="0.25">
      <c r="A19" s="593" t="s">
        <v>1299</v>
      </c>
      <c r="B19" s="2244" t="s">
        <v>916</v>
      </c>
      <c r="C19" s="2244"/>
      <c r="D19" s="2123" t="s">
        <v>19</v>
      </c>
      <c r="E19" s="830"/>
      <c r="F19" s="2245" t="str">
        <f>CONCATENATE("Above-Grade Wall Area
",IF(SI_IP_Units="IP"," (sq ft)"," (sq m)"))</f>
        <v>Above-Grade Wall Area
 (sq m)</v>
      </c>
      <c r="G19" s="2247" t="s">
        <v>13</v>
      </c>
      <c r="H19" s="2247"/>
      <c r="I19" s="2245" t="str">
        <f>CONCATENATE("Above-Grade Wall Area
",IF(SI_IP_Units="IP"," (sq ft)"," (sq m)"))</f>
        <v>Above-Grade Wall Area
 (sq m)</v>
      </c>
      <c r="J19" s="2247" t="s">
        <v>13</v>
      </c>
      <c r="K19" s="2254"/>
      <c r="L19" s="843"/>
    </row>
    <row r="20" spans="1:22" ht="21.75" customHeight="1" x14ac:dyDescent="0.25">
      <c r="A20" s="593" t="s">
        <v>1299</v>
      </c>
      <c r="B20" s="2244"/>
      <c r="C20" s="2244"/>
      <c r="D20" s="2123"/>
      <c r="E20" s="830"/>
      <c r="F20" s="2246"/>
      <c r="G20" s="277" t="str">
        <f>IF(SI_IP_Units="IP"," (sq ft)"," (sq m)")</f>
        <v xml:space="preserve"> (sq m)</v>
      </c>
      <c r="H20" s="277" t="s">
        <v>20</v>
      </c>
      <c r="I20" s="2246"/>
      <c r="J20" s="277" t="str">
        <f>IF(SI_IP_Units="IP"," (sq ft)"," (sq m)")</f>
        <v xml:space="preserve"> (sq m)</v>
      </c>
      <c r="K20" s="280" t="s">
        <v>20</v>
      </c>
      <c r="L20" s="843"/>
      <c r="O20" s="1274" t="s">
        <v>1358</v>
      </c>
      <c r="P20" s="1274" t="s">
        <v>1839</v>
      </c>
      <c r="Q20" s="1274" t="s">
        <v>1840</v>
      </c>
      <c r="R20" s="750" t="s">
        <v>2005</v>
      </c>
    </row>
    <row r="21" spans="1:22" ht="21.75" customHeight="1" x14ac:dyDescent="0.25">
      <c r="A21" s="593" t="s">
        <v>1299</v>
      </c>
      <c r="B21" s="2244"/>
      <c r="C21" s="2244"/>
      <c r="D21" s="1466" t="s">
        <v>14</v>
      </c>
      <c r="E21" s="831"/>
      <c r="F21" s="1469">
        <v>1939.17</v>
      </c>
      <c r="G21" s="328">
        <v>1133.08</v>
      </c>
      <c r="H21" s="329">
        <f>IFERROR(G21/F21,"")</f>
        <v>0.58431184475832443</v>
      </c>
      <c r="I21" s="336" t="s">
        <v>1138</v>
      </c>
      <c r="J21" s="328">
        <v>1303.3900000000001</v>
      </c>
      <c r="K21" s="330">
        <f>IFERROR(J21/F21,"")</f>
        <v>0.67213807969388972</v>
      </c>
      <c r="L21" s="843"/>
      <c r="V21" s="841"/>
    </row>
    <row r="22" spans="1:22" ht="21.75" customHeight="1" x14ac:dyDescent="0.25">
      <c r="A22" s="593" t="s">
        <v>1299</v>
      </c>
      <c r="B22" s="2244"/>
      <c r="C22" s="2244"/>
      <c r="D22" s="1467" t="s">
        <v>15</v>
      </c>
      <c r="E22" s="831"/>
      <c r="F22" s="1470">
        <v>3171.8</v>
      </c>
      <c r="G22" s="247">
        <v>929.9</v>
      </c>
      <c r="H22" s="1471">
        <f t="shared" ref="H22:H24" si="0">IFERROR(G22/F22,"")</f>
        <v>0.29317737562267482</v>
      </c>
      <c r="I22" s="337" t="s">
        <v>1138</v>
      </c>
      <c r="J22" s="247">
        <v>1069.56</v>
      </c>
      <c r="K22" s="1472">
        <f t="shared" ref="K22:K24" si="1">IFERROR(J22/F22,"")</f>
        <v>0.33720915568446935</v>
      </c>
      <c r="L22" s="843"/>
      <c r="V22" s="841"/>
    </row>
    <row r="23" spans="1:22" ht="22.5" customHeight="1" x14ac:dyDescent="0.25">
      <c r="A23" s="593" t="s">
        <v>1299</v>
      </c>
      <c r="B23" s="2244"/>
      <c r="C23" s="2244"/>
      <c r="D23" s="1467" t="s">
        <v>16</v>
      </c>
      <c r="E23" s="797"/>
      <c r="F23" s="1470">
        <v>1331.58</v>
      </c>
      <c r="G23" s="247">
        <v>665.73</v>
      </c>
      <c r="H23" s="1471">
        <f t="shared" si="0"/>
        <v>0.49995494074708247</v>
      </c>
      <c r="I23" s="337" t="s">
        <v>1138</v>
      </c>
      <c r="J23" s="247">
        <v>765.89</v>
      </c>
      <c r="K23" s="1472">
        <f t="shared" si="1"/>
        <v>0.57517385361750706</v>
      </c>
      <c r="L23" s="843"/>
      <c r="V23" s="841"/>
    </row>
    <row r="24" spans="1:22" ht="21.75" customHeight="1" x14ac:dyDescent="0.25">
      <c r="A24" s="593" t="s">
        <v>1299</v>
      </c>
      <c r="B24" s="2244"/>
      <c r="C24" s="2244"/>
      <c r="D24" s="1468" t="s">
        <v>17</v>
      </c>
      <c r="E24" s="797"/>
      <c r="F24" s="1473">
        <v>2666.58</v>
      </c>
      <c r="G24" s="1474">
        <v>915.21</v>
      </c>
      <c r="H24" s="1475">
        <f t="shared" si="0"/>
        <v>0.34321490448439579</v>
      </c>
      <c r="I24" s="338" t="s">
        <v>1138</v>
      </c>
      <c r="J24" s="1474">
        <v>1053.01</v>
      </c>
      <c r="K24" s="1476">
        <f t="shared" si="1"/>
        <v>0.39489158397647922</v>
      </c>
      <c r="L24" s="843"/>
      <c r="V24" s="841"/>
    </row>
    <row r="25" spans="1:22" ht="21.75" customHeight="1" x14ac:dyDescent="0.25">
      <c r="A25" s="593" t="s">
        <v>1299</v>
      </c>
      <c r="B25" s="2244"/>
      <c r="C25" s="2244"/>
      <c r="D25" s="355" t="s">
        <v>18</v>
      </c>
      <c r="E25" s="45"/>
      <c r="F25" s="331">
        <f>SUM(F21:F24)</f>
        <v>9109.130000000001</v>
      </c>
      <c r="G25" s="332">
        <f>SUM(G21:G24)</f>
        <v>3643.92</v>
      </c>
      <c r="H25" s="333">
        <f>IFERROR(G25/I25,0)</f>
        <v>0.40002942103142669</v>
      </c>
      <c r="I25" s="332">
        <f>F25</f>
        <v>9109.130000000001</v>
      </c>
      <c r="J25" s="334">
        <f>SUM(J21:J24)</f>
        <v>4191.8499999999995</v>
      </c>
      <c r="K25" s="333">
        <f>IFERROR(J25/I25,0)</f>
        <v>0.46018115890321021</v>
      </c>
      <c r="L25" s="843"/>
      <c r="O25" s="1275" t="str">
        <f ca="1">IF(ResDwellingUnitsExist="No",D16,INDEX(MBD_BS_Table,MATCH(OFFSET(O25,-9,-11,1,1),MBD_BS_Index,0),MATCH('Multiple Buildings Details'!$E$22,MBD_BS_Hdr,0)))</f>
        <v>Saudi Aramco Corporate Academy - Dhahran</v>
      </c>
      <c r="P25" s="1275" t="str">
        <f>IFERROR(IF(AND(H25&lt;0.4,K25&lt;0.4),ABS(H25-K25)/MIN(H25,K25),""),0)</f>
        <v/>
      </c>
      <c r="Q25" s="1275" t="b">
        <f>IFERROR(AND(H25&gt;40.5%,K25&gt;40.5%),FALSE)</f>
        <v>0</v>
      </c>
    </row>
    <row r="26" spans="1:22" ht="24.75" customHeight="1" x14ac:dyDescent="0.25">
      <c r="A26" s="593" t="s">
        <v>1299</v>
      </c>
      <c r="B26" s="2244" t="s">
        <v>428</v>
      </c>
      <c r="C26" s="2244"/>
      <c r="D26" s="2244"/>
      <c r="E26" s="797"/>
      <c r="F26" s="2245" t="str">
        <f>CONCATENATE("Roof Area
",IF(SI_IP_Units="IP"," (sq ft)"," (sq m)"))</f>
        <v>Roof Area
 (sq m)</v>
      </c>
      <c r="G26" s="2247" t="s">
        <v>27</v>
      </c>
      <c r="H26" s="2247"/>
      <c r="I26" s="2245" t="str">
        <f>CONCATENATE("Roof Area
",IF(SI_IP_Units="IP"," (sq ft)"," (sq m)"))</f>
        <v>Roof Area
 (sq m)</v>
      </c>
      <c r="J26" s="2247" t="s">
        <v>27</v>
      </c>
      <c r="K26" s="2254"/>
      <c r="L26" s="843"/>
    </row>
    <row r="27" spans="1:22" ht="22.5" customHeight="1" x14ac:dyDescent="0.25">
      <c r="A27" s="593" t="s">
        <v>1299</v>
      </c>
      <c r="B27" s="2244"/>
      <c r="C27" s="2244"/>
      <c r="D27" s="2244"/>
      <c r="E27" s="797"/>
      <c r="F27" s="2246"/>
      <c r="G27" s="277" t="str">
        <f>IF(SI_IP_Units="IP"," (sq ft)"," (sq m)")</f>
        <v xml:space="preserve"> (sq m)</v>
      </c>
      <c r="H27" s="277" t="s">
        <v>20</v>
      </c>
      <c r="I27" s="2246"/>
      <c r="J27" s="277" t="str">
        <f>IF(SI_IP_Units="IP"," (sq ft)"," (sq m)")</f>
        <v xml:space="preserve"> (sq m)</v>
      </c>
      <c r="K27" s="280" t="s">
        <v>20</v>
      </c>
      <c r="L27" s="843"/>
    </row>
    <row r="28" spans="1:22" ht="22.5" customHeight="1" x14ac:dyDescent="0.25">
      <c r="A28" s="593" t="s">
        <v>1299</v>
      </c>
      <c r="B28" s="2244"/>
      <c r="C28" s="2244"/>
      <c r="D28" s="2244"/>
      <c r="E28" s="797"/>
      <c r="F28" s="325">
        <v>6879.53</v>
      </c>
      <c r="G28" s="226">
        <v>0</v>
      </c>
      <c r="H28" s="326">
        <f>IFERROR(G28/F28,0)</f>
        <v>0</v>
      </c>
      <c r="I28" s="339" t="s">
        <v>1138</v>
      </c>
      <c r="J28" s="226">
        <v>0</v>
      </c>
      <c r="K28" s="327">
        <f>IFERROR(J28/F28,0)</f>
        <v>0</v>
      </c>
      <c r="L28" s="843"/>
      <c r="V28" s="841"/>
    </row>
    <row r="29" spans="1:22" ht="17.25" customHeight="1" x14ac:dyDescent="0.25">
      <c r="A29" s="593" t="s">
        <v>1299</v>
      </c>
      <c r="B29" s="2278" t="s">
        <v>1758</v>
      </c>
      <c r="C29" s="2278"/>
      <c r="D29" s="2278"/>
      <c r="E29" s="797"/>
      <c r="F29" s="50" t="s">
        <v>1499</v>
      </c>
      <c r="G29" s="792" t="s">
        <v>1504</v>
      </c>
      <c r="H29" s="792" t="s">
        <v>438</v>
      </c>
      <c r="I29" s="792" t="s">
        <v>1499</v>
      </c>
      <c r="J29" s="792" t="s">
        <v>1504</v>
      </c>
      <c r="K29" s="51" t="s">
        <v>438</v>
      </c>
      <c r="L29" s="843"/>
    </row>
    <row r="30" spans="1:22" ht="28.5" customHeight="1" x14ac:dyDescent="0.25">
      <c r="A30" s="593" t="s">
        <v>1299</v>
      </c>
      <c r="B30" s="2278"/>
      <c r="C30" s="2278"/>
      <c r="D30" s="2278"/>
      <c r="E30" s="832"/>
      <c r="F30" s="1361" t="s">
        <v>2249</v>
      </c>
      <c r="G30" s="1362" t="s">
        <v>2250</v>
      </c>
      <c r="H30" s="1362" t="s">
        <v>2251</v>
      </c>
      <c r="I30" s="1477" t="s">
        <v>1138</v>
      </c>
      <c r="J30" s="1477" t="s">
        <v>1138</v>
      </c>
      <c r="K30" s="1477" t="s">
        <v>1138</v>
      </c>
      <c r="L30" s="844"/>
      <c r="O30" s="1275" t="str">
        <f ca="1">CONCATENATE(INDEX(MBD_BS_Table,MATCH(OFFSET(O30,-14,-11,1,1),MBD_BS_Index,0),MATCH('Multiple Buildings Details'!$E$22,MBD_BS_Hdr,0))," zones")</f>
        <v>1 zones</v>
      </c>
      <c r="P30" s="1275">
        <f t="array" ref="P30">SUM(IFERROR(VALUE(IF(ISNUMBER(F30:H30),F30:H30,IFERROR(LEFT(F30:H30,IFERROR(FIND("to",F30:H30)-1,"")),""))),""))+SUM(IFERROR(FIND("&gt;100",F30:H30)*100,""))</f>
        <v>151</v>
      </c>
      <c r="V30" s="841"/>
    </row>
    <row r="31" spans="1:22" x14ac:dyDescent="0.25">
      <c r="A31" s="593" t="s">
        <v>1299</v>
      </c>
    </row>
    <row r="32" spans="1:22" s="100" customFormat="1" ht="21" hidden="1" customHeight="1" x14ac:dyDescent="0.3">
      <c r="A32" s="1463" t="s">
        <v>1299</v>
      </c>
      <c r="B32" s="2269" t="s">
        <v>2017</v>
      </c>
      <c r="C32" s="2269"/>
      <c r="D32" s="2269"/>
      <c r="E32" s="2269"/>
      <c r="F32" s="2269"/>
      <c r="G32" s="2269"/>
      <c r="H32" s="2269"/>
      <c r="I32" s="2269"/>
      <c r="J32" s="2269"/>
      <c r="K32" s="2269"/>
      <c r="L32" s="1464"/>
      <c r="M32" s="1465"/>
      <c r="N32" s="1464"/>
      <c r="O32" s="1464"/>
    </row>
    <row r="33" spans="1:23" ht="15" hidden="1" customHeight="1" x14ac:dyDescent="0.25">
      <c r="A33" s="593"/>
      <c r="B33" s="2271"/>
      <c r="C33" s="2272"/>
      <c r="D33" s="2272"/>
      <c r="E33" s="2272"/>
      <c r="F33" s="2272"/>
      <c r="G33" s="2272"/>
      <c r="H33" s="2272"/>
      <c r="I33" s="2272"/>
      <c r="J33" s="2272"/>
      <c r="K33" s="2273"/>
      <c r="L33" s="39"/>
      <c r="M33" s="1314"/>
      <c r="N33" s="39"/>
      <c r="O33" s="1276" t="s">
        <v>18</v>
      </c>
      <c r="P33" s="1277">
        <f>MAX(P15:P32)</f>
        <v>151</v>
      </c>
      <c r="Q33" s="1275" t="b">
        <f>IF(COUNTIF(Q15:Q32,TRUE)&gt;0,TRUE,FALSE)</f>
        <v>0</v>
      </c>
      <c r="V33" s="841"/>
    </row>
    <row r="34" spans="1:23" ht="30.75" hidden="1" customHeight="1" x14ac:dyDescent="0.25">
      <c r="A34" s="593"/>
      <c r="B34" s="2270" t="str">
        <f>IF(IFERROR(FIND("*",B33),FALSE),"* Please ensure that the site plan provided for the Project Information forms clearly indicate the constraints to comply with Table G3.1.5 (a) (baseline) Exception 1","")</f>
        <v/>
      </c>
      <c r="C34" s="2270"/>
      <c r="D34" s="2270"/>
      <c r="E34" s="2270"/>
      <c r="F34" s="2270"/>
      <c r="G34" s="2270"/>
      <c r="H34" s="2270"/>
      <c r="I34" s="2270"/>
      <c r="J34" s="2270"/>
      <c r="K34" s="35"/>
      <c r="L34" s="39"/>
      <c r="M34" s="1314"/>
      <c r="N34" s="39"/>
      <c r="O34" s="39"/>
      <c r="P34" s="39"/>
    </row>
    <row r="35" spans="1:23" ht="9" hidden="1" customHeight="1" x14ac:dyDescent="0.25">
      <c r="A35" s="593"/>
      <c r="B35" s="35"/>
      <c r="C35" s="35"/>
      <c r="D35" s="35"/>
      <c r="E35" s="35"/>
      <c r="F35" s="35"/>
      <c r="G35" s="35"/>
      <c r="H35" s="35"/>
      <c r="I35" s="35"/>
      <c r="J35" s="35"/>
      <c r="K35" s="35"/>
      <c r="L35" s="39"/>
      <c r="M35" s="1314"/>
      <c r="N35" s="39"/>
      <c r="O35" s="39"/>
      <c r="P35" s="39"/>
    </row>
    <row r="36" spans="1:23" ht="25.5" customHeight="1" x14ac:dyDescent="0.25">
      <c r="A36" s="593"/>
      <c r="B36" s="35"/>
      <c r="C36" s="35"/>
      <c r="D36" s="35"/>
      <c r="E36" s="35"/>
      <c r="F36" s="823"/>
      <c r="G36" s="823"/>
      <c r="H36" s="35"/>
      <c r="I36" s="35"/>
      <c r="J36" s="35"/>
      <c r="K36" s="35"/>
      <c r="L36" s="39"/>
      <c r="M36" s="1314"/>
      <c r="N36" s="39"/>
      <c r="O36" s="39"/>
      <c r="P36" s="39"/>
    </row>
    <row r="37" spans="1:23" ht="9" customHeight="1" x14ac:dyDescent="0.25">
      <c r="A37" s="593"/>
      <c r="B37" s="35"/>
      <c r="C37" s="35"/>
      <c r="D37" s="35"/>
      <c r="E37" s="35"/>
      <c r="F37" s="35"/>
      <c r="G37" s="35"/>
      <c r="H37" s="35"/>
      <c r="I37" s="35"/>
      <c r="J37" s="35"/>
      <c r="K37" s="35"/>
      <c r="L37" s="39"/>
      <c r="M37" s="1314"/>
      <c r="N37" s="39"/>
      <c r="O37" s="39"/>
      <c r="P37" s="39"/>
    </row>
    <row r="38" spans="1:23" ht="30" customHeight="1" x14ac:dyDescent="0.25">
      <c r="A38" s="593" t="s">
        <v>1299</v>
      </c>
      <c r="B38" s="26" t="s">
        <v>280</v>
      </c>
      <c r="C38" s="31"/>
      <c r="D38" s="31"/>
      <c r="E38" s="31"/>
      <c r="F38" s="31"/>
      <c r="G38" s="31"/>
      <c r="H38" s="31"/>
      <c r="I38" s="31"/>
      <c r="J38" s="31"/>
      <c r="K38" s="31"/>
    </row>
    <row r="39" spans="1:23" ht="41.25" customHeight="1" x14ac:dyDescent="0.25">
      <c r="A39" s="593" t="s">
        <v>1299</v>
      </c>
      <c r="B39" s="2209" t="s">
        <v>1139</v>
      </c>
      <c r="C39" s="2209"/>
      <c r="D39" s="2209"/>
      <c r="E39" s="2209"/>
      <c r="F39" s="2209"/>
      <c r="G39" s="2209"/>
      <c r="H39" s="2209"/>
      <c r="I39" s="2209"/>
      <c r="J39" s="2209"/>
      <c r="K39" s="2209"/>
      <c r="L39" s="39"/>
      <c r="M39" s="1314"/>
      <c r="N39" s="39"/>
      <c r="O39" s="39"/>
      <c r="P39" s="39"/>
    </row>
    <row r="40" spans="1:23" ht="26.25" customHeight="1" x14ac:dyDescent="0.25">
      <c r="A40" s="593" t="s">
        <v>1299</v>
      </c>
      <c r="B40" s="105" t="s">
        <v>9</v>
      </c>
      <c r="C40" s="31"/>
      <c r="D40" s="31"/>
      <c r="E40" s="31"/>
      <c r="F40" s="31"/>
      <c r="G40" s="31"/>
      <c r="H40" s="31"/>
      <c r="I40" s="31"/>
      <c r="J40" s="31"/>
      <c r="K40" s="46"/>
    </row>
    <row r="41" spans="1:23" ht="26.25" customHeight="1" x14ac:dyDescent="0.25">
      <c r="A41" s="593" t="s">
        <v>1299</v>
      </c>
      <c r="B41" s="2268" t="s">
        <v>305</v>
      </c>
      <c r="C41" s="2261"/>
      <c r="D41" s="2262"/>
      <c r="E41" s="833"/>
      <c r="F41" s="2257" t="s">
        <v>347</v>
      </c>
      <c r="G41" s="2258"/>
      <c r="H41" s="2259"/>
      <c r="I41" s="2268" t="s">
        <v>348</v>
      </c>
      <c r="J41" s="2261"/>
      <c r="K41" s="2261"/>
      <c r="L41" s="2262"/>
      <c r="M41" s="1315"/>
      <c r="N41" s="1315"/>
    </row>
    <row r="42" spans="1:23" ht="55.5" customHeight="1" x14ac:dyDescent="0.25">
      <c r="A42" s="593" t="s">
        <v>1299</v>
      </c>
      <c r="B42" s="278" t="s">
        <v>1358</v>
      </c>
      <c r="C42" s="279" t="s">
        <v>306</v>
      </c>
      <c r="D42" s="1479" t="s">
        <v>22</v>
      </c>
      <c r="E42" s="834"/>
      <c r="F42" s="278" t="s">
        <v>3</v>
      </c>
      <c r="G42" s="279" t="s">
        <v>1990</v>
      </c>
      <c r="H42" s="1479" t="s">
        <v>11</v>
      </c>
      <c r="I42" s="278" t="s">
        <v>3</v>
      </c>
      <c r="J42" s="279" t="s">
        <v>307</v>
      </c>
      <c r="K42" s="279" t="s">
        <v>11</v>
      </c>
      <c r="L42" s="1479" t="s">
        <v>12</v>
      </c>
      <c r="M42" s="583"/>
      <c r="N42" s="583"/>
    </row>
    <row r="43" spans="1:23" ht="122.25" customHeight="1" x14ac:dyDescent="0.25">
      <c r="A43" s="593" t="s">
        <v>1299</v>
      </c>
      <c r="B43" s="2227" t="s">
        <v>1703</v>
      </c>
      <c r="C43" s="2228"/>
      <c r="D43" s="2229"/>
      <c r="E43" s="963"/>
      <c r="F43" s="2230" t="s">
        <v>1719</v>
      </c>
      <c r="G43" s="2265"/>
      <c r="H43" s="2266"/>
      <c r="I43" s="2230" t="s">
        <v>1720</v>
      </c>
      <c r="J43" s="2267"/>
      <c r="K43" s="2267"/>
      <c r="L43" s="2231"/>
      <c r="M43" s="583"/>
      <c r="N43" s="583"/>
    </row>
    <row r="44" spans="1:23" ht="30.6" hidden="1" x14ac:dyDescent="0.25">
      <c r="A44" s="593" t="s">
        <v>1299</v>
      </c>
      <c r="B44" s="1457" t="str">
        <f>B42</f>
        <v>Building ID</v>
      </c>
      <c r="C44" s="1457" t="str">
        <f>C42</f>
        <v>New or 
Existing Construction</v>
      </c>
      <c r="D44" s="1457" t="str">
        <f>D42</f>
        <v>Space-Conditioning Category</v>
      </c>
      <c r="E44" s="963"/>
      <c r="F44" s="1457" t="str">
        <f t="shared" ref="F44:L44" si="2">F42</f>
        <v>Description</v>
      </c>
      <c r="G44" s="1457" t="s">
        <v>1997</v>
      </c>
      <c r="H44" s="1457" t="s">
        <v>1996</v>
      </c>
      <c r="I44" s="1457" t="str">
        <f t="shared" si="2"/>
        <v>Description</v>
      </c>
      <c r="J44" s="1457" t="str">
        <f t="shared" si="2"/>
        <v>Assembly 
U-factor</v>
      </c>
      <c r="K44" s="1457" t="str">
        <f t="shared" si="2"/>
        <v>SHGC</v>
      </c>
      <c r="L44" s="1457" t="str">
        <f t="shared" si="2"/>
        <v>VLT</v>
      </c>
      <c r="M44" s="583"/>
      <c r="N44" s="583"/>
      <c r="R44" s="1355" t="s">
        <v>1987</v>
      </c>
      <c r="S44" s="1355" t="s">
        <v>1995</v>
      </c>
    </row>
    <row r="45" spans="1:23" ht="33.75" hidden="1" customHeight="1" x14ac:dyDescent="0.3">
      <c r="A45" s="590" t="s">
        <v>915</v>
      </c>
      <c r="B45" s="319" t="str">
        <f>GI_Project_Name</f>
        <v>Saudi Aramco Corporate Academy - Dhahran</v>
      </c>
      <c r="C45" s="501"/>
      <c r="D45" s="504"/>
      <c r="E45" s="410"/>
      <c r="F45" s="1976"/>
      <c r="G45" s="1979" t="str">
        <f>IF($C45="Existing","Provide U-Factor",IF($P45&lt;&gt;0,$P45,""))</f>
        <v/>
      </c>
      <c r="H45" s="1977" t="str">
        <f>IF($C45="Existing", "Provide SHGC",IF($Q45&lt;&gt;0,$Q45,""))</f>
        <v/>
      </c>
      <c r="I45" s="319"/>
      <c r="J45" s="413"/>
      <c r="K45" s="413"/>
      <c r="L45" s="320"/>
      <c r="M45" s="1316"/>
      <c r="N45" s="1316"/>
      <c r="O45" s="341"/>
      <c r="P45" s="335">
        <f>IFERROR(IF(AND(C45="New",D45&lt;&gt;"Semiheated"),INDEX('Envelope Assumptions'!$AT$2:$AW$38,MATCH('General Information'!$J$12,'Envelope Assumptions'!$A$2:$A$38,0),MATCH(F45,'Envelope Assumptions'!$AT$2:$AW$2,0)),0),"")</f>
        <v>0</v>
      </c>
      <c r="Q45" s="1351">
        <f>IFERROR(IF(AND(OR('General Information'!$C$48="3B",'General Information'!$C$48="3C"),$C45="New",$D45="Residential"),0,IF(AND($C45="New",$D45&lt;&gt;"Semiheated"),INDEX('Envelope Assumptions'!$AX$2:$AX$38,MATCH('General Information'!$J$12,'Envelope Assumptions'!$A$2:$A$38,0)),0)),"")</f>
        <v>0</v>
      </c>
      <c r="R45" s="1356" t="str">
        <f>IF($C45="Existing","Provide U-Factor",IF($P45&lt;&gt;0,$P45,""))</f>
        <v/>
      </c>
      <c r="S45" s="1356" t="str">
        <f>IF($C45="Existing", "Provide SHGC",IF($Q45&lt;&gt;0,$Q45,""))</f>
        <v/>
      </c>
      <c r="V45" s="1893"/>
    </row>
    <row r="46" spans="1:23" ht="33.75" customHeight="1" x14ac:dyDescent="0.3">
      <c r="A46" s="590"/>
      <c r="B46" s="319" t="str">
        <f>GI_Project_Name</f>
        <v>Saudi Aramco Corporate Academy - Dhahran</v>
      </c>
      <c r="C46" s="501" t="s">
        <v>434</v>
      </c>
      <c r="D46" s="504" t="s">
        <v>24</v>
      </c>
      <c r="E46" s="410"/>
      <c r="F46" s="721" t="s">
        <v>33</v>
      </c>
      <c r="G46" s="1980">
        <f t="shared" ref="G46" si="3">IF($C46="Existing","Provide U-Factor",IF($P46&lt;&gt;0,$P46,""))</f>
        <v>6.81</v>
      </c>
      <c r="H46" s="1981">
        <f t="shared" ref="H46" si="4">IF($C46="Existing", "Provide SHGC",IF($Q46&lt;&gt;0,$Q46,""))</f>
        <v>0.25</v>
      </c>
      <c r="I46" s="721" t="s">
        <v>2252</v>
      </c>
      <c r="J46" s="722">
        <v>1.6</v>
      </c>
      <c r="K46" s="722">
        <v>0.25</v>
      </c>
      <c r="L46" s="723">
        <v>0.5</v>
      </c>
      <c r="M46" s="1316"/>
      <c r="N46" s="1316"/>
      <c r="O46" s="341"/>
      <c r="P46" s="413">
        <f>IFERROR(IF(AND(C46="New",D46&lt;&gt;"Semiheated"),INDEX('Envelope Assumptions'!$AT$2:$AW$38,MATCH('General Information'!$J$12,'Envelope Assumptions'!$A$2:$A$38,0),MATCH(F46,'Envelope Assumptions'!$AT$2:$AW$2,0)),0),"")</f>
        <v>6.81</v>
      </c>
      <c r="Q46" s="413">
        <f>IFERROR(IF(AND(OR('General Information'!$C$48="3B",'General Information'!$C$48="3C"),$C46="New",$D46="Residential"),0,IF(AND($C46="New",$D46&lt;&gt;"Semiheated"),INDEX('Envelope Assumptions'!$AX$2:$AX$38,MATCH('General Information'!$J$12,'Envelope Assumptions'!$A$2:$A$38,0)),0)),"")</f>
        <v>0.25</v>
      </c>
      <c r="R46" s="1356">
        <f t="shared" ref="R46" si="5">IF($C46="Existing","Provide U-Factor",IF($P46&lt;&gt;0,$P46,""))</f>
        <v>6.81</v>
      </c>
      <c r="S46" s="1356">
        <f t="shared" ref="S46" si="6">IF($C46="Existing", "Provide SHGC",IF($Q46&lt;&gt;0,$Q46,""))</f>
        <v>0.25</v>
      </c>
      <c r="V46" s="841"/>
    </row>
    <row r="47" spans="1:23" s="352" customFormat="1" ht="39.75" customHeight="1" x14ac:dyDescent="0.25">
      <c r="A47" s="593" t="s">
        <v>1299</v>
      </c>
      <c r="M47" s="848"/>
      <c r="S47" s="306"/>
      <c r="T47" s="306"/>
      <c r="U47" s="306"/>
      <c r="V47" s="306"/>
      <c r="W47" s="306"/>
    </row>
    <row r="48" spans="1:23" s="352" customFormat="1" ht="20.25" customHeight="1" x14ac:dyDescent="0.25">
      <c r="A48" s="593" t="s">
        <v>1299</v>
      </c>
      <c r="M48" s="848"/>
      <c r="S48" s="28"/>
      <c r="T48" s="28"/>
      <c r="U48" s="28"/>
      <c r="V48" s="28"/>
      <c r="W48" s="28"/>
    </row>
    <row r="49" spans="1:26" ht="26.25" customHeight="1" x14ac:dyDescent="0.25">
      <c r="A49" s="593" t="s">
        <v>1299</v>
      </c>
      <c r="B49" s="107" t="s">
        <v>10</v>
      </c>
      <c r="C49" s="46"/>
      <c r="D49" s="46"/>
      <c r="E49" s="46"/>
      <c r="F49" s="46"/>
      <c r="G49" s="46"/>
      <c r="H49" s="46"/>
      <c r="I49" s="46"/>
      <c r="J49" s="46"/>
      <c r="K49" s="46"/>
    </row>
    <row r="50" spans="1:26" ht="26.25" customHeight="1" x14ac:dyDescent="0.25">
      <c r="A50" s="593" t="s">
        <v>1299</v>
      </c>
      <c r="B50" s="2268" t="s">
        <v>305</v>
      </c>
      <c r="C50" s="2261"/>
      <c r="D50" s="2262"/>
      <c r="E50" s="98"/>
      <c r="F50" s="2257" t="s">
        <v>347</v>
      </c>
      <c r="G50" s="2258"/>
      <c r="H50" s="2259"/>
      <c r="I50" s="2260" t="s">
        <v>348</v>
      </c>
      <c r="J50" s="2261"/>
      <c r="K50" s="2261"/>
      <c r="L50" s="2262"/>
      <c r="M50" s="1315"/>
    </row>
    <row r="51" spans="1:26" ht="55.5" customHeight="1" x14ac:dyDescent="0.25">
      <c r="A51" s="593" t="s">
        <v>1299</v>
      </c>
      <c r="B51" s="278" t="s">
        <v>1358</v>
      </c>
      <c r="C51" s="279" t="s">
        <v>306</v>
      </c>
      <c r="D51" s="1479" t="s">
        <v>22</v>
      </c>
      <c r="E51" s="99"/>
      <c r="F51" s="278" t="s">
        <v>3</v>
      </c>
      <c r="G51" s="279" t="s">
        <v>307</v>
      </c>
      <c r="H51" s="1479" t="s">
        <v>11</v>
      </c>
      <c r="I51" s="1478" t="s">
        <v>3</v>
      </c>
      <c r="J51" s="279" t="s">
        <v>307</v>
      </c>
      <c r="K51" s="279" t="s">
        <v>11</v>
      </c>
      <c r="L51" s="1479" t="s">
        <v>12</v>
      </c>
      <c r="M51" s="583"/>
    </row>
    <row r="52" spans="1:26" ht="123" customHeight="1" x14ac:dyDescent="0.25">
      <c r="A52" s="593" t="s">
        <v>1299</v>
      </c>
      <c r="B52" s="2227" t="s">
        <v>1703</v>
      </c>
      <c r="C52" s="2228"/>
      <c r="D52" s="2229"/>
      <c r="E52" s="963"/>
      <c r="F52" s="2230" t="s">
        <v>1721</v>
      </c>
      <c r="G52" s="2265"/>
      <c r="H52" s="2266"/>
      <c r="I52" s="2230" t="s">
        <v>1722</v>
      </c>
      <c r="J52" s="2267"/>
      <c r="K52" s="2267"/>
      <c r="L52" s="2231"/>
      <c r="M52" s="583"/>
    </row>
    <row r="53" spans="1:26" ht="30.6" hidden="1" x14ac:dyDescent="0.25">
      <c r="A53" s="593" t="s">
        <v>1299</v>
      </c>
      <c r="B53" s="1457" t="str">
        <f>B51</f>
        <v>Building ID</v>
      </c>
      <c r="C53" s="1457" t="str">
        <f>C51</f>
        <v>New or 
Existing Construction</v>
      </c>
      <c r="D53" s="1457" t="str">
        <f>D51</f>
        <v>Space-Conditioning Category</v>
      </c>
      <c r="E53" s="1211"/>
      <c r="F53" s="1457" t="s">
        <v>1988</v>
      </c>
      <c r="G53" s="1457" t="s">
        <v>1997</v>
      </c>
      <c r="H53" s="1457" t="s">
        <v>1996</v>
      </c>
      <c r="I53" s="1457" t="s">
        <v>1989</v>
      </c>
      <c r="J53" s="1457" t="str">
        <f t="shared" ref="J53:L53" si="7">J51</f>
        <v>Assembly 
U-factor</v>
      </c>
      <c r="K53" s="1457" t="str">
        <f t="shared" si="7"/>
        <v>SHGC</v>
      </c>
      <c r="L53" s="1457" t="str">
        <f t="shared" si="7"/>
        <v>VLT</v>
      </c>
      <c r="M53" s="583"/>
      <c r="R53" s="1355" t="s">
        <v>1987</v>
      </c>
      <c r="S53" s="1355" t="s">
        <v>1995</v>
      </c>
    </row>
    <row r="54" spans="1:26" ht="33.75" hidden="1" customHeight="1" x14ac:dyDescent="0.3">
      <c r="A54" s="590" t="s">
        <v>917</v>
      </c>
      <c r="B54" s="1480" t="str">
        <f>GI_Project_Name</f>
        <v>Saudi Aramco Corporate Academy - Dhahran</v>
      </c>
      <c r="C54" s="1481"/>
      <c r="D54" s="1481"/>
      <c r="E54" s="1482"/>
      <c r="F54" s="1982"/>
      <c r="G54" s="1983" t="str">
        <f>IF($C54="Existing","Provide U-Factor",IF($P54&lt;&gt;0,$P54,""))</f>
        <v/>
      </c>
      <c r="H54" s="1983" t="str">
        <f>IF($C54="Existing", "Provide SHGC",IF($Q54&lt;&gt;0,$Q54,""))</f>
        <v/>
      </c>
      <c r="I54" s="1483"/>
      <c r="J54" s="1484"/>
      <c r="K54" s="1484"/>
      <c r="L54" s="1485"/>
      <c r="M54" s="1316"/>
      <c r="N54" s="341"/>
      <c r="O54" s="341"/>
      <c r="P54" s="335">
        <f>IFERROR(IF(AND(C54="New",D54&lt;&gt;"Semiheated"),INDEX('Envelope Assumptions'!$AY$2:$BD$38,MATCH('General Information'!$J$12,'Envelope Assumptions'!$A$2:$A$38,0),MATCH(F54,'Envelope Assumptions'!$AY$2:$BD$2,0)),0),"")</f>
        <v>0</v>
      </c>
      <c r="Q54" s="1351">
        <f>IFERROR(IF(AND(C54="New",D54="Nonresidential"),INDEX('Envelope Assumptions'!$BE$2:$BJ$38,MATCH('General Information'!$J$12,'Envelope Assumptions'!$A$2:$A$38,0),MATCH(F54,'Envelope Assumptions'!$BE$2:$BJ$2,0)),0),"")</f>
        <v>0</v>
      </c>
      <c r="R54" s="1356" t="str">
        <f>IF($C54="Existing","Provide U-Factor",IF($P54&lt;&gt;0,$P54,""))</f>
        <v/>
      </c>
      <c r="S54" s="1356" t="str">
        <f>IF($C54="Existing", "Provide SHGC",IF($Q54&lt;&gt;0,$Q54,""))</f>
        <v/>
      </c>
      <c r="V54" s="841"/>
    </row>
    <row r="55" spans="1:26" s="352" customFormat="1" ht="41.25" customHeight="1" x14ac:dyDescent="0.25">
      <c r="A55" s="593" t="s">
        <v>1299</v>
      </c>
      <c r="M55" s="848"/>
      <c r="S55" s="306"/>
      <c r="T55" s="306"/>
      <c r="U55" s="306"/>
      <c r="V55" s="306"/>
      <c r="W55" s="306"/>
    </row>
    <row r="56" spans="1:26" s="352" customFormat="1" ht="20.25" customHeight="1" x14ac:dyDescent="0.25">
      <c r="A56" s="593" t="s">
        <v>1299</v>
      </c>
      <c r="M56" s="848"/>
      <c r="S56" s="306"/>
      <c r="T56" s="306"/>
      <c r="U56" s="306"/>
      <c r="V56" s="306"/>
      <c r="W56" s="306"/>
    </row>
    <row r="57" spans="1:26" ht="21" customHeight="1" x14ac:dyDescent="0.25">
      <c r="A57" s="593" t="s">
        <v>1299</v>
      </c>
      <c r="B57" s="2255" t="s">
        <v>1136</v>
      </c>
      <c r="C57" s="2256"/>
      <c r="D57" s="2256"/>
      <c r="E57" s="2256"/>
      <c r="F57" s="2256"/>
      <c r="G57" s="2256"/>
      <c r="H57" s="2263" t="s">
        <v>31</v>
      </c>
      <c r="I57" s="2263"/>
      <c r="J57" s="2263"/>
      <c r="K57" s="2263"/>
      <c r="L57" s="2264"/>
      <c r="V57" s="1893"/>
    </row>
    <row r="58" spans="1:26" customFormat="1" ht="20.25" customHeight="1" x14ac:dyDescent="0.3">
      <c r="A58" s="593" t="s">
        <v>1299</v>
      </c>
      <c r="M58" s="759"/>
    </row>
    <row r="59" spans="1:26" ht="20.25" customHeight="1" x14ac:dyDescent="0.25">
      <c r="A59" s="593" t="s">
        <v>1299</v>
      </c>
      <c r="B59" s="84"/>
      <c r="C59" s="84"/>
      <c r="D59" s="84"/>
      <c r="E59" s="84"/>
      <c r="F59" s="84"/>
      <c r="G59" s="84"/>
      <c r="H59" s="84"/>
      <c r="I59" s="84"/>
      <c r="J59" s="84"/>
      <c r="K59" s="84"/>
    </row>
    <row r="60" spans="1:26" ht="20.25" customHeight="1" x14ac:dyDescent="0.25">
      <c r="A60" s="593" t="s">
        <v>1299</v>
      </c>
      <c r="B60" s="353" t="s">
        <v>23</v>
      </c>
      <c r="C60" s="353"/>
      <c r="D60" s="353"/>
      <c r="E60" s="353"/>
      <c r="F60" s="353"/>
      <c r="G60" s="353"/>
      <c r="H60" s="353"/>
      <c r="I60" s="353"/>
      <c r="J60" s="353"/>
      <c r="K60" s="353"/>
    </row>
    <row r="61" spans="1:26" ht="21" customHeight="1" x14ac:dyDescent="0.25">
      <c r="A61" s="593" t="s">
        <v>1299</v>
      </c>
      <c r="B61" s="2275"/>
      <c r="C61" s="2276"/>
      <c r="D61" s="2276"/>
      <c r="E61" s="2276"/>
      <c r="F61" s="2276"/>
      <c r="G61" s="2276"/>
      <c r="H61" s="2276"/>
      <c r="I61" s="2276"/>
      <c r="J61" s="2276"/>
      <c r="K61" s="2276"/>
      <c r="L61" s="2277"/>
    </row>
    <row r="62" spans="1:26" x14ac:dyDescent="0.3">
      <c r="B62" s="306"/>
    </row>
    <row r="63" spans="1:26" hidden="1" x14ac:dyDescent="0.3"/>
    <row r="64" spans="1:26" s="351" customFormat="1" hidden="1" x14ac:dyDescent="0.3">
      <c r="A64" s="306"/>
      <c r="E64" s="306"/>
      <c r="H64" s="354" t="s">
        <v>28</v>
      </c>
      <c r="L64" s="306"/>
      <c r="M64" s="839"/>
      <c r="N64" s="306"/>
      <c r="O64" s="306"/>
      <c r="P64" s="306"/>
      <c r="Q64" s="306"/>
      <c r="R64" s="306"/>
      <c r="S64" s="306"/>
      <c r="T64" s="306"/>
      <c r="U64" s="306"/>
      <c r="V64" s="306"/>
      <c r="W64" s="306"/>
      <c r="X64" s="306"/>
      <c r="Y64" s="306"/>
      <c r="Z64" s="306"/>
    </row>
    <row r="65" spans="2:13" s="351" customFormat="1" hidden="1" x14ac:dyDescent="0.3">
      <c r="E65" s="306"/>
      <c r="H65" s="354" t="s">
        <v>31</v>
      </c>
      <c r="M65" s="846"/>
    </row>
    <row r="66" spans="2:13" s="351" customFormat="1" hidden="1" x14ac:dyDescent="0.3">
      <c r="E66" s="306"/>
      <c r="H66" s="354" t="s">
        <v>29</v>
      </c>
      <c r="M66" s="846"/>
    </row>
    <row r="67" spans="2:13" s="351" customFormat="1" hidden="1" x14ac:dyDescent="0.3">
      <c r="E67" s="306"/>
      <c r="H67" s="354" t="s">
        <v>30</v>
      </c>
      <c r="M67" s="846"/>
    </row>
    <row r="68" spans="2:13" s="351" customFormat="1" hidden="1" x14ac:dyDescent="0.3">
      <c r="E68" s="306"/>
      <c r="H68" s="354" t="s">
        <v>32</v>
      </c>
      <c r="M68" s="846"/>
    </row>
    <row r="69" spans="2:13" s="351" customFormat="1" hidden="1" x14ac:dyDescent="0.3">
      <c r="E69" s="306"/>
      <c r="H69" s="354" t="s">
        <v>151</v>
      </c>
      <c r="M69" s="846"/>
    </row>
    <row r="70" spans="2:13" s="351" customFormat="1" hidden="1" x14ac:dyDescent="0.3">
      <c r="B70" s="354"/>
      <c r="E70" s="306"/>
      <c r="H70" s="306"/>
      <c r="M70" s="846"/>
    </row>
  </sheetData>
  <sheetProtection algorithmName="SHA-512" hashValue="hSR6LvfCdFjvIluOrCqgenJcJPhmFKrbitspTCAeaZP5ir78KvxTlQS1u2FISV55NsWGNSIXYCDq0dHh2JtcXg==" saltValue="meyIG81K7jAnhGiZ0AH3RQ==" spinCount="100000" sheet="1" objects="1" scenarios="1"/>
  <dataConsolidate/>
  <customSheetViews>
    <customSheetView guid="{75D6F8CE-A4F4-4FDD-BA92-7996F9E19FA9}" scale="90" showGridLines="0" hiddenRows="1">
      <selection activeCell="O14" sqref="O14"/>
      <pageMargins left="0.25" right="0.25" top="0.75" bottom="0.75" header="0.3" footer="0.3"/>
      <pageSetup scale="75" fitToWidth="0" fitToHeight="0" orientation="portrait" verticalDpi="1200" r:id="rId1"/>
    </customSheetView>
  </customSheetViews>
  <mergeCells count="46">
    <mergeCell ref="B10:K10"/>
    <mergeCell ref="B61:L61"/>
    <mergeCell ref="B29:D30"/>
    <mergeCell ref="B6:J6"/>
    <mergeCell ref="F17:H17"/>
    <mergeCell ref="I17:K17"/>
    <mergeCell ref="B16:C16"/>
    <mergeCell ref="B17:D17"/>
    <mergeCell ref="B7:K7"/>
    <mergeCell ref="B8:K8"/>
    <mergeCell ref="B9:K9"/>
    <mergeCell ref="B13:L13"/>
    <mergeCell ref="B14:L14"/>
    <mergeCell ref="B11:K11"/>
    <mergeCell ref="J26:K26"/>
    <mergeCell ref="D19:D20"/>
    <mergeCell ref="B43:D43"/>
    <mergeCell ref="F43:H43"/>
    <mergeCell ref="I43:L43"/>
    <mergeCell ref="B32:K32"/>
    <mergeCell ref="B34:J34"/>
    <mergeCell ref="B41:D41"/>
    <mergeCell ref="F41:H41"/>
    <mergeCell ref="I41:L41"/>
    <mergeCell ref="B39:K39"/>
    <mergeCell ref="B33:K33"/>
    <mergeCell ref="B57:G57"/>
    <mergeCell ref="F50:H50"/>
    <mergeCell ref="I50:L50"/>
    <mergeCell ref="H57:L57"/>
    <mergeCell ref="B52:D52"/>
    <mergeCell ref="F52:H52"/>
    <mergeCell ref="I52:L52"/>
    <mergeCell ref="B50:D50"/>
    <mergeCell ref="B26:D28"/>
    <mergeCell ref="F26:F27"/>
    <mergeCell ref="G26:H26"/>
    <mergeCell ref="I26:I27"/>
    <mergeCell ref="B18:D18"/>
    <mergeCell ref="F18:H18"/>
    <mergeCell ref="I18:K18"/>
    <mergeCell ref="G19:H19"/>
    <mergeCell ref="I19:I20"/>
    <mergeCell ref="J19:K19"/>
    <mergeCell ref="B19:C25"/>
    <mergeCell ref="F19:F20"/>
  </mergeCells>
  <conditionalFormatting sqref="G45:H46">
    <cfRule type="expression" dxfId="102" priority="331" stopIfTrue="1">
      <formula>$C45&lt;&gt;"Existing"</formula>
    </cfRule>
  </conditionalFormatting>
  <conditionalFormatting sqref="G54:H54">
    <cfRule type="expression" dxfId="101" priority="3">
      <formula>$C54&lt;&gt;"Existing"</formula>
    </cfRule>
  </conditionalFormatting>
  <conditionalFormatting sqref="F45:F46 F54">
    <cfRule type="expression" dxfId="100" priority="2">
      <formula>IF($C45&lt;&gt;"New",TRUE,FALSE)</formula>
    </cfRule>
  </conditionalFormatting>
  <dataValidations count="11">
    <dataValidation allowBlank="1" showErrorMessage="1" sqref="J21:J24 G21:G24 B55:O56 B47:O48" xr:uid="{00000000-0002-0000-0800-000000000000}"/>
    <dataValidation type="list" allowBlank="1" showInputMessage="1" sqref="H57" xr:uid="{00000000-0002-0000-0800-000001000000}">
      <formula1>UfactorMethod</formula1>
    </dataValidation>
    <dataValidation type="list" errorStyle="warning" allowBlank="1" showErrorMessage="1" errorTitle="Invalid Entry" error="Please select Nonresidential, Residential, Semiheated, or Unconditioned" sqref="D54 D45:D46" xr:uid="{00000000-0002-0000-0800-000002000000}">
      <formula1>"Nonresidential,Residential,Semiheated,Unconditioned"</formula1>
    </dataValidation>
    <dataValidation type="list" allowBlank="1" showInputMessage="1" showErrorMessage="1" sqref="C54 C45:C46" xr:uid="{00000000-0002-0000-0800-000003000000}">
      <formula1>"New,Existing"</formula1>
    </dataValidation>
    <dataValidation type="list" allowBlank="1" showInputMessage="1" showErrorMessage="1" sqref="B33" xr:uid="{00000000-0002-0000-0800-000004000000}">
      <formula1>BaselineOrientationExemptions</formula1>
    </dataValidation>
    <dataValidation type="list" allowBlank="1" showInputMessage="1" showErrorMessage="1" sqref="F54" xr:uid="{00000000-0002-0000-0800-000005000000}">
      <formula1>IF($C54="New",SkyLightDescs,"")</formula1>
    </dataValidation>
    <dataValidation type="list" allowBlank="1" showInputMessage="1" showErrorMessage="1" sqref="M12 L7:L9 L11" xr:uid="{00000000-0002-0000-0800-000006000000}">
      <formula1>"Yes,No"</formula1>
    </dataValidation>
    <dataValidation type="list" allowBlank="1" showInputMessage="1" showErrorMessage="1" sqref="B54 B45:B46" xr:uid="{00000000-0002-0000-0800-000007000000}">
      <formula1>BuildingIDLookup</formula1>
    </dataValidation>
    <dataValidation type="list" allowBlank="1" sqref="F30:K30" xr:uid="{00000000-0002-0000-0800-000008000000}">
      <formula1>"1 to 5,6 to 10,11 to 15,16 to 25,25 to 50,50 to 100,&gt;100"</formula1>
    </dataValidation>
    <dataValidation type="list" allowBlank="1" showInputMessage="1" showErrorMessage="1" sqref="L10" xr:uid="{00000000-0002-0000-0800-00000A000000}">
      <formula1>"Yes,No,N/A"</formula1>
    </dataValidation>
    <dataValidation type="list" allowBlank="1" sqref="F45:F46" xr:uid="{00000000-0002-0000-0800-000009000000}">
      <formula1>IF($C45="New",VertGlazeDescs,"")</formula1>
    </dataValidation>
  </dataValidations>
  <pageMargins left="0.25" right="0.25" top="0.75" bottom="0.75" header="0.3" footer="0.3"/>
  <pageSetup scale="75" fitToWidth="0" fitToHeight="0"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5319" r:id="rId5" name="Button 23">
              <controlPr defaultSize="0" print="0" autoFill="0" autoPict="0" macro="[0]!addA">
                <anchor moveWithCells="1">
                  <from>
                    <xdr:col>1</xdr:col>
                    <xdr:colOff>0</xdr:colOff>
                    <xdr:row>46</xdr:row>
                    <xdr:rowOff>175260</xdr:rowOff>
                  </from>
                  <to>
                    <xdr:col>2</xdr:col>
                    <xdr:colOff>411480</xdr:colOff>
                    <xdr:row>46</xdr:row>
                    <xdr:rowOff>441960</xdr:rowOff>
                  </to>
                </anchor>
              </controlPr>
            </control>
          </mc:Choice>
        </mc:AlternateContent>
        <mc:AlternateContent xmlns:mc="http://schemas.openxmlformats.org/markup-compatibility/2006">
          <mc:Choice Requires="x14">
            <control shapeId="55320" r:id="rId6" name="Button 24">
              <controlPr defaultSize="0" print="0" autoFill="0" autoPict="0" macro="[0]!addB">
                <anchor moveWithCells="1">
                  <from>
                    <xdr:col>1</xdr:col>
                    <xdr:colOff>0</xdr:colOff>
                    <xdr:row>54</xdr:row>
                    <xdr:rowOff>152400</xdr:rowOff>
                  </from>
                  <to>
                    <xdr:col>2</xdr:col>
                    <xdr:colOff>403860</xdr:colOff>
                    <xdr:row>54</xdr:row>
                    <xdr:rowOff>441960</xdr:rowOff>
                  </to>
                </anchor>
              </controlPr>
            </control>
          </mc:Choice>
        </mc:AlternateContent>
        <mc:AlternateContent xmlns:mc="http://schemas.openxmlformats.org/markup-compatibility/2006">
          <mc:Choice Requires="x14">
            <control shapeId="55339" r:id="rId7" name="Button 43">
              <controlPr defaultSize="0" print="0" autoFill="0" autoPict="0" macro="[0]!DeleteSome">
                <anchor moveWithCells="1">
                  <from>
                    <xdr:col>2</xdr:col>
                    <xdr:colOff>464820</xdr:colOff>
                    <xdr:row>46</xdr:row>
                    <xdr:rowOff>160020</xdr:rowOff>
                  </from>
                  <to>
                    <xdr:col>4</xdr:col>
                    <xdr:colOff>0</xdr:colOff>
                    <xdr:row>46</xdr:row>
                    <xdr:rowOff>426720</xdr:rowOff>
                  </to>
                </anchor>
              </controlPr>
            </control>
          </mc:Choice>
        </mc:AlternateContent>
        <mc:AlternateContent xmlns:mc="http://schemas.openxmlformats.org/markup-compatibility/2006">
          <mc:Choice Requires="x14">
            <control shapeId="55340" r:id="rId8" name="Button 44">
              <controlPr defaultSize="0" print="0" autoFill="0" autoPict="0" macro="[0]!DeleteSome">
                <anchor moveWithCells="1">
                  <from>
                    <xdr:col>2</xdr:col>
                    <xdr:colOff>480060</xdr:colOff>
                    <xdr:row>54</xdr:row>
                    <xdr:rowOff>152400</xdr:rowOff>
                  </from>
                  <to>
                    <xdr:col>4</xdr:col>
                    <xdr:colOff>0</xdr:colOff>
                    <xdr:row>54</xdr:row>
                    <xdr:rowOff>419100</xdr:rowOff>
                  </to>
                </anchor>
              </controlPr>
            </control>
          </mc:Choice>
        </mc:AlternateContent>
        <mc:AlternateContent xmlns:mc="http://schemas.openxmlformats.org/markup-compatibility/2006">
          <mc:Choice Requires="x14">
            <control shapeId="55342" r:id="rId9" name="Button 46">
              <controlPr defaultSize="0" print="0" autoFill="0" autoPict="0" macro="[0]!Copy_Default_SF_VG_Table">
                <anchor moveWithCells="1">
                  <from>
                    <xdr:col>10</xdr:col>
                    <xdr:colOff>236220</xdr:colOff>
                    <xdr:row>46</xdr:row>
                    <xdr:rowOff>160020</xdr:rowOff>
                  </from>
                  <to>
                    <xdr:col>12</xdr:col>
                    <xdr:colOff>7620</xdr:colOff>
                    <xdr:row>46</xdr:row>
                    <xdr:rowOff>426720</xdr:rowOff>
                  </to>
                </anchor>
              </controlPr>
            </control>
          </mc:Choice>
        </mc:AlternateContent>
        <mc:AlternateContent xmlns:mc="http://schemas.openxmlformats.org/markup-compatibility/2006">
          <mc:Choice Requires="x14">
            <control shapeId="55343" r:id="rId10" name="Button 47">
              <controlPr defaultSize="0" print="0" autoFill="0" autoPict="0" macro="[0]!Copy_Default_SF_S_Table">
                <anchor moveWithCells="1">
                  <from>
                    <xdr:col>10</xdr:col>
                    <xdr:colOff>251460</xdr:colOff>
                    <xdr:row>54</xdr:row>
                    <xdr:rowOff>152400</xdr:rowOff>
                  </from>
                  <to>
                    <xdr:col>12</xdr:col>
                    <xdr:colOff>7620</xdr:colOff>
                    <xdr:row>54</xdr:row>
                    <xdr:rowOff>419100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xr:uid="{00000000-0002-0000-0800-00000C000000}">
          <x14:formula1>
            <xm:f>'Envelope Assumptions'!$AY$2:$BJ$2</xm:f>
          </x14:formula1>
          <xm:sqref>F54</xm:sqref>
        </x14:dataValidation>
        <x14:dataValidation type="list" errorStyle="warning" allowBlank="1" showErrorMessage="1" errorTitle="Invalid Entry" error="Please select Nonresidential, Residential, Semiheated, or Unconditioned" xr:uid="{00000000-0002-0000-0800-00000D000000}">
          <x14:formula1>
            <xm:f>Instructions!$I$37:$I$40</xm:f>
          </x14:formula1>
          <xm:sqref>D45:D46</xm:sqref>
        </x14:dataValidation>
        <x14:dataValidation type="list" allowBlank="1" xr:uid="{00000000-0002-0000-0800-00000E000000}">
          <x14:formula1>
            <xm:f>'Envelope Assumptions'!$AT$2:$AW$2</xm:f>
          </x14:formula1>
          <xm:sqref>F45:F46</xm:sqref>
        </x14:dataValidation>
        <x14:dataValidation type="list" allowBlank="1" showInputMessage="1" showErrorMessage="1" xr:uid="{00000000-0002-0000-0800-00000F000000}">
          <x14:formula1>
            <xm:f>Instructions!$I$33:$I$34</xm:f>
          </x14:formula1>
          <xm:sqref>C45:C46</xm:sqref>
        </x14:dataValidation>
      </x14:dataValidations>
    </ex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C00000"/>
  </sheetPr>
  <dimension ref="A1:BJ38"/>
  <sheetViews>
    <sheetView showGridLines="0" zoomScale="80" zoomScaleNormal="80" zoomScalePageLayoutView="80" workbookViewId="0">
      <pane xSplit="1" ySplit="2" topLeftCell="AN3" activePane="bottomRight" state="frozen"/>
      <selection activeCell="K10" sqref="K10"/>
      <selection pane="topRight" activeCell="K10" sqref="K10"/>
      <selection pane="bottomLeft" activeCell="K10" sqref="K10"/>
      <selection pane="bottomRight" activeCell="BE2" sqref="BE2:BJ2"/>
    </sheetView>
  </sheetViews>
  <sheetFormatPr defaultColWidth="8.6640625" defaultRowHeight="13.2" x14ac:dyDescent="0.3"/>
  <cols>
    <col min="1" max="1" width="10.6640625" style="74" customWidth="1"/>
    <col min="2" max="22" width="18.6640625" style="100" customWidth="1"/>
    <col min="23" max="23" width="4.6640625" style="100" customWidth="1"/>
    <col min="24" max="44" width="10.6640625" style="100" customWidth="1"/>
    <col min="45" max="45" width="4.6640625" style="100" customWidth="1"/>
    <col min="46" max="62" width="10.6640625" style="100" customWidth="1"/>
    <col min="63" max="16384" width="8.6640625" style="100"/>
  </cols>
  <sheetData>
    <row r="1" spans="1:62" ht="32.25" customHeight="1" x14ac:dyDescent="0.3">
      <c r="A1" s="2297" t="s">
        <v>43</v>
      </c>
      <c r="B1" s="2292" t="s">
        <v>4</v>
      </c>
      <c r="C1" s="2292"/>
      <c r="D1" s="2293"/>
      <c r="E1" s="2291" t="s">
        <v>7</v>
      </c>
      <c r="F1" s="2292"/>
      <c r="G1" s="2293"/>
      <c r="H1" s="2291" t="s">
        <v>8</v>
      </c>
      <c r="I1" s="2292"/>
      <c r="J1" s="2293"/>
      <c r="K1" s="2291" t="s">
        <v>21</v>
      </c>
      <c r="L1" s="2292"/>
      <c r="M1" s="2293"/>
      <c r="N1" s="2291" t="s">
        <v>1</v>
      </c>
      <c r="O1" s="2292"/>
      <c r="P1" s="2293"/>
      <c r="Q1" s="2291" t="s">
        <v>912</v>
      </c>
      <c r="R1" s="2292"/>
      <c r="S1" s="2292"/>
      <c r="T1" s="2291" t="s">
        <v>914</v>
      </c>
      <c r="U1" s="2292"/>
      <c r="V1" s="2292"/>
      <c r="W1" s="282"/>
      <c r="X1" s="2294" t="s">
        <v>4</v>
      </c>
      <c r="Y1" s="2295"/>
      <c r="Z1" s="2296"/>
      <c r="AA1" s="2298" t="s">
        <v>7</v>
      </c>
      <c r="AB1" s="2295"/>
      <c r="AC1" s="2299"/>
      <c r="AD1" s="2294" t="s">
        <v>8</v>
      </c>
      <c r="AE1" s="2295"/>
      <c r="AF1" s="2296"/>
      <c r="AG1" s="2298" t="s">
        <v>21</v>
      </c>
      <c r="AH1" s="2295"/>
      <c r="AI1" s="2299"/>
      <c r="AJ1" s="2294" t="s">
        <v>1</v>
      </c>
      <c r="AK1" s="2295"/>
      <c r="AL1" s="2296"/>
      <c r="AM1" s="2291" t="s">
        <v>912</v>
      </c>
      <c r="AN1" s="2292"/>
      <c r="AO1" s="2293"/>
      <c r="AP1" s="2291" t="s">
        <v>913</v>
      </c>
      <c r="AQ1" s="2292"/>
      <c r="AR1" s="2293"/>
      <c r="AT1" s="2300" t="s">
        <v>9</v>
      </c>
      <c r="AU1" s="2301"/>
      <c r="AV1" s="2301"/>
      <c r="AW1" s="2245"/>
      <c r="AX1" s="2302" t="s">
        <v>11</v>
      </c>
      <c r="AY1" s="2300" t="s">
        <v>1131</v>
      </c>
      <c r="AZ1" s="2304"/>
      <c r="BA1" s="2304"/>
      <c r="BB1" s="2304"/>
      <c r="BC1" s="2304"/>
      <c r="BD1" s="2305"/>
      <c r="BE1" s="2300" t="s">
        <v>1132</v>
      </c>
      <c r="BF1" s="2304"/>
      <c r="BG1" s="2304"/>
      <c r="BH1" s="2304"/>
      <c r="BI1" s="2304"/>
      <c r="BJ1" s="2305"/>
    </row>
    <row r="2" spans="1:62" s="73" customFormat="1" ht="95.25" customHeight="1" x14ac:dyDescent="0.3">
      <c r="A2" s="2297"/>
      <c r="B2" s="307" t="s">
        <v>24</v>
      </c>
      <c r="C2" s="308" t="s">
        <v>26</v>
      </c>
      <c r="D2" s="309" t="s">
        <v>59</v>
      </c>
      <c r="E2" s="274" t="s">
        <v>24</v>
      </c>
      <c r="F2" s="285" t="s">
        <v>26</v>
      </c>
      <c r="G2" s="275" t="s">
        <v>59</v>
      </c>
      <c r="H2" s="274" t="s">
        <v>24</v>
      </c>
      <c r="I2" s="285" t="s">
        <v>26</v>
      </c>
      <c r="J2" s="275" t="s">
        <v>59</v>
      </c>
      <c r="K2" s="274" t="s">
        <v>24</v>
      </c>
      <c r="L2" s="285" t="s">
        <v>26</v>
      </c>
      <c r="M2" s="275" t="s">
        <v>59</v>
      </c>
      <c r="N2" s="274" t="s">
        <v>24</v>
      </c>
      <c r="O2" s="285" t="s">
        <v>26</v>
      </c>
      <c r="P2" s="275" t="s">
        <v>59</v>
      </c>
      <c r="Q2" s="274" t="s">
        <v>24</v>
      </c>
      <c r="R2" s="285" t="s">
        <v>26</v>
      </c>
      <c r="S2" s="285" t="s">
        <v>59</v>
      </c>
      <c r="T2" s="285" t="s">
        <v>24</v>
      </c>
      <c r="U2" s="285" t="s">
        <v>26</v>
      </c>
      <c r="V2" s="275" t="s">
        <v>59</v>
      </c>
      <c r="W2" s="283"/>
      <c r="X2" s="286" t="s">
        <v>24</v>
      </c>
      <c r="Y2" s="287" t="s">
        <v>26</v>
      </c>
      <c r="Z2" s="288" t="s">
        <v>59</v>
      </c>
      <c r="AA2" s="289" t="s">
        <v>24</v>
      </c>
      <c r="AB2" s="287" t="s">
        <v>26</v>
      </c>
      <c r="AC2" s="290" t="s">
        <v>59</v>
      </c>
      <c r="AD2" s="310" t="s">
        <v>24</v>
      </c>
      <c r="AE2" s="311" t="s">
        <v>26</v>
      </c>
      <c r="AF2" s="312" t="s">
        <v>59</v>
      </c>
      <c r="AG2" s="313" t="s">
        <v>24</v>
      </c>
      <c r="AH2" s="311" t="s">
        <v>26</v>
      </c>
      <c r="AI2" s="314" t="s">
        <v>59</v>
      </c>
      <c r="AJ2" s="310" t="s">
        <v>24</v>
      </c>
      <c r="AK2" s="311" t="s">
        <v>26</v>
      </c>
      <c r="AL2" s="312" t="s">
        <v>59</v>
      </c>
      <c r="AM2" s="315" t="s">
        <v>24</v>
      </c>
      <c r="AN2" s="316" t="s">
        <v>26</v>
      </c>
      <c r="AO2" s="317" t="s">
        <v>59</v>
      </c>
      <c r="AP2" s="315" t="s">
        <v>24</v>
      </c>
      <c r="AQ2" s="316" t="s">
        <v>26</v>
      </c>
      <c r="AR2" s="317" t="s">
        <v>59</v>
      </c>
      <c r="AT2" s="278" t="s">
        <v>33</v>
      </c>
      <c r="AU2" s="279" t="s">
        <v>34</v>
      </c>
      <c r="AV2" s="279" t="s">
        <v>35</v>
      </c>
      <c r="AW2" s="279" t="s">
        <v>36</v>
      </c>
      <c r="AX2" s="2303"/>
      <c r="AY2" s="653" t="s">
        <v>37</v>
      </c>
      <c r="AZ2" s="277" t="s">
        <v>38</v>
      </c>
      <c r="BA2" s="277" t="s">
        <v>39</v>
      </c>
      <c r="BB2" s="277" t="s">
        <v>40</v>
      </c>
      <c r="BC2" s="277" t="s">
        <v>41</v>
      </c>
      <c r="BD2" s="280" t="s">
        <v>42</v>
      </c>
      <c r="BE2" s="653" t="s">
        <v>37</v>
      </c>
      <c r="BF2" s="277" t="s">
        <v>38</v>
      </c>
      <c r="BG2" s="277" t="s">
        <v>39</v>
      </c>
      <c r="BH2" s="277" t="s">
        <v>40</v>
      </c>
      <c r="BI2" s="277" t="s">
        <v>41</v>
      </c>
      <c r="BJ2" s="280" t="s">
        <v>42</v>
      </c>
    </row>
    <row r="3" spans="1:62" s="281" customFormat="1" ht="57" x14ac:dyDescent="0.3">
      <c r="A3" s="298" t="s">
        <v>821</v>
      </c>
      <c r="B3" s="302" t="s">
        <v>224</v>
      </c>
      <c r="C3" s="291" t="s">
        <v>225</v>
      </c>
      <c r="D3" s="291" t="s">
        <v>226</v>
      </c>
      <c r="E3" s="291" t="s">
        <v>231</v>
      </c>
      <c r="F3" s="291" t="s">
        <v>231</v>
      </c>
      <c r="G3" s="291" t="s">
        <v>232</v>
      </c>
      <c r="H3" s="291" t="s">
        <v>237</v>
      </c>
      <c r="I3" s="291" t="s">
        <v>237</v>
      </c>
      <c r="J3" s="291" t="s">
        <v>237</v>
      </c>
      <c r="K3" s="291" t="s">
        <v>212</v>
      </c>
      <c r="L3" s="291" t="s">
        <v>212</v>
      </c>
      <c r="M3" s="291" t="s">
        <v>212</v>
      </c>
      <c r="N3" s="291" t="s">
        <v>217</v>
      </c>
      <c r="O3" s="291" t="s">
        <v>217</v>
      </c>
      <c r="P3" s="291" t="s">
        <v>217</v>
      </c>
      <c r="Q3" s="291" t="s">
        <v>221</v>
      </c>
      <c r="R3" s="291" t="s">
        <v>221</v>
      </c>
      <c r="S3" s="291" t="s">
        <v>221</v>
      </c>
      <c r="T3" s="291" t="s">
        <v>222</v>
      </c>
      <c r="U3" s="291" t="s">
        <v>222</v>
      </c>
      <c r="V3" s="291" t="s">
        <v>222</v>
      </c>
      <c r="W3" s="669"/>
      <c r="X3" s="291" t="s">
        <v>182</v>
      </c>
      <c r="Y3" s="291" t="s">
        <v>183</v>
      </c>
      <c r="Z3" s="291" t="s">
        <v>184</v>
      </c>
      <c r="AA3" s="291" t="s">
        <v>185</v>
      </c>
      <c r="AB3" s="291" t="s">
        <v>185</v>
      </c>
      <c r="AC3" s="291" t="s">
        <v>186</v>
      </c>
      <c r="AD3" s="291" t="s">
        <v>197</v>
      </c>
      <c r="AE3" s="291" t="s">
        <v>197</v>
      </c>
      <c r="AF3" s="291" t="s">
        <v>197</v>
      </c>
      <c r="AG3" s="291" t="s">
        <v>187</v>
      </c>
      <c r="AH3" s="291" t="s">
        <v>187</v>
      </c>
      <c r="AI3" s="291" t="s">
        <v>187</v>
      </c>
      <c r="AJ3" s="291" t="s">
        <v>188</v>
      </c>
      <c r="AK3" s="291" t="s">
        <v>188</v>
      </c>
      <c r="AL3" s="291" t="s">
        <v>188</v>
      </c>
      <c r="AM3" s="291" t="s">
        <v>189</v>
      </c>
      <c r="AN3" s="291" t="s">
        <v>189</v>
      </c>
      <c r="AO3" s="291" t="s">
        <v>189</v>
      </c>
      <c r="AP3" s="291" t="s">
        <v>190</v>
      </c>
      <c r="AQ3" s="291" t="s">
        <v>190</v>
      </c>
      <c r="AR3" s="291" t="s">
        <v>190</v>
      </c>
      <c r="AS3" s="669"/>
      <c r="AT3" s="291">
        <v>1.2</v>
      </c>
      <c r="AU3" s="291">
        <v>1.2</v>
      </c>
      <c r="AV3" s="291">
        <v>1.2</v>
      </c>
      <c r="AW3" s="291">
        <v>1.2</v>
      </c>
      <c r="AX3" s="291">
        <v>0.25</v>
      </c>
      <c r="AY3" s="291">
        <v>1.98</v>
      </c>
      <c r="AZ3" s="291">
        <v>1.98</v>
      </c>
      <c r="BA3" s="291">
        <v>1.9</v>
      </c>
      <c r="BB3" s="291">
        <v>1.9</v>
      </c>
      <c r="BC3" s="291">
        <v>1.36</v>
      </c>
      <c r="BD3" s="291">
        <v>1.36</v>
      </c>
      <c r="BE3" s="291">
        <v>0.36</v>
      </c>
      <c r="BF3" s="291">
        <v>0.19</v>
      </c>
      <c r="BG3" s="291">
        <v>0.34</v>
      </c>
      <c r="BH3" s="291">
        <v>0.27</v>
      </c>
      <c r="BI3" s="291">
        <v>0.36</v>
      </c>
      <c r="BJ3" s="292">
        <v>0.19</v>
      </c>
    </row>
    <row r="4" spans="1:62" s="281" customFormat="1" ht="59.25" customHeight="1" x14ac:dyDescent="0.3">
      <c r="A4" s="299" t="s">
        <v>822</v>
      </c>
      <c r="B4" s="303" t="s">
        <v>818</v>
      </c>
      <c r="C4" s="284" t="s">
        <v>819</v>
      </c>
      <c r="D4" s="284" t="s">
        <v>820</v>
      </c>
      <c r="E4" s="284" t="s">
        <v>823</v>
      </c>
      <c r="F4" s="284" t="s">
        <v>823</v>
      </c>
      <c r="G4" s="284" t="s">
        <v>824</v>
      </c>
      <c r="H4" s="284" t="s">
        <v>825</v>
      </c>
      <c r="I4" s="284" t="s">
        <v>825</v>
      </c>
      <c r="J4" s="284" t="s">
        <v>825</v>
      </c>
      <c r="K4" s="284" t="s">
        <v>826</v>
      </c>
      <c r="L4" s="284" t="s">
        <v>826</v>
      </c>
      <c r="M4" s="284" t="s">
        <v>826</v>
      </c>
      <c r="N4" s="284" t="s">
        <v>827</v>
      </c>
      <c r="O4" s="284" t="s">
        <v>827</v>
      </c>
      <c r="P4" s="284" t="s">
        <v>827</v>
      </c>
      <c r="Q4" s="284" t="s">
        <v>828</v>
      </c>
      <c r="R4" s="284" t="s">
        <v>828</v>
      </c>
      <c r="S4" s="284" t="s">
        <v>828</v>
      </c>
      <c r="T4" s="284" t="s">
        <v>829</v>
      </c>
      <c r="U4" s="284" t="s">
        <v>829</v>
      </c>
      <c r="V4" s="284" t="s">
        <v>829</v>
      </c>
      <c r="W4" s="669"/>
      <c r="X4" s="284" t="s">
        <v>830</v>
      </c>
      <c r="Y4" s="284" t="s">
        <v>831</v>
      </c>
      <c r="Z4" s="284" t="s">
        <v>832</v>
      </c>
      <c r="AA4" s="284" t="s">
        <v>833</v>
      </c>
      <c r="AB4" s="284" t="s">
        <v>833</v>
      </c>
      <c r="AC4" s="284" t="s">
        <v>834</v>
      </c>
      <c r="AD4" s="284" t="s">
        <v>835</v>
      </c>
      <c r="AE4" s="284" t="s">
        <v>835</v>
      </c>
      <c r="AF4" s="284" t="s">
        <v>835</v>
      </c>
      <c r="AG4" s="284" t="s">
        <v>836</v>
      </c>
      <c r="AH4" s="284" t="s">
        <v>836</v>
      </c>
      <c r="AI4" s="284" t="s">
        <v>836</v>
      </c>
      <c r="AJ4" s="284" t="s">
        <v>837</v>
      </c>
      <c r="AK4" s="284" t="s">
        <v>837</v>
      </c>
      <c r="AL4" s="284" t="s">
        <v>837</v>
      </c>
      <c r="AM4" s="284" t="s">
        <v>838</v>
      </c>
      <c r="AN4" s="284" t="s">
        <v>838</v>
      </c>
      <c r="AO4" s="284" t="s">
        <v>838</v>
      </c>
      <c r="AP4" s="284" t="s">
        <v>839</v>
      </c>
      <c r="AQ4" s="284" t="s">
        <v>839</v>
      </c>
      <c r="AR4" s="284" t="s">
        <v>839</v>
      </c>
      <c r="AS4" s="669"/>
      <c r="AT4" s="284">
        <v>6.81</v>
      </c>
      <c r="AU4" s="284">
        <v>6.81</v>
      </c>
      <c r="AV4" s="284">
        <v>6.81</v>
      </c>
      <c r="AW4" s="284">
        <v>6.81</v>
      </c>
      <c r="AX4" s="284">
        <v>0.25</v>
      </c>
      <c r="AY4" s="284">
        <v>11.24</v>
      </c>
      <c r="AZ4" s="284">
        <v>11.24</v>
      </c>
      <c r="BA4" s="284">
        <v>10.79</v>
      </c>
      <c r="BB4" s="284">
        <v>10.79</v>
      </c>
      <c r="BC4" s="284">
        <v>7.72</v>
      </c>
      <c r="BD4" s="284">
        <v>7.72</v>
      </c>
      <c r="BE4" s="284">
        <v>0.36</v>
      </c>
      <c r="BF4" s="284">
        <v>0.19</v>
      </c>
      <c r="BG4" s="284">
        <v>0.34</v>
      </c>
      <c r="BH4" s="284">
        <v>0.27</v>
      </c>
      <c r="BI4" s="284">
        <v>0.36</v>
      </c>
      <c r="BJ4" s="293">
        <v>0.19</v>
      </c>
    </row>
    <row r="5" spans="1:62" s="281" customFormat="1" ht="57" x14ac:dyDescent="0.3">
      <c r="A5" s="300" t="s">
        <v>878</v>
      </c>
      <c r="B5" s="304" t="s">
        <v>224</v>
      </c>
      <c r="C5" s="294" t="s">
        <v>225</v>
      </c>
      <c r="D5" s="294" t="s">
        <v>226</v>
      </c>
      <c r="E5" s="294" t="s">
        <v>231</v>
      </c>
      <c r="F5" s="294" t="s">
        <v>231</v>
      </c>
      <c r="G5" s="294" t="s">
        <v>232</v>
      </c>
      <c r="H5" s="294" t="s">
        <v>237</v>
      </c>
      <c r="I5" s="294" t="s">
        <v>237</v>
      </c>
      <c r="J5" s="294" t="s">
        <v>237</v>
      </c>
      <c r="K5" s="294" t="s">
        <v>212</v>
      </c>
      <c r="L5" s="294" t="s">
        <v>212</v>
      </c>
      <c r="M5" s="294" t="s">
        <v>212</v>
      </c>
      <c r="N5" s="294" t="s">
        <v>217</v>
      </c>
      <c r="O5" s="294" t="s">
        <v>217</v>
      </c>
      <c r="P5" s="294" t="s">
        <v>217</v>
      </c>
      <c r="Q5" s="294" t="s">
        <v>221</v>
      </c>
      <c r="R5" s="294" t="s">
        <v>221</v>
      </c>
      <c r="S5" s="294" t="s">
        <v>221</v>
      </c>
      <c r="T5" s="294" t="s">
        <v>222</v>
      </c>
      <c r="U5" s="294" t="s">
        <v>222</v>
      </c>
      <c r="V5" s="294" t="s">
        <v>222</v>
      </c>
      <c r="W5" s="669"/>
      <c r="X5" s="294" t="s">
        <v>182</v>
      </c>
      <c r="Y5" s="294" t="s">
        <v>183</v>
      </c>
      <c r="Z5" s="294" t="s">
        <v>184</v>
      </c>
      <c r="AA5" s="294" t="s">
        <v>185</v>
      </c>
      <c r="AB5" s="294" t="s">
        <v>185</v>
      </c>
      <c r="AC5" s="294" t="s">
        <v>186</v>
      </c>
      <c r="AD5" s="294" t="s">
        <v>197</v>
      </c>
      <c r="AE5" s="294" t="s">
        <v>197</v>
      </c>
      <c r="AF5" s="294" t="s">
        <v>197</v>
      </c>
      <c r="AG5" s="294" t="s">
        <v>187</v>
      </c>
      <c r="AH5" s="294" t="s">
        <v>187</v>
      </c>
      <c r="AI5" s="294" t="s">
        <v>187</v>
      </c>
      <c r="AJ5" s="294" t="s">
        <v>188</v>
      </c>
      <c r="AK5" s="294" t="s">
        <v>188</v>
      </c>
      <c r="AL5" s="294" t="s">
        <v>188</v>
      </c>
      <c r="AM5" s="294" t="s">
        <v>189</v>
      </c>
      <c r="AN5" s="294" t="s">
        <v>189</v>
      </c>
      <c r="AO5" s="294" t="s">
        <v>189</v>
      </c>
      <c r="AP5" s="294" t="s">
        <v>190</v>
      </c>
      <c r="AQ5" s="294" t="s">
        <v>190</v>
      </c>
      <c r="AR5" s="294" t="s">
        <v>190</v>
      </c>
      <c r="AS5" s="669"/>
      <c r="AT5" s="294">
        <v>1.2</v>
      </c>
      <c r="AU5" s="294">
        <v>1.2</v>
      </c>
      <c r="AV5" s="294">
        <v>1.2</v>
      </c>
      <c r="AW5" s="294">
        <v>1.2</v>
      </c>
      <c r="AX5" s="294">
        <v>0.25</v>
      </c>
      <c r="AY5" s="294">
        <v>1.98</v>
      </c>
      <c r="AZ5" s="294">
        <v>1.98</v>
      </c>
      <c r="BA5" s="294">
        <v>1.9</v>
      </c>
      <c r="BB5" s="294">
        <v>1.9</v>
      </c>
      <c r="BC5" s="294">
        <v>1.36</v>
      </c>
      <c r="BD5" s="294">
        <v>1.36</v>
      </c>
      <c r="BE5" s="294">
        <v>0.36</v>
      </c>
      <c r="BF5" s="294">
        <v>0.19</v>
      </c>
      <c r="BG5" s="294">
        <v>0.34</v>
      </c>
      <c r="BH5" s="294">
        <v>0.27</v>
      </c>
      <c r="BI5" s="294">
        <v>0.36</v>
      </c>
      <c r="BJ5" s="295">
        <v>0.19</v>
      </c>
    </row>
    <row r="6" spans="1:62" s="281" customFormat="1" ht="67.5" customHeight="1" x14ac:dyDescent="0.3">
      <c r="A6" s="299" t="s">
        <v>911</v>
      </c>
      <c r="B6" s="303" t="s">
        <v>818</v>
      </c>
      <c r="C6" s="284" t="s">
        <v>819</v>
      </c>
      <c r="D6" s="284" t="s">
        <v>820</v>
      </c>
      <c r="E6" s="284" t="s">
        <v>823</v>
      </c>
      <c r="F6" s="284" t="s">
        <v>823</v>
      </c>
      <c r="G6" s="284" t="s">
        <v>824</v>
      </c>
      <c r="H6" s="284" t="s">
        <v>825</v>
      </c>
      <c r="I6" s="284" t="s">
        <v>825</v>
      </c>
      <c r="J6" s="284" t="s">
        <v>825</v>
      </c>
      <c r="K6" s="284" t="s">
        <v>826</v>
      </c>
      <c r="L6" s="284" t="s">
        <v>826</v>
      </c>
      <c r="M6" s="284" t="s">
        <v>826</v>
      </c>
      <c r="N6" s="284" t="s">
        <v>827</v>
      </c>
      <c r="O6" s="284" t="s">
        <v>827</v>
      </c>
      <c r="P6" s="284" t="s">
        <v>827</v>
      </c>
      <c r="Q6" s="284" t="s">
        <v>828</v>
      </c>
      <c r="R6" s="284" t="s">
        <v>828</v>
      </c>
      <c r="S6" s="284" t="s">
        <v>828</v>
      </c>
      <c r="T6" s="284" t="s">
        <v>829</v>
      </c>
      <c r="U6" s="284" t="s">
        <v>829</v>
      </c>
      <c r="V6" s="284" t="s">
        <v>829</v>
      </c>
      <c r="W6" s="669"/>
      <c r="X6" s="284" t="s">
        <v>830</v>
      </c>
      <c r="Y6" s="284" t="s">
        <v>831</v>
      </c>
      <c r="Z6" s="284" t="s">
        <v>832</v>
      </c>
      <c r="AA6" s="284" t="s">
        <v>833</v>
      </c>
      <c r="AB6" s="284" t="s">
        <v>833</v>
      </c>
      <c r="AC6" s="284" t="s">
        <v>834</v>
      </c>
      <c r="AD6" s="284" t="s">
        <v>835</v>
      </c>
      <c r="AE6" s="284" t="s">
        <v>835</v>
      </c>
      <c r="AF6" s="284" t="s">
        <v>835</v>
      </c>
      <c r="AG6" s="284" t="s">
        <v>836</v>
      </c>
      <c r="AH6" s="284" t="s">
        <v>836</v>
      </c>
      <c r="AI6" s="284" t="s">
        <v>836</v>
      </c>
      <c r="AJ6" s="284" t="s">
        <v>837</v>
      </c>
      <c r="AK6" s="284" t="s">
        <v>837</v>
      </c>
      <c r="AL6" s="284" t="s">
        <v>837</v>
      </c>
      <c r="AM6" s="284" t="s">
        <v>838</v>
      </c>
      <c r="AN6" s="284" t="s">
        <v>838</v>
      </c>
      <c r="AO6" s="284" t="s">
        <v>838</v>
      </c>
      <c r="AP6" s="284" t="s">
        <v>839</v>
      </c>
      <c r="AQ6" s="284" t="s">
        <v>839</v>
      </c>
      <c r="AR6" s="284" t="s">
        <v>839</v>
      </c>
      <c r="AS6" s="669"/>
      <c r="AT6" s="284">
        <v>6.81</v>
      </c>
      <c r="AU6" s="284">
        <v>6.81</v>
      </c>
      <c r="AV6" s="284">
        <v>6.81</v>
      </c>
      <c r="AW6" s="284">
        <v>6.81</v>
      </c>
      <c r="AX6" s="284">
        <v>0.25</v>
      </c>
      <c r="AY6" s="284">
        <v>11.24</v>
      </c>
      <c r="AZ6" s="284">
        <v>11.24</v>
      </c>
      <c r="BA6" s="284">
        <v>10.79</v>
      </c>
      <c r="BB6" s="284">
        <v>10.79</v>
      </c>
      <c r="BC6" s="284">
        <v>7.72</v>
      </c>
      <c r="BD6" s="284">
        <v>7.72</v>
      </c>
      <c r="BE6" s="284">
        <v>0.36</v>
      </c>
      <c r="BF6" s="284">
        <v>0.19</v>
      </c>
      <c r="BG6" s="284">
        <v>0.34</v>
      </c>
      <c r="BH6" s="284">
        <v>0.27</v>
      </c>
      <c r="BI6" s="284">
        <v>0.36</v>
      </c>
      <c r="BJ6" s="293">
        <v>0.19</v>
      </c>
    </row>
    <row r="7" spans="1:62" s="281" customFormat="1" ht="57" x14ac:dyDescent="0.3">
      <c r="A7" s="300" t="s">
        <v>879</v>
      </c>
      <c r="B7" s="304" t="s">
        <v>225</v>
      </c>
      <c r="C7" s="294" t="s">
        <v>225</v>
      </c>
      <c r="D7" s="294" t="s">
        <v>226</v>
      </c>
      <c r="E7" s="294" t="s">
        <v>231</v>
      </c>
      <c r="F7" s="294" t="s">
        <v>233</v>
      </c>
      <c r="G7" s="294" t="s">
        <v>231</v>
      </c>
      <c r="H7" s="294" t="s">
        <v>237</v>
      </c>
      <c r="I7" s="294" t="s">
        <v>237</v>
      </c>
      <c r="J7" s="294" t="s">
        <v>237</v>
      </c>
      <c r="K7" s="294" t="s">
        <v>213</v>
      </c>
      <c r="L7" s="294" t="s">
        <v>213</v>
      </c>
      <c r="M7" s="294" t="s">
        <v>214</v>
      </c>
      <c r="N7" s="294" t="s">
        <v>217</v>
      </c>
      <c r="O7" s="294" t="s">
        <v>217</v>
      </c>
      <c r="P7" s="294" t="s">
        <v>217</v>
      </c>
      <c r="Q7" s="294" t="s">
        <v>221</v>
      </c>
      <c r="R7" s="294" t="s">
        <v>221</v>
      </c>
      <c r="S7" s="294" t="s">
        <v>221</v>
      </c>
      <c r="T7" s="294" t="s">
        <v>222</v>
      </c>
      <c r="U7" s="294" t="s">
        <v>223</v>
      </c>
      <c r="V7" s="294" t="s">
        <v>222</v>
      </c>
      <c r="W7" s="669"/>
      <c r="X7" s="294" t="s">
        <v>183</v>
      </c>
      <c r="Y7" s="294" t="s">
        <v>183</v>
      </c>
      <c r="Z7" s="294" t="s">
        <v>184</v>
      </c>
      <c r="AA7" s="294" t="s">
        <v>185</v>
      </c>
      <c r="AB7" s="294" t="s">
        <v>191</v>
      </c>
      <c r="AC7" s="294" t="s">
        <v>185</v>
      </c>
      <c r="AD7" s="294" t="s">
        <v>197</v>
      </c>
      <c r="AE7" s="294" t="s">
        <v>197</v>
      </c>
      <c r="AF7" s="294" t="s">
        <v>197</v>
      </c>
      <c r="AG7" s="294" t="s">
        <v>192</v>
      </c>
      <c r="AH7" s="294" t="s">
        <v>192</v>
      </c>
      <c r="AI7" s="294" t="s">
        <v>193</v>
      </c>
      <c r="AJ7" s="294" t="s">
        <v>188</v>
      </c>
      <c r="AK7" s="294" t="s">
        <v>188</v>
      </c>
      <c r="AL7" s="294" t="s">
        <v>188</v>
      </c>
      <c r="AM7" s="294" t="s">
        <v>189</v>
      </c>
      <c r="AN7" s="294" t="s">
        <v>189</v>
      </c>
      <c r="AO7" s="294" t="s">
        <v>189</v>
      </c>
      <c r="AP7" s="294" t="s">
        <v>190</v>
      </c>
      <c r="AQ7" s="294" t="s">
        <v>194</v>
      </c>
      <c r="AR7" s="294" t="s">
        <v>190</v>
      </c>
      <c r="AS7" s="669"/>
      <c r="AT7" s="294">
        <v>0.75</v>
      </c>
      <c r="AU7" s="294">
        <v>0.7</v>
      </c>
      <c r="AV7" s="294">
        <v>1.1000000000000001</v>
      </c>
      <c r="AW7" s="294">
        <v>0.75</v>
      </c>
      <c r="AX7" s="294">
        <v>0.25</v>
      </c>
      <c r="AY7" s="294">
        <v>1.98</v>
      </c>
      <c r="AZ7" s="294">
        <v>1.98</v>
      </c>
      <c r="BA7" s="294">
        <v>1.9</v>
      </c>
      <c r="BB7" s="294">
        <v>1.9</v>
      </c>
      <c r="BC7" s="294">
        <v>1.36</v>
      </c>
      <c r="BD7" s="294">
        <v>1.36</v>
      </c>
      <c r="BE7" s="294">
        <v>0.36</v>
      </c>
      <c r="BF7" s="294">
        <v>0.19</v>
      </c>
      <c r="BG7" s="294">
        <v>0.39</v>
      </c>
      <c r="BH7" s="294">
        <v>0.34</v>
      </c>
      <c r="BI7" s="294">
        <v>0.36</v>
      </c>
      <c r="BJ7" s="295">
        <v>0.19</v>
      </c>
    </row>
    <row r="8" spans="1:62" s="281" customFormat="1" ht="57" x14ac:dyDescent="0.3">
      <c r="A8" s="299" t="s">
        <v>910</v>
      </c>
      <c r="B8" s="303" t="s">
        <v>819</v>
      </c>
      <c r="C8" s="284" t="s">
        <v>819</v>
      </c>
      <c r="D8" s="284" t="s">
        <v>820</v>
      </c>
      <c r="E8" s="284" t="s">
        <v>823</v>
      </c>
      <c r="F8" s="284" t="s">
        <v>840</v>
      </c>
      <c r="G8" s="284" t="s">
        <v>823</v>
      </c>
      <c r="H8" s="284" t="s">
        <v>825</v>
      </c>
      <c r="I8" s="284" t="s">
        <v>825</v>
      </c>
      <c r="J8" s="284" t="s">
        <v>825</v>
      </c>
      <c r="K8" s="284" t="s">
        <v>841</v>
      </c>
      <c r="L8" s="284" t="s">
        <v>841</v>
      </c>
      <c r="M8" s="284" t="s">
        <v>842</v>
      </c>
      <c r="N8" s="284" t="s">
        <v>827</v>
      </c>
      <c r="O8" s="284" t="s">
        <v>827</v>
      </c>
      <c r="P8" s="284" t="s">
        <v>827</v>
      </c>
      <c r="Q8" s="284" t="s">
        <v>828</v>
      </c>
      <c r="R8" s="284" t="s">
        <v>828</v>
      </c>
      <c r="S8" s="284" t="s">
        <v>828</v>
      </c>
      <c r="T8" s="284" t="s">
        <v>829</v>
      </c>
      <c r="U8" s="284" t="s">
        <v>843</v>
      </c>
      <c r="V8" s="284" t="s">
        <v>829</v>
      </c>
      <c r="W8" s="669"/>
      <c r="X8" s="284" t="s">
        <v>831</v>
      </c>
      <c r="Y8" s="284" t="s">
        <v>831</v>
      </c>
      <c r="Z8" s="284" t="s">
        <v>832</v>
      </c>
      <c r="AA8" s="284" t="s">
        <v>833</v>
      </c>
      <c r="AB8" s="284" t="s">
        <v>844</v>
      </c>
      <c r="AC8" s="284" t="s">
        <v>833</v>
      </c>
      <c r="AD8" s="284" t="s">
        <v>835</v>
      </c>
      <c r="AE8" s="284" t="s">
        <v>835</v>
      </c>
      <c r="AF8" s="284" t="s">
        <v>835</v>
      </c>
      <c r="AG8" s="284" t="s">
        <v>845</v>
      </c>
      <c r="AH8" s="284" t="s">
        <v>845</v>
      </c>
      <c r="AI8" s="284" t="s">
        <v>846</v>
      </c>
      <c r="AJ8" s="284" t="s">
        <v>837</v>
      </c>
      <c r="AK8" s="284" t="s">
        <v>837</v>
      </c>
      <c r="AL8" s="284" t="s">
        <v>837</v>
      </c>
      <c r="AM8" s="284" t="s">
        <v>838</v>
      </c>
      <c r="AN8" s="284" t="s">
        <v>838</v>
      </c>
      <c r="AO8" s="284" t="s">
        <v>838</v>
      </c>
      <c r="AP8" s="284" t="s">
        <v>839</v>
      </c>
      <c r="AQ8" s="284" t="s">
        <v>847</v>
      </c>
      <c r="AR8" s="284" t="s">
        <v>839</v>
      </c>
      <c r="AS8" s="669"/>
      <c r="AT8" s="284">
        <v>4.26</v>
      </c>
      <c r="AU8" s="284">
        <v>3.97</v>
      </c>
      <c r="AV8" s="284">
        <v>6.25</v>
      </c>
      <c r="AW8" s="284">
        <v>4.26</v>
      </c>
      <c r="AX8" s="284">
        <v>0.25</v>
      </c>
      <c r="AY8" s="284">
        <v>11.24</v>
      </c>
      <c r="AZ8" s="284">
        <v>11.24</v>
      </c>
      <c r="BA8" s="284">
        <v>10.79</v>
      </c>
      <c r="BB8" s="284">
        <v>10.79</v>
      </c>
      <c r="BC8" s="284">
        <v>7.72</v>
      </c>
      <c r="BD8" s="284">
        <v>7.72</v>
      </c>
      <c r="BE8" s="284">
        <v>0.36</v>
      </c>
      <c r="BF8" s="284">
        <v>0.19</v>
      </c>
      <c r="BG8" s="284">
        <v>0.39</v>
      </c>
      <c r="BH8" s="284">
        <v>0.34</v>
      </c>
      <c r="BI8" s="284">
        <v>0.36</v>
      </c>
      <c r="BJ8" s="293">
        <v>0.19</v>
      </c>
    </row>
    <row r="9" spans="1:62" s="281" customFormat="1" ht="57" x14ac:dyDescent="0.3">
      <c r="A9" s="300" t="s">
        <v>880</v>
      </c>
      <c r="B9" s="304" t="s">
        <v>225</v>
      </c>
      <c r="C9" s="294" t="s">
        <v>225</v>
      </c>
      <c r="D9" s="294" t="s">
        <v>226</v>
      </c>
      <c r="E9" s="294" t="s">
        <v>231</v>
      </c>
      <c r="F9" s="294" t="s">
        <v>233</v>
      </c>
      <c r="G9" s="294" t="s">
        <v>231</v>
      </c>
      <c r="H9" s="294" t="s">
        <v>237</v>
      </c>
      <c r="I9" s="294" t="s">
        <v>237</v>
      </c>
      <c r="J9" s="294" t="s">
        <v>237</v>
      </c>
      <c r="K9" s="294" t="s">
        <v>213</v>
      </c>
      <c r="L9" s="294" t="s">
        <v>213</v>
      </c>
      <c r="M9" s="294" t="s">
        <v>214</v>
      </c>
      <c r="N9" s="294" t="s">
        <v>217</v>
      </c>
      <c r="O9" s="294" t="s">
        <v>217</v>
      </c>
      <c r="P9" s="294" t="s">
        <v>217</v>
      </c>
      <c r="Q9" s="294" t="s">
        <v>221</v>
      </c>
      <c r="R9" s="294" t="s">
        <v>221</v>
      </c>
      <c r="S9" s="294" t="s">
        <v>221</v>
      </c>
      <c r="T9" s="294" t="s">
        <v>222</v>
      </c>
      <c r="U9" s="294" t="s">
        <v>223</v>
      </c>
      <c r="V9" s="294" t="s">
        <v>222</v>
      </c>
      <c r="W9" s="669"/>
      <c r="X9" s="294" t="s">
        <v>183</v>
      </c>
      <c r="Y9" s="294" t="s">
        <v>183</v>
      </c>
      <c r="Z9" s="294" t="s">
        <v>184</v>
      </c>
      <c r="AA9" s="294" t="s">
        <v>185</v>
      </c>
      <c r="AB9" s="294" t="s">
        <v>191</v>
      </c>
      <c r="AC9" s="294" t="s">
        <v>185</v>
      </c>
      <c r="AD9" s="294" t="s">
        <v>197</v>
      </c>
      <c r="AE9" s="294" t="s">
        <v>197</v>
      </c>
      <c r="AF9" s="294" t="s">
        <v>197</v>
      </c>
      <c r="AG9" s="294" t="s">
        <v>192</v>
      </c>
      <c r="AH9" s="294" t="s">
        <v>192</v>
      </c>
      <c r="AI9" s="294" t="s">
        <v>193</v>
      </c>
      <c r="AJ9" s="294" t="s">
        <v>188</v>
      </c>
      <c r="AK9" s="294" t="s">
        <v>188</v>
      </c>
      <c r="AL9" s="294" t="s">
        <v>188</v>
      </c>
      <c r="AM9" s="294" t="s">
        <v>189</v>
      </c>
      <c r="AN9" s="294" t="s">
        <v>189</v>
      </c>
      <c r="AO9" s="294" t="s">
        <v>189</v>
      </c>
      <c r="AP9" s="294" t="s">
        <v>190</v>
      </c>
      <c r="AQ9" s="294" t="s">
        <v>194</v>
      </c>
      <c r="AR9" s="294" t="s">
        <v>190</v>
      </c>
      <c r="AS9" s="669"/>
      <c r="AT9" s="294">
        <v>0.75</v>
      </c>
      <c r="AU9" s="294">
        <v>0.7</v>
      </c>
      <c r="AV9" s="294">
        <v>1.1000000000000001</v>
      </c>
      <c r="AW9" s="294">
        <v>0.75</v>
      </c>
      <c r="AX9" s="294">
        <v>0.25</v>
      </c>
      <c r="AY9" s="294">
        <v>1.98</v>
      </c>
      <c r="AZ9" s="294">
        <v>1.98</v>
      </c>
      <c r="BA9" s="294">
        <v>1.9</v>
      </c>
      <c r="BB9" s="294">
        <v>1.9</v>
      </c>
      <c r="BC9" s="294">
        <v>1.36</v>
      </c>
      <c r="BD9" s="294">
        <v>1.36</v>
      </c>
      <c r="BE9" s="294">
        <v>0.36</v>
      </c>
      <c r="BF9" s="294">
        <v>0.19</v>
      </c>
      <c r="BG9" s="294">
        <v>0.39</v>
      </c>
      <c r="BH9" s="294">
        <v>0.34</v>
      </c>
      <c r="BI9" s="294">
        <v>0.36</v>
      </c>
      <c r="BJ9" s="295">
        <v>0.19</v>
      </c>
    </row>
    <row r="10" spans="1:62" s="281" customFormat="1" ht="57" x14ac:dyDescent="0.3">
      <c r="A10" s="299" t="s">
        <v>909</v>
      </c>
      <c r="B10" s="303" t="s">
        <v>819</v>
      </c>
      <c r="C10" s="284" t="s">
        <v>819</v>
      </c>
      <c r="D10" s="284" t="s">
        <v>820</v>
      </c>
      <c r="E10" s="284" t="s">
        <v>823</v>
      </c>
      <c r="F10" s="284" t="s">
        <v>840</v>
      </c>
      <c r="G10" s="284" t="s">
        <v>823</v>
      </c>
      <c r="H10" s="284" t="s">
        <v>825</v>
      </c>
      <c r="I10" s="284" t="s">
        <v>825</v>
      </c>
      <c r="J10" s="284" t="s">
        <v>825</v>
      </c>
      <c r="K10" s="284" t="s">
        <v>841</v>
      </c>
      <c r="L10" s="284" t="s">
        <v>841</v>
      </c>
      <c r="M10" s="284" t="s">
        <v>842</v>
      </c>
      <c r="N10" s="284" t="s">
        <v>827</v>
      </c>
      <c r="O10" s="284" t="s">
        <v>827</v>
      </c>
      <c r="P10" s="284" t="s">
        <v>827</v>
      </c>
      <c r="Q10" s="284" t="s">
        <v>828</v>
      </c>
      <c r="R10" s="284" t="s">
        <v>828</v>
      </c>
      <c r="S10" s="284" t="s">
        <v>828</v>
      </c>
      <c r="T10" s="284" t="s">
        <v>829</v>
      </c>
      <c r="U10" s="284" t="s">
        <v>843</v>
      </c>
      <c r="V10" s="284" t="s">
        <v>829</v>
      </c>
      <c r="W10" s="669"/>
      <c r="X10" s="284" t="s">
        <v>831</v>
      </c>
      <c r="Y10" s="284" t="s">
        <v>831</v>
      </c>
      <c r="Z10" s="284" t="s">
        <v>832</v>
      </c>
      <c r="AA10" s="284" t="s">
        <v>833</v>
      </c>
      <c r="AB10" s="284" t="s">
        <v>844</v>
      </c>
      <c r="AC10" s="284" t="s">
        <v>833</v>
      </c>
      <c r="AD10" s="284" t="s">
        <v>835</v>
      </c>
      <c r="AE10" s="284" t="s">
        <v>835</v>
      </c>
      <c r="AF10" s="284" t="s">
        <v>835</v>
      </c>
      <c r="AG10" s="284" t="s">
        <v>845</v>
      </c>
      <c r="AH10" s="284" t="s">
        <v>845</v>
      </c>
      <c r="AI10" s="284" t="s">
        <v>846</v>
      </c>
      <c r="AJ10" s="284" t="s">
        <v>837</v>
      </c>
      <c r="AK10" s="284" t="s">
        <v>837</v>
      </c>
      <c r="AL10" s="284" t="s">
        <v>837</v>
      </c>
      <c r="AM10" s="284" t="s">
        <v>838</v>
      </c>
      <c r="AN10" s="284" t="s">
        <v>838</v>
      </c>
      <c r="AO10" s="284" t="s">
        <v>838</v>
      </c>
      <c r="AP10" s="284" t="s">
        <v>839</v>
      </c>
      <c r="AQ10" s="284" t="s">
        <v>847</v>
      </c>
      <c r="AR10" s="284" t="s">
        <v>839</v>
      </c>
      <c r="AS10" s="669"/>
      <c r="AT10" s="284">
        <v>4.26</v>
      </c>
      <c r="AU10" s="284">
        <v>3.97</v>
      </c>
      <c r="AV10" s="284">
        <v>6.25</v>
      </c>
      <c r="AW10" s="284">
        <v>4.26</v>
      </c>
      <c r="AX10" s="284">
        <v>0.25</v>
      </c>
      <c r="AY10" s="284">
        <v>11.24</v>
      </c>
      <c r="AZ10" s="284">
        <v>11.24</v>
      </c>
      <c r="BA10" s="284">
        <v>10.79</v>
      </c>
      <c r="BB10" s="284">
        <v>10.79</v>
      </c>
      <c r="BC10" s="284">
        <v>7.72</v>
      </c>
      <c r="BD10" s="284">
        <v>7.72</v>
      </c>
      <c r="BE10" s="284">
        <v>0.36</v>
      </c>
      <c r="BF10" s="284">
        <v>0.19</v>
      </c>
      <c r="BG10" s="284">
        <v>0.39</v>
      </c>
      <c r="BH10" s="284">
        <v>0.34</v>
      </c>
      <c r="BI10" s="284">
        <v>0.36</v>
      </c>
      <c r="BJ10" s="293">
        <v>0.19</v>
      </c>
    </row>
    <row r="11" spans="1:62" s="281" customFormat="1" ht="57" x14ac:dyDescent="0.3">
      <c r="A11" s="300" t="s">
        <v>881</v>
      </c>
      <c r="B11" s="304" t="s">
        <v>225</v>
      </c>
      <c r="C11" s="294" t="s">
        <v>225</v>
      </c>
      <c r="D11" s="294" t="s">
        <v>227</v>
      </c>
      <c r="E11" s="294" t="s">
        <v>234</v>
      </c>
      <c r="F11" s="294" t="s">
        <v>233</v>
      </c>
      <c r="G11" s="294" t="s">
        <v>231</v>
      </c>
      <c r="H11" s="294" t="s">
        <v>237</v>
      </c>
      <c r="I11" s="294" t="s">
        <v>237</v>
      </c>
      <c r="J11" s="294" t="s">
        <v>237</v>
      </c>
      <c r="K11" s="294" t="s">
        <v>213</v>
      </c>
      <c r="L11" s="294" t="s">
        <v>213</v>
      </c>
      <c r="M11" s="294" t="s">
        <v>214</v>
      </c>
      <c r="N11" s="294" t="s">
        <v>217</v>
      </c>
      <c r="O11" s="294" t="s">
        <v>217</v>
      </c>
      <c r="P11" s="294" t="s">
        <v>217</v>
      </c>
      <c r="Q11" s="294" t="s">
        <v>221</v>
      </c>
      <c r="R11" s="294" t="s">
        <v>221</v>
      </c>
      <c r="S11" s="294" t="s">
        <v>221</v>
      </c>
      <c r="T11" s="294" t="s">
        <v>222</v>
      </c>
      <c r="U11" s="294" t="s">
        <v>223</v>
      </c>
      <c r="V11" s="294" t="s">
        <v>222</v>
      </c>
      <c r="W11" s="669"/>
      <c r="X11" s="294" t="s">
        <v>183</v>
      </c>
      <c r="Y11" s="294" t="s">
        <v>183</v>
      </c>
      <c r="Z11" s="294" t="s">
        <v>195</v>
      </c>
      <c r="AA11" s="294" t="s">
        <v>196</v>
      </c>
      <c r="AB11" s="294" t="s">
        <v>191</v>
      </c>
      <c r="AC11" s="294" t="s">
        <v>185</v>
      </c>
      <c r="AD11" s="294" t="s">
        <v>197</v>
      </c>
      <c r="AE11" s="294" t="s">
        <v>197</v>
      </c>
      <c r="AF11" s="294" t="s">
        <v>197</v>
      </c>
      <c r="AG11" s="294" t="s">
        <v>192</v>
      </c>
      <c r="AH11" s="294" t="s">
        <v>192</v>
      </c>
      <c r="AI11" s="294" t="s">
        <v>193</v>
      </c>
      <c r="AJ11" s="294" t="s">
        <v>188</v>
      </c>
      <c r="AK11" s="294" t="s">
        <v>188</v>
      </c>
      <c r="AL11" s="294" t="s">
        <v>188</v>
      </c>
      <c r="AM11" s="294" t="s">
        <v>189</v>
      </c>
      <c r="AN11" s="294" t="s">
        <v>189</v>
      </c>
      <c r="AO11" s="294" t="s">
        <v>189</v>
      </c>
      <c r="AP11" s="294" t="s">
        <v>190</v>
      </c>
      <c r="AQ11" s="294" t="s">
        <v>194</v>
      </c>
      <c r="AR11" s="294" t="s">
        <v>190</v>
      </c>
      <c r="AS11" s="669"/>
      <c r="AT11" s="294">
        <v>0.65</v>
      </c>
      <c r="AU11" s="294">
        <v>0.6</v>
      </c>
      <c r="AV11" s="294">
        <v>0.9</v>
      </c>
      <c r="AW11" s="294">
        <v>0.65</v>
      </c>
      <c r="AX11" s="294">
        <v>0.25</v>
      </c>
      <c r="AY11" s="294">
        <v>1.17</v>
      </c>
      <c r="AZ11" s="294">
        <v>1.17</v>
      </c>
      <c r="BA11" s="294">
        <v>1.3</v>
      </c>
      <c r="BB11" s="294">
        <v>1.3</v>
      </c>
      <c r="BC11" s="294">
        <v>0.69</v>
      </c>
      <c r="BD11" s="294">
        <v>0.69</v>
      </c>
      <c r="BE11" s="294">
        <v>0.39</v>
      </c>
      <c r="BF11" s="294">
        <v>0.19</v>
      </c>
      <c r="BG11" s="294">
        <v>0.65</v>
      </c>
      <c r="BH11" s="294">
        <v>0.34</v>
      </c>
      <c r="BI11" s="294">
        <v>0.39</v>
      </c>
      <c r="BJ11" s="295">
        <v>0.19</v>
      </c>
    </row>
    <row r="12" spans="1:62" s="281" customFormat="1" ht="57" x14ac:dyDescent="0.3">
      <c r="A12" s="299" t="s">
        <v>908</v>
      </c>
      <c r="B12" s="303" t="s">
        <v>819</v>
      </c>
      <c r="C12" s="284" t="s">
        <v>819</v>
      </c>
      <c r="D12" s="284" t="s">
        <v>848</v>
      </c>
      <c r="E12" s="284" t="s">
        <v>849</v>
      </c>
      <c r="F12" s="284" t="s">
        <v>840</v>
      </c>
      <c r="G12" s="284" t="s">
        <v>823</v>
      </c>
      <c r="H12" s="284" t="s">
        <v>825</v>
      </c>
      <c r="I12" s="284" t="s">
        <v>825</v>
      </c>
      <c r="J12" s="284" t="s">
        <v>825</v>
      </c>
      <c r="K12" s="284" t="s">
        <v>841</v>
      </c>
      <c r="L12" s="284" t="s">
        <v>841</v>
      </c>
      <c r="M12" s="284" t="s">
        <v>842</v>
      </c>
      <c r="N12" s="284" t="s">
        <v>827</v>
      </c>
      <c r="O12" s="284" t="s">
        <v>827</v>
      </c>
      <c r="P12" s="284" t="s">
        <v>827</v>
      </c>
      <c r="Q12" s="284" t="s">
        <v>828</v>
      </c>
      <c r="R12" s="284" t="s">
        <v>828</v>
      </c>
      <c r="S12" s="284" t="s">
        <v>828</v>
      </c>
      <c r="T12" s="284" t="s">
        <v>829</v>
      </c>
      <c r="U12" s="284" t="s">
        <v>843</v>
      </c>
      <c r="V12" s="284" t="s">
        <v>829</v>
      </c>
      <c r="W12" s="669"/>
      <c r="X12" s="284" t="s">
        <v>831</v>
      </c>
      <c r="Y12" s="284" t="s">
        <v>831</v>
      </c>
      <c r="Z12" s="284" t="s">
        <v>850</v>
      </c>
      <c r="AA12" s="284" t="s">
        <v>851</v>
      </c>
      <c r="AB12" s="284" t="s">
        <v>844</v>
      </c>
      <c r="AC12" s="284" t="s">
        <v>833</v>
      </c>
      <c r="AD12" s="284" t="s">
        <v>835</v>
      </c>
      <c r="AE12" s="284" t="s">
        <v>835</v>
      </c>
      <c r="AF12" s="284" t="s">
        <v>835</v>
      </c>
      <c r="AG12" s="284" t="s">
        <v>845</v>
      </c>
      <c r="AH12" s="284" t="s">
        <v>845</v>
      </c>
      <c r="AI12" s="284" t="s">
        <v>846</v>
      </c>
      <c r="AJ12" s="284" t="s">
        <v>837</v>
      </c>
      <c r="AK12" s="284" t="s">
        <v>837</v>
      </c>
      <c r="AL12" s="284" t="s">
        <v>837</v>
      </c>
      <c r="AM12" s="284" t="s">
        <v>838</v>
      </c>
      <c r="AN12" s="284" t="s">
        <v>838</v>
      </c>
      <c r="AO12" s="284" t="s">
        <v>838</v>
      </c>
      <c r="AP12" s="284" t="s">
        <v>839</v>
      </c>
      <c r="AQ12" s="284" t="s">
        <v>847</v>
      </c>
      <c r="AR12" s="284" t="s">
        <v>839</v>
      </c>
      <c r="AS12" s="669"/>
      <c r="AT12" s="284">
        <v>3.69</v>
      </c>
      <c r="AU12" s="284">
        <v>3.41</v>
      </c>
      <c r="AV12" s="284">
        <v>5.1100000000000003</v>
      </c>
      <c r="AW12" s="284">
        <v>3.69</v>
      </c>
      <c r="AX12" s="284">
        <v>0.25</v>
      </c>
      <c r="AY12" s="284">
        <v>6.64</v>
      </c>
      <c r="AZ12" s="284">
        <v>6.64</v>
      </c>
      <c r="BA12" s="284">
        <v>7.38</v>
      </c>
      <c r="BB12" s="284">
        <v>7.38</v>
      </c>
      <c r="BC12" s="284">
        <v>3.92</v>
      </c>
      <c r="BD12" s="284">
        <v>3.92</v>
      </c>
      <c r="BE12" s="284">
        <v>0.39</v>
      </c>
      <c r="BF12" s="284">
        <v>0.19</v>
      </c>
      <c r="BG12" s="284">
        <v>0.65</v>
      </c>
      <c r="BH12" s="284">
        <v>0.34</v>
      </c>
      <c r="BI12" s="284">
        <v>0.39</v>
      </c>
      <c r="BJ12" s="293">
        <v>0.19</v>
      </c>
    </row>
    <row r="13" spans="1:62" s="281" customFormat="1" ht="57" x14ac:dyDescent="0.3">
      <c r="A13" s="300" t="s">
        <v>882</v>
      </c>
      <c r="B13" s="304" t="s">
        <v>225</v>
      </c>
      <c r="C13" s="294" t="s">
        <v>225</v>
      </c>
      <c r="D13" s="294" t="s">
        <v>227</v>
      </c>
      <c r="E13" s="294" t="s">
        <v>234</v>
      </c>
      <c r="F13" s="294" t="s">
        <v>233</v>
      </c>
      <c r="G13" s="294" t="s">
        <v>231</v>
      </c>
      <c r="H13" s="294" t="s">
        <v>237</v>
      </c>
      <c r="I13" s="294" t="s">
        <v>237</v>
      </c>
      <c r="J13" s="294" t="s">
        <v>237</v>
      </c>
      <c r="K13" s="294" t="s">
        <v>213</v>
      </c>
      <c r="L13" s="294" t="s">
        <v>213</v>
      </c>
      <c r="M13" s="294" t="s">
        <v>214</v>
      </c>
      <c r="N13" s="294" t="s">
        <v>217</v>
      </c>
      <c r="O13" s="294" t="s">
        <v>217</v>
      </c>
      <c r="P13" s="294" t="s">
        <v>217</v>
      </c>
      <c r="Q13" s="294" t="s">
        <v>221</v>
      </c>
      <c r="R13" s="294" t="s">
        <v>221</v>
      </c>
      <c r="S13" s="294" t="s">
        <v>221</v>
      </c>
      <c r="T13" s="294" t="s">
        <v>222</v>
      </c>
      <c r="U13" s="294" t="s">
        <v>223</v>
      </c>
      <c r="V13" s="294" t="s">
        <v>222</v>
      </c>
      <c r="W13" s="669"/>
      <c r="X13" s="294" t="s">
        <v>183</v>
      </c>
      <c r="Y13" s="294" t="s">
        <v>183</v>
      </c>
      <c r="Z13" s="294" t="s">
        <v>195</v>
      </c>
      <c r="AA13" s="294" t="s">
        <v>196</v>
      </c>
      <c r="AB13" s="294" t="s">
        <v>191</v>
      </c>
      <c r="AC13" s="294" t="s">
        <v>185</v>
      </c>
      <c r="AD13" s="294" t="s">
        <v>197</v>
      </c>
      <c r="AE13" s="294" t="s">
        <v>197</v>
      </c>
      <c r="AF13" s="294" t="s">
        <v>197</v>
      </c>
      <c r="AG13" s="294" t="s">
        <v>192</v>
      </c>
      <c r="AH13" s="294" t="s">
        <v>192</v>
      </c>
      <c r="AI13" s="294" t="s">
        <v>193</v>
      </c>
      <c r="AJ13" s="294" t="s">
        <v>188</v>
      </c>
      <c r="AK13" s="294" t="s">
        <v>188</v>
      </c>
      <c r="AL13" s="294" t="s">
        <v>188</v>
      </c>
      <c r="AM13" s="294" t="s">
        <v>189</v>
      </c>
      <c r="AN13" s="294" t="s">
        <v>189</v>
      </c>
      <c r="AO13" s="294" t="s">
        <v>189</v>
      </c>
      <c r="AP13" s="294" t="s">
        <v>190</v>
      </c>
      <c r="AQ13" s="294" t="s">
        <v>194</v>
      </c>
      <c r="AR13" s="294" t="s">
        <v>190</v>
      </c>
      <c r="AS13" s="669"/>
      <c r="AT13" s="294">
        <v>0.65</v>
      </c>
      <c r="AU13" s="294">
        <v>0.6</v>
      </c>
      <c r="AV13" s="294">
        <v>0.9</v>
      </c>
      <c r="AW13" s="294">
        <v>0.65</v>
      </c>
      <c r="AX13" s="294">
        <v>0.25</v>
      </c>
      <c r="AY13" s="294">
        <v>1.17</v>
      </c>
      <c r="AZ13" s="294">
        <v>1.17</v>
      </c>
      <c r="BA13" s="294">
        <v>1.3</v>
      </c>
      <c r="BB13" s="294">
        <v>1.3</v>
      </c>
      <c r="BC13" s="294">
        <v>0.69</v>
      </c>
      <c r="BD13" s="294">
        <v>0.69</v>
      </c>
      <c r="BE13" s="294">
        <v>0.39</v>
      </c>
      <c r="BF13" s="294">
        <v>0.19</v>
      </c>
      <c r="BG13" s="294">
        <v>0.65</v>
      </c>
      <c r="BH13" s="294">
        <v>0.34</v>
      </c>
      <c r="BI13" s="294">
        <v>0.39</v>
      </c>
      <c r="BJ13" s="295">
        <v>0.19</v>
      </c>
    </row>
    <row r="14" spans="1:62" s="281" customFormat="1" ht="57" x14ac:dyDescent="0.3">
      <c r="A14" s="299" t="s">
        <v>907</v>
      </c>
      <c r="B14" s="303" t="s">
        <v>819</v>
      </c>
      <c r="C14" s="284" t="s">
        <v>819</v>
      </c>
      <c r="D14" s="284" t="s">
        <v>848</v>
      </c>
      <c r="E14" s="284" t="s">
        <v>849</v>
      </c>
      <c r="F14" s="284" t="s">
        <v>840</v>
      </c>
      <c r="G14" s="284" t="s">
        <v>823</v>
      </c>
      <c r="H14" s="284" t="s">
        <v>825</v>
      </c>
      <c r="I14" s="284" t="s">
        <v>825</v>
      </c>
      <c r="J14" s="284" t="s">
        <v>825</v>
      </c>
      <c r="K14" s="284" t="s">
        <v>841</v>
      </c>
      <c r="L14" s="284" t="s">
        <v>841</v>
      </c>
      <c r="M14" s="284" t="s">
        <v>842</v>
      </c>
      <c r="N14" s="284" t="s">
        <v>827</v>
      </c>
      <c r="O14" s="284" t="s">
        <v>827</v>
      </c>
      <c r="P14" s="284" t="s">
        <v>827</v>
      </c>
      <c r="Q14" s="284" t="s">
        <v>828</v>
      </c>
      <c r="R14" s="284" t="s">
        <v>828</v>
      </c>
      <c r="S14" s="284" t="s">
        <v>828</v>
      </c>
      <c r="T14" s="284" t="s">
        <v>829</v>
      </c>
      <c r="U14" s="284" t="s">
        <v>843</v>
      </c>
      <c r="V14" s="284" t="s">
        <v>829</v>
      </c>
      <c r="W14" s="669"/>
      <c r="X14" s="284" t="s">
        <v>831</v>
      </c>
      <c r="Y14" s="284" t="s">
        <v>831</v>
      </c>
      <c r="Z14" s="284" t="s">
        <v>850</v>
      </c>
      <c r="AA14" s="284" t="s">
        <v>851</v>
      </c>
      <c r="AB14" s="284" t="s">
        <v>844</v>
      </c>
      <c r="AC14" s="284" t="s">
        <v>833</v>
      </c>
      <c r="AD14" s="284" t="s">
        <v>835</v>
      </c>
      <c r="AE14" s="284" t="s">
        <v>835</v>
      </c>
      <c r="AF14" s="284" t="s">
        <v>835</v>
      </c>
      <c r="AG14" s="284" t="s">
        <v>845</v>
      </c>
      <c r="AH14" s="284" t="s">
        <v>845</v>
      </c>
      <c r="AI14" s="284" t="s">
        <v>846</v>
      </c>
      <c r="AJ14" s="284" t="s">
        <v>837</v>
      </c>
      <c r="AK14" s="284" t="s">
        <v>837</v>
      </c>
      <c r="AL14" s="284" t="s">
        <v>837</v>
      </c>
      <c r="AM14" s="284" t="s">
        <v>838</v>
      </c>
      <c r="AN14" s="284" t="s">
        <v>838</v>
      </c>
      <c r="AO14" s="284" t="s">
        <v>838</v>
      </c>
      <c r="AP14" s="284" t="s">
        <v>839</v>
      </c>
      <c r="AQ14" s="284" t="s">
        <v>847</v>
      </c>
      <c r="AR14" s="284" t="s">
        <v>839</v>
      </c>
      <c r="AS14" s="669"/>
      <c r="AT14" s="284">
        <v>3.69</v>
      </c>
      <c r="AU14" s="284">
        <v>3.41</v>
      </c>
      <c r="AV14" s="284">
        <v>5.1100000000000003</v>
      </c>
      <c r="AW14" s="284">
        <v>3.69</v>
      </c>
      <c r="AX14" s="284">
        <v>0.25</v>
      </c>
      <c r="AY14" s="284">
        <v>6.64</v>
      </c>
      <c r="AZ14" s="284">
        <v>6.64</v>
      </c>
      <c r="BA14" s="284">
        <v>7.38</v>
      </c>
      <c r="BB14" s="284">
        <v>7.38</v>
      </c>
      <c r="BC14" s="284">
        <v>3.92</v>
      </c>
      <c r="BD14" s="284">
        <v>3.92</v>
      </c>
      <c r="BE14" s="284">
        <v>0.39</v>
      </c>
      <c r="BF14" s="284">
        <v>0.19</v>
      </c>
      <c r="BG14" s="284">
        <v>0.65</v>
      </c>
      <c r="BH14" s="284">
        <v>0.34</v>
      </c>
      <c r="BI14" s="284">
        <v>0.39</v>
      </c>
      <c r="BJ14" s="293">
        <v>0.19</v>
      </c>
    </row>
    <row r="15" spans="1:62" s="281" customFormat="1" ht="57" x14ac:dyDescent="0.3">
      <c r="A15" s="300" t="s">
        <v>883</v>
      </c>
      <c r="B15" s="304" t="s">
        <v>225</v>
      </c>
      <c r="C15" s="294" t="s">
        <v>225</v>
      </c>
      <c r="D15" s="294" t="s">
        <v>227</v>
      </c>
      <c r="E15" s="294" t="s">
        <v>234</v>
      </c>
      <c r="F15" s="294" t="s">
        <v>233</v>
      </c>
      <c r="G15" s="294" t="s">
        <v>231</v>
      </c>
      <c r="H15" s="294" t="s">
        <v>237</v>
      </c>
      <c r="I15" s="294" t="s">
        <v>237</v>
      </c>
      <c r="J15" s="294" t="s">
        <v>237</v>
      </c>
      <c r="K15" s="294" t="s">
        <v>213</v>
      </c>
      <c r="L15" s="294" t="s">
        <v>213</v>
      </c>
      <c r="M15" s="294" t="s">
        <v>214</v>
      </c>
      <c r="N15" s="294" t="s">
        <v>217</v>
      </c>
      <c r="O15" s="294" t="s">
        <v>217</v>
      </c>
      <c r="P15" s="294" t="s">
        <v>217</v>
      </c>
      <c r="Q15" s="294" t="s">
        <v>221</v>
      </c>
      <c r="R15" s="294" t="s">
        <v>221</v>
      </c>
      <c r="S15" s="294" t="s">
        <v>221</v>
      </c>
      <c r="T15" s="294" t="s">
        <v>222</v>
      </c>
      <c r="U15" s="294" t="s">
        <v>223</v>
      </c>
      <c r="V15" s="294" t="s">
        <v>222</v>
      </c>
      <c r="W15" s="669"/>
      <c r="X15" s="294" t="s">
        <v>183</v>
      </c>
      <c r="Y15" s="294" t="s">
        <v>183</v>
      </c>
      <c r="Z15" s="294" t="s">
        <v>195</v>
      </c>
      <c r="AA15" s="294" t="s">
        <v>196</v>
      </c>
      <c r="AB15" s="294" t="s">
        <v>191</v>
      </c>
      <c r="AC15" s="294" t="s">
        <v>185</v>
      </c>
      <c r="AD15" s="294" t="s">
        <v>197</v>
      </c>
      <c r="AE15" s="294" t="s">
        <v>197</v>
      </c>
      <c r="AF15" s="294" t="s">
        <v>197</v>
      </c>
      <c r="AG15" s="294" t="s">
        <v>192</v>
      </c>
      <c r="AH15" s="294" t="s">
        <v>192</v>
      </c>
      <c r="AI15" s="294" t="s">
        <v>193</v>
      </c>
      <c r="AJ15" s="294" t="s">
        <v>188</v>
      </c>
      <c r="AK15" s="294" t="s">
        <v>188</v>
      </c>
      <c r="AL15" s="294" t="s">
        <v>188</v>
      </c>
      <c r="AM15" s="294" t="s">
        <v>189</v>
      </c>
      <c r="AN15" s="294" t="s">
        <v>189</v>
      </c>
      <c r="AO15" s="294" t="s">
        <v>189</v>
      </c>
      <c r="AP15" s="294" t="s">
        <v>190</v>
      </c>
      <c r="AQ15" s="294" t="s">
        <v>194</v>
      </c>
      <c r="AR15" s="294" t="s">
        <v>190</v>
      </c>
      <c r="AS15" s="669"/>
      <c r="AT15" s="294">
        <v>0.65</v>
      </c>
      <c r="AU15" s="294">
        <v>0.6</v>
      </c>
      <c r="AV15" s="294">
        <v>0.9</v>
      </c>
      <c r="AW15" s="294">
        <v>0.65</v>
      </c>
      <c r="AX15" s="294">
        <v>0.25</v>
      </c>
      <c r="AY15" s="294">
        <v>1.17</v>
      </c>
      <c r="AZ15" s="294">
        <v>1.17</v>
      </c>
      <c r="BA15" s="294">
        <v>1.3</v>
      </c>
      <c r="BB15" s="294">
        <v>1.3</v>
      </c>
      <c r="BC15" s="294">
        <v>0.69</v>
      </c>
      <c r="BD15" s="294">
        <v>0.69</v>
      </c>
      <c r="BE15" s="294">
        <v>0.39</v>
      </c>
      <c r="BF15" s="294">
        <v>0.19</v>
      </c>
      <c r="BG15" s="294">
        <v>0.65</v>
      </c>
      <c r="BH15" s="294">
        <v>0.34</v>
      </c>
      <c r="BI15" s="294">
        <v>0.39</v>
      </c>
      <c r="BJ15" s="295">
        <v>0.19</v>
      </c>
    </row>
    <row r="16" spans="1:62" s="281" customFormat="1" ht="57" x14ac:dyDescent="0.3">
      <c r="A16" s="299" t="s">
        <v>906</v>
      </c>
      <c r="B16" s="303" t="s">
        <v>819</v>
      </c>
      <c r="C16" s="284" t="s">
        <v>819</v>
      </c>
      <c r="D16" s="284" t="s">
        <v>848</v>
      </c>
      <c r="E16" s="284" t="s">
        <v>849</v>
      </c>
      <c r="F16" s="284" t="s">
        <v>840</v>
      </c>
      <c r="G16" s="284" t="s">
        <v>823</v>
      </c>
      <c r="H16" s="284" t="s">
        <v>825</v>
      </c>
      <c r="I16" s="284" t="s">
        <v>825</v>
      </c>
      <c r="J16" s="284" t="s">
        <v>825</v>
      </c>
      <c r="K16" s="284" t="s">
        <v>841</v>
      </c>
      <c r="L16" s="284" t="s">
        <v>841</v>
      </c>
      <c r="M16" s="284" t="s">
        <v>842</v>
      </c>
      <c r="N16" s="284" t="s">
        <v>827</v>
      </c>
      <c r="O16" s="284" t="s">
        <v>827</v>
      </c>
      <c r="P16" s="284" t="s">
        <v>827</v>
      </c>
      <c r="Q16" s="284" t="s">
        <v>828</v>
      </c>
      <c r="R16" s="284" t="s">
        <v>828</v>
      </c>
      <c r="S16" s="284" t="s">
        <v>828</v>
      </c>
      <c r="T16" s="284" t="s">
        <v>829</v>
      </c>
      <c r="U16" s="284" t="s">
        <v>843</v>
      </c>
      <c r="V16" s="284" t="s">
        <v>829</v>
      </c>
      <c r="W16" s="669"/>
      <c r="X16" s="284" t="s">
        <v>831</v>
      </c>
      <c r="Y16" s="284" t="s">
        <v>831</v>
      </c>
      <c r="Z16" s="284" t="s">
        <v>850</v>
      </c>
      <c r="AA16" s="284" t="s">
        <v>851</v>
      </c>
      <c r="AB16" s="284" t="s">
        <v>844</v>
      </c>
      <c r="AC16" s="284" t="s">
        <v>833</v>
      </c>
      <c r="AD16" s="284" t="s">
        <v>835</v>
      </c>
      <c r="AE16" s="284" t="s">
        <v>835</v>
      </c>
      <c r="AF16" s="284" t="s">
        <v>835</v>
      </c>
      <c r="AG16" s="284" t="s">
        <v>845</v>
      </c>
      <c r="AH16" s="284" t="s">
        <v>845</v>
      </c>
      <c r="AI16" s="284" t="s">
        <v>846</v>
      </c>
      <c r="AJ16" s="284" t="s">
        <v>837</v>
      </c>
      <c r="AK16" s="284" t="s">
        <v>837</v>
      </c>
      <c r="AL16" s="284" t="s">
        <v>837</v>
      </c>
      <c r="AM16" s="284" t="s">
        <v>838</v>
      </c>
      <c r="AN16" s="284" t="s">
        <v>838</v>
      </c>
      <c r="AO16" s="284" t="s">
        <v>838</v>
      </c>
      <c r="AP16" s="284" t="s">
        <v>839</v>
      </c>
      <c r="AQ16" s="284" t="s">
        <v>847</v>
      </c>
      <c r="AR16" s="284" t="s">
        <v>839</v>
      </c>
      <c r="AS16" s="669"/>
      <c r="AT16" s="284">
        <v>3.69</v>
      </c>
      <c r="AU16" s="284">
        <v>3.41</v>
      </c>
      <c r="AV16" s="284">
        <v>5.1100000000000003</v>
      </c>
      <c r="AW16" s="284">
        <v>3.69</v>
      </c>
      <c r="AX16" s="284">
        <v>0.25</v>
      </c>
      <c r="AY16" s="284">
        <v>6.64</v>
      </c>
      <c r="AZ16" s="284">
        <v>6.64</v>
      </c>
      <c r="BA16" s="284">
        <v>7.38</v>
      </c>
      <c r="BB16" s="284">
        <v>7.38</v>
      </c>
      <c r="BC16" s="284">
        <v>3.92</v>
      </c>
      <c r="BD16" s="284">
        <v>3.92</v>
      </c>
      <c r="BE16" s="284">
        <v>0.39</v>
      </c>
      <c r="BF16" s="284">
        <v>0.19</v>
      </c>
      <c r="BG16" s="284">
        <v>0.65</v>
      </c>
      <c r="BH16" s="284">
        <v>0.34</v>
      </c>
      <c r="BI16" s="284">
        <v>0.39</v>
      </c>
      <c r="BJ16" s="293">
        <v>0.19</v>
      </c>
    </row>
    <row r="17" spans="1:62" s="281" customFormat="1" ht="57" x14ac:dyDescent="0.3">
      <c r="A17" s="300" t="s">
        <v>884</v>
      </c>
      <c r="B17" s="304" t="s">
        <v>225</v>
      </c>
      <c r="C17" s="294" t="s">
        <v>225</v>
      </c>
      <c r="D17" s="294" t="s">
        <v>227</v>
      </c>
      <c r="E17" s="294" t="s">
        <v>233</v>
      </c>
      <c r="F17" s="294" t="s">
        <v>233</v>
      </c>
      <c r="G17" s="294" t="s">
        <v>231</v>
      </c>
      <c r="H17" s="294" t="s">
        <v>237</v>
      </c>
      <c r="I17" s="294" t="s">
        <v>238</v>
      </c>
      <c r="J17" s="294" t="s">
        <v>237</v>
      </c>
      <c r="K17" s="294" t="s">
        <v>215</v>
      </c>
      <c r="L17" s="294" t="s">
        <v>215</v>
      </c>
      <c r="M17" s="294" t="s">
        <v>214</v>
      </c>
      <c r="N17" s="294" t="s">
        <v>217</v>
      </c>
      <c r="O17" s="294" t="s">
        <v>218</v>
      </c>
      <c r="P17" s="294" t="s">
        <v>217</v>
      </c>
      <c r="Q17" s="294" t="s">
        <v>221</v>
      </c>
      <c r="R17" s="294" t="s">
        <v>221</v>
      </c>
      <c r="S17" s="294" t="s">
        <v>221</v>
      </c>
      <c r="T17" s="294" t="s">
        <v>223</v>
      </c>
      <c r="U17" s="294" t="s">
        <v>223</v>
      </c>
      <c r="V17" s="294" t="s">
        <v>222</v>
      </c>
      <c r="W17" s="669"/>
      <c r="X17" s="294" t="s">
        <v>183</v>
      </c>
      <c r="Y17" s="294" t="s">
        <v>183</v>
      </c>
      <c r="Z17" s="294" t="s">
        <v>195</v>
      </c>
      <c r="AA17" s="294" t="s">
        <v>191</v>
      </c>
      <c r="AB17" s="294" t="s">
        <v>191</v>
      </c>
      <c r="AC17" s="294" t="s">
        <v>185</v>
      </c>
      <c r="AD17" s="294" t="s">
        <v>197</v>
      </c>
      <c r="AE17" s="294" t="s">
        <v>198</v>
      </c>
      <c r="AF17" s="294" t="s">
        <v>197</v>
      </c>
      <c r="AG17" s="294" t="s">
        <v>199</v>
      </c>
      <c r="AH17" s="294" t="s">
        <v>199</v>
      </c>
      <c r="AI17" s="294" t="s">
        <v>193</v>
      </c>
      <c r="AJ17" s="294" t="s">
        <v>188</v>
      </c>
      <c r="AK17" s="294" t="s">
        <v>200</v>
      </c>
      <c r="AL17" s="294" t="s">
        <v>188</v>
      </c>
      <c r="AM17" s="294" t="s">
        <v>189</v>
      </c>
      <c r="AN17" s="294" t="s">
        <v>189</v>
      </c>
      <c r="AO17" s="294" t="s">
        <v>189</v>
      </c>
      <c r="AP17" s="294" t="s">
        <v>201</v>
      </c>
      <c r="AQ17" s="294" t="s">
        <v>194</v>
      </c>
      <c r="AR17" s="294" t="s">
        <v>190</v>
      </c>
      <c r="AS17" s="669"/>
      <c r="AT17" s="294">
        <v>0.4</v>
      </c>
      <c r="AU17" s="294">
        <v>0.5</v>
      </c>
      <c r="AV17" s="294">
        <v>0.85</v>
      </c>
      <c r="AW17" s="294">
        <v>0.55000000000000004</v>
      </c>
      <c r="AX17" s="294">
        <v>0.4</v>
      </c>
      <c r="AY17" s="294">
        <v>1.17</v>
      </c>
      <c r="AZ17" s="294">
        <v>1.17</v>
      </c>
      <c r="BA17" s="294">
        <v>1.3</v>
      </c>
      <c r="BB17" s="294">
        <v>1.3</v>
      </c>
      <c r="BC17" s="294">
        <v>0.69</v>
      </c>
      <c r="BD17" s="294">
        <v>0.69</v>
      </c>
      <c r="BE17" s="294">
        <v>0.49</v>
      </c>
      <c r="BF17" s="294">
        <v>0.39</v>
      </c>
      <c r="BG17" s="294">
        <v>0.65</v>
      </c>
      <c r="BH17" s="294">
        <v>0.34</v>
      </c>
      <c r="BI17" s="294">
        <v>0.49</v>
      </c>
      <c r="BJ17" s="295">
        <v>0.39</v>
      </c>
    </row>
    <row r="18" spans="1:62" s="281" customFormat="1" ht="57" x14ac:dyDescent="0.3">
      <c r="A18" s="299" t="s">
        <v>905</v>
      </c>
      <c r="B18" s="303" t="s">
        <v>819</v>
      </c>
      <c r="C18" s="284" t="s">
        <v>819</v>
      </c>
      <c r="D18" s="284" t="s">
        <v>848</v>
      </c>
      <c r="E18" s="284" t="s">
        <v>840</v>
      </c>
      <c r="F18" s="284" t="s">
        <v>840</v>
      </c>
      <c r="G18" s="284" t="s">
        <v>823</v>
      </c>
      <c r="H18" s="284" t="s">
        <v>825</v>
      </c>
      <c r="I18" s="284" t="s">
        <v>852</v>
      </c>
      <c r="J18" s="284" t="s">
        <v>825</v>
      </c>
      <c r="K18" s="284" t="s">
        <v>853</v>
      </c>
      <c r="L18" s="284" t="s">
        <v>853</v>
      </c>
      <c r="M18" s="284" t="s">
        <v>842</v>
      </c>
      <c r="N18" s="284" t="s">
        <v>827</v>
      </c>
      <c r="O18" s="284" t="s">
        <v>854</v>
      </c>
      <c r="P18" s="284" t="s">
        <v>827</v>
      </c>
      <c r="Q18" s="284" t="s">
        <v>828</v>
      </c>
      <c r="R18" s="284" t="s">
        <v>828</v>
      </c>
      <c r="S18" s="284" t="s">
        <v>828</v>
      </c>
      <c r="T18" s="284" t="s">
        <v>843</v>
      </c>
      <c r="U18" s="284" t="s">
        <v>843</v>
      </c>
      <c r="V18" s="284" t="s">
        <v>829</v>
      </c>
      <c r="W18" s="669"/>
      <c r="X18" s="284" t="s">
        <v>831</v>
      </c>
      <c r="Y18" s="284" t="s">
        <v>831</v>
      </c>
      <c r="Z18" s="284" t="s">
        <v>850</v>
      </c>
      <c r="AA18" s="284" t="s">
        <v>844</v>
      </c>
      <c r="AB18" s="284" t="s">
        <v>844</v>
      </c>
      <c r="AC18" s="284" t="s">
        <v>833</v>
      </c>
      <c r="AD18" s="284" t="s">
        <v>835</v>
      </c>
      <c r="AE18" s="284" t="s">
        <v>855</v>
      </c>
      <c r="AF18" s="284" t="s">
        <v>835</v>
      </c>
      <c r="AG18" s="284" t="s">
        <v>856</v>
      </c>
      <c r="AH18" s="284" t="s">
        <v>856</v>
      </c>
      <c r="AI18" s="284" t="s">
        <v>846</v>
      </c>
      <c r="AJ18" s="284" t="s">
        <v>837</v>
      </c>
      <c r="AK18" s="284" t="s">
        <v>857</v>
      </c>
      <c r="AL18" s="284" t="s">
        <v>837</v>
      </c>
      <c r="AM18" s="284" t="s">
        <v>838</v>
      </c>
      <c r="AN18" s="284" t="s">
        <v>838</v>
      </c>
      <c r="AO18" s="284" t="s">
        <v>838</v>
      </c>
      <c r="AP18" s="284" t="s">
        <v>847</v>
      </c>
      <c r="AQ18" s="284" t="s">
        <v>847</v>
      </c>
      <c r="AR18" s="284" t="s">
        <v>839</v>
      </c>
      <c r="AS18" s="669"/>
      <c r="AT18" s="284">
        <v>2.27</v>
      </c>
      <c r="AU18" s="284">
        <v>2.84</v>
      </c>
      <c r="AV18" s="284">
        <v>4.83</v>
      </c>
      <c r="AW18" s="284">
        <v>3.12</v>
      </c>
      <c r="AX18" s="284">
        <v>0.4</v>
      </c>
      <c r="AY18" s="284">
        <v>6.64</v>
      </c>
      <c r="AZ18" s="284">
        <v>6.64</v>
      </c>
      <c r="BA18" s="284">
        <v>7.38</v>
      </c>
      <c r="BB18" s="284">
        <v>7.38</v>
      </c>
      <c r="BC18" s="284">
        <v>3.92</v>
      </c>
      <c r="BD18" s="284">
        <v>3.92</v>
      </c>
      <c r="BE18" s="284">
        <v>0.49</v>
      </c>
      <c r="BF18" s="284">
        <v>0.39</v>
      </c>
      <c r="BG18" s="284">
        <v>0.65</v>
      </c>
      <c r="BH18" s="284">
        <v>0.34</v>
      </c>
      <c r="BI18" s="284">
        <v>0.49</v>
      </c>
      <c r="BJ18" s="293">
        <v>0.39</v>
      </c>
    </row>
    <row r="19" spans="1:62" s="281" customFormat="1" ht="57" x14ac:dyDescent="0.3">
      <c r="A19" s="300" t="s">
        <v>885</v>
      </c>
      <c r="B19" s="304" t="s">
        <v>225</v>
      </c>
      <c r="C19" s="294" t="s">
        <v>225</v>
      </c>
      <c r="D19" s="294" t="s">
        <v>227</v>
      </c>
      <c r="E19" s="294" t="s">
        <v>233</v>
      </c>
      <c r="F19" s="294" t="s">
        <v>233</v>
      </c>
      <c r="G19" s="294" t="s">
        <v>231</v>
      </c>
      <c r="H19" s="294" t="s">
        <v>237</v>
      </c>
      <c r="I19" s="294" t="s">
        <v>238</v>
      </c>
      <c r="J19" s="294" t="s">
        <v>237</v>
      </c>
      <c r="K19" s="294" t="s">
        <v>215</v>
      </c>
      <c r="L19" s="294" t="s">
        <v>215</v>
      </c>
      <c r="M19" s="294" t="s">
        <v>214</v>
      </c>
      <c r="N19" s="294" t="s">
        <v>217</v>
      </c>
      <c r="O19" s="294" t="s">
        <v>218</v>
      </c>
      <c r="P19" s="294" t="s">
        <v>217</v>
      </c>
      <c r="Q19" s="294" t="s">
        <v>221</v>
      </c>
      <c r="R19" s="294" t="s">
        <v>221</v>
      </c>
      <c r="S19" s="294" t="s">
        <v>221</v>
      </c>
      <c r="T19" s="294" t="s">
        <v>223</v>
      </c>
      <c r="U19" s="294" t="s">
        <v>223</v>
      </c>
      <c r="V19" s="294" t="s">
        <v>222</v>
      </c>
      <c r="W19" s="669"/>
      <c r="X19" s="294" t="s">
        <v>183</v>
      </c>
      <c r="Y19" s="294" t="s">
        <v>183</v>
      </c>
      <c r="Z19" s="294" t="s">
        <v>195</v>
      </c>
      <c r="AA19" s="294" t="s">
        <v>191</v>
      </c>
      <c r="AB19" s="294" t="s">
        <v>191</v>
      </c>
      <c r="AC19" s="294" t="s">
        <v>185</v>
      </c>
      <c r="AD19" s="294" t="s">
        <v>197</v>
      </c>
      <c r="AE19" s="294" t="s">
        <v>198</v>
      </c>
      <c r="AF19" s="294" t="s">
        <v>197</v>
      </c>
      <c r="AG19" s="294" t="s">
        <v>199</v>
      </c>
      <c r="AH19" s="294" t="s">
        <v>199</v>
      </c>
      <c r="AI19" s="294" t="s">
        <v>193</v>
      </c>
      <c r="AJ19" s="294" t="s">
        <v>188</v>
      </c>
      <c r="AK19" s="294" t="s">
        <v>200</v>
      </c>
      <c r="AL19" s="294" t="s">
        <v>188</v>
      </c>
      <c r="AM19" s="294" t="s">
        <v>189</v>
      </c>
      <c r="AN19" s="294" t="s">
        <v>189</v>
      </c>
      <c r="AO19" s="294" t="s">
        <v>189</v>
      </c>
      <c r="AP19" s="294" t="s">
        <v>201</v>
      </c>
      <c r="AQ19" s="294" t="s">
        <v>194</v>
      </c>
      <c r="AR19" s="294" t="s">
        <v>190</v>
      </c>
      <c r="AS19" s="669"/>
      <c r="AT19" s="294">
        <v>0.4</v>
      </c>
      <c r="AU19" s="294">
        <v>0.5</v>
      </c>
      <c r="AV19" s="294">
        <v>0.85</v>
      </c>
      <c r="AW19" s="294">
        <v>0.55000000000000004</v>
      </c>
      <c r="AX19" s="294">
        <v>0.4</v>
      </c>
      <c r="AY19" s="294">
        <v>1.17</v>
      </c>
      <c r="AZ19" s="294">
        <v>1.17</v>
      </c>
      <c r="BA19" s="294">
        <v>1.3</v>
      </c>
      <c r="BB19" s="294">
        <v>1.3</v>
      </c>
      <c r="BC19" s="294">
        <v>0.69</v>
      </c>
      <c r="BD19" s="294">
        <v>0.69</v>
      </c>
      <c r="BE19" s="294">
        <v>0.49</v>
      </c>
      <c r="BF19" s="294">
        <v>0.39</v>
      </c>
      <c r="BG19" s="294">
        <v>0.65</v>
      </c>
      <c r="BH19" s="294">
        <v>0.34</v>
      </c>
      <c r="BI19" s="294">
        <v>0.49</v>
      </c>
      <c r="BJ19" s="295">
        <v>0.39</v>
      </c>
    </row>
    <row r="20" spans="1:62" s="281" customFormat="1" ht="57" x14ac:dyDescent="0.3">
      <c r="A20" s="299" t="s">
        <v>904</v>
      </c>
      <c r="B20" s="303" t="s">
        <v>819</v>
      </c>
      <c r="C20" s="284" t="s">
        <v>819</v>
      </c>
      <c r="D20" s="284" t="s">
        <v>848</v>
      </c>
      <c r="E20" s="284" t="s">
        <v>840</v>
      </c>
      <c r="F20" s="284" t="s">
        <v>840</v>
      </c>
      <c r="G20" s="284" t="s">
        <v>823</v>
      </c>
      <c r="H20" s="284" t="s">
        <v>825</v>
      </c>
      <c r="I20" s="284" t="s">
        <v>852</v>
      </c>
      <c r="J20" s="284" t="s">
        <v>825</v>
      </c>
      <c r="K20" s="284" t="s">
        <v>853</v>
      </c>
      <c r="L20" s="284" t="s">
        <v>853</v>
      </c>
      <c r="M20" s="284" t="s">
        <v>842</v>
      </c>
      <c r="N20" s="284" t="s">
        <v>827</v>
      </c>
      <c r="O20" s="284" t="s">
        <v>854</v>
      </c>
      <c r="P20" s="284" t="s">
        <v>827</v>
      </c>
      <c r="Q20" s="284" t="s">
        <v>828</v>
      </c>
      <c r="R20" s="284" t="s">
        <v>828</v>
      </c>
      <c r="S20" s="284" t="s">
        <v>828</v>
      </c>
      <c r="T20" s="284" t="s">
        <v>843</v>
      </c>
      <c r="U20" s="284" t="s">
        <v>843</v>
      </c>
      <c r="V20" s="284" t="s">
        <v>829</v>
      </c>
      <c r="W20" s="669"/>
      <c r="X20" s="284" t="s">
        <v>831</v>
      </c>
      <c r="Y20" s="284" t="s">
        <v>831</v>
      </c>
      <c r="Z20" s="284" t="s">
        <v>850</v>
      </c>
      <c r="AA20" s="284" t="s">
        <v>844</v>
      </c>
      <c r="AB20" s="284" t="s">
        <v>844</v>
      </c>
      <c r="AC20" s="284" t="s">
        <v>833</v>
      </c>
      <c r="AD20" s="284" t="s">
        <v>835</v>
      </c>
      <c r="AE20" s="284" t="s">
        <v>855</v>
      </c>
      <c r="AF20" s="284" t="s">
        <v>835</v>
      </c>
      <c r="AG20" s="284" t="s">
        <v>856</v>
      </c>
      <c r="AH20" s="284" t="s">
        <v>856</v>
      </c>
      <c r="AI20" s="284" t="s">
        <v>846</v>
      </c>
      <c r="AJ20" s="284" t="s">
        <v>837</v>
      </c>
      <c r="AK20" s="284" t="s">
        <v>857</v>
      </c>
      <c r="AL20" s="284" t="s">
        <v>837</v>
      </c>
      <c r="AM20" s="284" t="s">
        <v>838</v>
      </c>
      <c r="AN20" s="284" t="s">
        <v>838</v>
      </c>
      <c r="AO20" s="284" t="s">
        <v>838</v>
      </c>
      <c r="AP20" s="284" t="s">
        <v>847</v>
      </c>
      <c r="AQ20" s="284" t="s">
        <v>847</v>
      </c>
      <c r="AR20" s="284" t="s">
        <v>839</v>
      </c>
      <c r="AS20" s="669"/>
      <c r="AT20" s="284">
        <v>2.27</v>
      </c>
      <c r="AU20" s="284">
        <v>2.84</v>
      </c>
      <c r="AV20" s="284">
        <v>4.83</v>
      </c>
      <c r="AW20" s="284">
        <v>3.12</v>
      </c>
      <c r="AX20" s="284">
        <v>0.4</v>
      </c>
      <c r="AY20" s="284">
        <v>6.64</v>
      </c>
      <c r="AZ20" s="284">
        <v>6.64</v>
      </c>
      <c r="BA20" s="284">
        <v>7.38</v>
      </c>
      <c r="BB20" s="284">
        <v>7.38</v>
      </c>
      <c r="BC20" s="284">
        <v>3.92</v>
      </c>
      <c r="BD20" s="284">
        <v>3.92</v>
      </c>
      <c r="BE20" s="284">
        <v>0.49</v>
      </c>
      <c r="BF20" s="284">
        <v>0.39</v>
      </c>
      <c r="BG20" s="284">
        <v>0.65</v>
      </c>
      <c r="BH20" s="284">
        <v>0.34</v>
      </c>
      <c r="BI20" s="284">
        <v>0.49</v>
      </c>
      <c r="BJ20" s="293">
        <v>0.39</v>
      </c>
    </row>
    <row r="21" spans="1:62" s="281" customFormat="1" ht="57" x14ac:dyDescent="0.3">
      <c r="A21" s="300" t="s">
        <v>886</v>
      </c>
      <c r="B21" s="304" t="s">
        <v>225</v>
      </c>
      <c r="C21" s="294" t="s">
        <v>225</v>
      </c>
      <c r="D21" s="294" t="s">
        <v>227</v>
      </c>
      <c r="E21" s="294" t="s">
        <v>233</v>
      </c>
      <c r="F21" s="294" t="s">
        <v>233</v>
      </c>
      <c r="G21" s="294" t="s">
        <v>231</v>
      </c>
      <c r="H21" s="294" t="s">
        <v>237</v>
      </c>
      <c r="I21" s="294" t="s">
        <v>238</v>
      </c>
      <c r="J21" s="294" t="s">
        <v>237</v>
      </c>
      <c r="K21" s="294" t="s">
        <v>215</v>
      </c>
      <c r="L21" s="294" t="s">
        <v>215</v>
      </c>
      <c r="M21" s="294" t="s">
        <v>214</v>
      </c>
      <c r="N21" s="294" t="s">
        <v>217</v>
      </c>
      <c r="O21" s="294" t="s">
        <v>218</v>
      </c>
      <c r="P21" s="294" t="s">
        <v>217</v>
      </c>
      <c r="Q21" s="294" t="s">
        <v>221</v>
      </c>
      <c r="R21" s="294" t="s">
        <v>221</v>
      </c>
      <c r="S21" s="294" t="s">
        <v>221</v>
      </c>
      <c r="T21" s="294" t="s">
        <v>223</v>
      </c>
      <c r="U21" s="294" t="s">
        <v>223</v>
      </c>
      <c r="V21" s="294" t="s">
        <v>222</v>
      </c>
      <c r="W21" s="669"/>
      <c r="X21" s="294" t="s">
        <v>183</v>
      </c>
      <c r="Y21" s="294" t="s">
        <v>183</v>
      </c>
      <c r="Z21" s="294" t="s">
        <v>195</v>
      </c>
      <c r="AA21" s="294" t="s">
        <v>191</v>
      </c>
      <c r="AB21" s="294" t="s">
        <v>191</v>
      </c>
      <c r="AC21" s="294" t="s">
        <v>185</v>
      </c>
      <c r="AD21" s="294" t="s">
        <v>197</v>
      </c>
      <c r="AE21" s="294" t="s">
        <v>198</v>
      </c>
      <c r="AF21" s="294" t="s">
        <v>197</v>
      </c>
      <c r="AG21" s="294" t="s">
        <v>199</v>
      </c>
      <c r="AH21" s="294" t="s">
        <v>199</v>
      </c>
      <c r="AI21" s="294" t="s">
        <v>193</v>
      </c>
      <c r="AJ21" s="294" t="s">
        <v>188</v>
      </c>
      <c r="AK21" s="294" t="s">
        <v>200</v>
      </c>
      <c r="AL21" s="294" t="s">
        <v>188</v>
      </c>
      <c r="AM21" s="294" t="s">
        <v>189</v>
      </c>
      <c r="AN21" s="294" t="s">
        <v>189</v>
      </c>
      <c r="AO21" s="294" t="s">
        <v>189</v>
      </c>
      <c r="AP21" s="294" t="s">
        <v>201</v>
      </c>
      <c r="AQ21" s="294" t="s">
        <v>194</v>
      </c>
      <c r="AR21" s="294" t="s">
        <v>190</v>
      </c>
      <c r="AS21" s="669"/>
      <c r="AT21" s="294">
        <v>0.4</v>
      </c>
      <c r="AU21" s="294">
        <v>0.5</v>
      </c>
      <c r="AV21" s="294">
        <v>0.85</v>
      </c>
      <c r="AW21" s="294">
        <v>0.55000000000000004</v>
      </c>
      <c r="AX21" s="294">
        <v>0.4</v>
      </c>
      <c r="AY21" s="294">
        <v>1.17</v>
      </c>
      <c r="AZ21" s="294">
        <v>1.17</v>
      </c>
      <c r="BA21" s="294">
        <v>1.3</v>
      </c>
      <c r="BB21" s="294">
        <v>1.3</v>
      </c>
      <c r="BC21" s="294">
        <v>0.69</v>
      </c>
      <c r="BD21" s="294">
        <v>0.69</v>
      </c>
      <c r="BE21" s="294">
        <v>0.49</v>
      </c>
      <c r="BF21" s="294">
        <v>0.39</v>
      </c>
      <c r="BG21" s="294">
        <v>0.65</v>
      </c>
      <c r="BH21" s="294">
        <v>0.34</v>
      </c>
      <c r="BI21" s="294">
        <v>0.49</v>
      </c>
      <c r="BJ21" s="295">
        <v>0.39</v>
      </c>
    </row>
    <row r="22" spans="1:62" s="281" customFormat="1" ht="57" x14ac:dyDescent="0.3">
      <c r="A22" s="299" t="s">
        <v>903</v>
      </c>
      <c r="B22" s="303" t="s">
        <v>819</v>
      </c>
      <c r="C22" s="284" t="s">
        <v>819</v>
      </c>
      <c r="D22" s="284" t="s">
        <v>848</v>
      </c>
      <c r="E22" s="284" t="s">
        <v>840</v>
      </c>
      <c r="F22" s="284" t="s">
        <v>840</v>
      </c>
      <c r="G22" s="284" t="s">
        <v>823</v>
      </c>
      <c r="H22" s="284" t="s">
        <v>825</v>
      </c>
      <c r="I22" s="284" t="s">
        <v>852</v>
      </c>
      <c r="J22" s="284" t="s">
        <v>825</v>
      </c>
      <c r="K22" s="284" t="s">
        <v>853</v>
      </c>
      <c r="L22" s="284" t="s">
        <v>853</v>
      </c>
      <c r="M22" s="284" t="s">
        <v>842</v>
      </c>
      <c r="N22" s="284" t="s">
        <v>827</v>
      </c>
      <c r="O22" s="284" t="s">
        <v>854</v>
      </c>
      <c r="P22" s="284" t="s">
        <v>827</v>
      </c>
      <c r="Q22" s="284" t="s">
        <v>828</v>
      </c>
      <c r="R22" s="284" t="s">
        <v>828</v>
      </c>
      <c r="S22" s="284" t="s">
        <v>828</v>
      </c>
      <c r="T22" s="284" t="s">
        <v>843</v>
      </c>
      <c r="U22" s="284" t="s">
        <v>843</v>
      </c>
      <c r="V22" s="284" t="s">
        <v>829</v>
      </c>
      <c r="W22" s="669"/>
      <c r="X22" s="284" t="s">
        <v>831</v>
      </c>
      <c r="Y22" s="284" t="s">
        <v>831</v>
      </c>
      <c r="Z22" s="284" t="s">
        <v>850</v>
      </c>
      <c r="AA22" s="284" t="s">
        <v>844</v>
      </c>
      <c r="AB22" s="284" t="s">
        <v>844</v>
      </c>
      <c r="AC22" s="284" t="s">
        <v>833</v>
      </c>
      <c r="AD22" s="284" t="s">
        <v>835</v>
      </c>
      <c r="AE22" s="284" t="s">
        <v>855</v>
      </c>
      <c r="AF22" s="284" t="s">
        <v>835</v>
      </c>
      <c r="AG22" s="284" t="s">
        <v>856</v>
      </c>
      <c r="AH22" s="284" t="s">
        <v>856</v>
      </c>
      <c r="AI22" s="284" t="s">
        <v>846</v>
      </c>
      <c r="AJ22" s="284" t="s">
        <v>837</v>
      </c>
      <c r="AK22" s="284" t="s">
        <v>857</v>
      </c>
      <c r="AL22" s="284" t="s">
        <v>837</v>
      </c>
      <c r="AM22" s="284" t="s">
        <v>838</v>
      </c>
      <c r="AN22" s="284" t="s">
        <v>838</v>
      </c>
      <c r="AO22" s="284" t="s">
        <v>838</v>
      </c>
      <c r="AP22" s="284" t="s">
        <v>847</v>
      </c>
      <c r="AQ22" s="284" t="s">
        <v>847</v>
      </c>
      <c r="AR22" s="284" t="s">
        <v>839</v>
      </c>
      <c r="AS22" s="669"/>
      <c r="AT22" s="284">
        <v>2.27</v>
      </c>
      <c r="AU22" s="284">
        <v>2.84</v>
      </c>
      <c r="AV22" s="284">
        <v>4.83</v>
      </c>
      <c r="AW22" s="284">
        <v>3.12</v>
      </c>
      <c r="AX22" s="284">
        <v>0.4</v>
      </c>
      <c r="AY22" s="284">
        <v>6.64</v>
      </c>
      <c r="AZ22" s="284">
        <v>6.64</v>
      </c>
      <c r="BA22" s="284">
        <v>7.38</v>
      </c>
      <c r="BB22" s="284">
        <v>7.38</v>
      </c>
      <c r="BC22" s="284">
        <v>3.92</v>
      </c>
      <c r="BD22" s="284">
        <v>3.92</v>
      </c>
      <c r="BE22" s="284">
        <v>0.49</v>
      </c>
      <c r="BF22" s="284">
        <v>0.39</v>
      </c>
      <c r="BG22" s="284">
        <v>0.65</v>
      </c>
      <c r="BH22" s="284">
        <v>0.34</v>
      </c>
      <c r="BI22" s="284">
        <v>0.49</v>
      </c>
      <c r="BJ22" s="293">
        <v>0.39</v>
      </c>
    </row>
    <row r="23" spans="1:62" s="281" customFormat="1" ht="57" x14ac:dyDescent="0.3">
      <c r="A23" s="300" t="s">
        <v>887</v>
      </c>
      <c r="B23" s="304" t="s">
        <v>225</v>
      </c>
      <c r="C23" s="294" t="s">
        <v>225</v>
      </c>
      <c r="D23" s="294" t="s">
        <v>228</v>
      </c>
      <c r="E23" s="294" t="s">
        <v>233</v>
      </c>
      <c r="F23" s="294" t="s">
        <v>233</v>
      </c>
      <c r="G23" s="294" t="s">
        <v>231</v>
      </c>
      <c r="H23" s="294" t="s">
        <v>238</v>
      </c>
      <c r="I23" s="294" t="s">
        <v>238</v>
      </c>
      <c r="J23" s="294" t="s">
        <v>237</v>
      </c>
      <c r="K23" s="294" t="s">
        <v>215</v>
      </c>
      <c r="L23" s="294" t="s">
        <v>215</v>
      </c>
      <c r="M23" s="294" t="s">
        <v>213</v>
      </c>
      <c r="N23" s="294" t="s">
        <v>217</v>
      </c>
      <c r="O23" s="294" t="s">
        <v>218</v>
      </c>
      <c r="P23" s="294" t="s">
        <v>217</v>
      </c>
      <c r="Q23" s="294" t="s">
        <v>221</v>
      </c>
      <c r="R23" s="294" t="s">
        <v>223</v>
      </c>
      <c r="S23" s="294" t="s">
        <v>221</v>
      </c>
      <c r="T23" s="294" t="s">
        <v>223</v>
      </c>
      <c r="U23" s="294" t="s">
        <v>223</v>
      </c>
      <c r="V23" s="294" t="s">
        <v>222</v>
      </c>
      <c r="W23" s="669"/>
      <c r="X23" s="294" t="s">
        <v>183</v>
      </c>
      <c r="Y23" s="294" t="s">
        <v>183</v>
      </c>
      <c r="Z23" s="294" t="s">
        <v>202</v>
      </c>
      <c r="AA23" s="294" t="s">
        <v>191</v>
      </c>
      <c r="AB23" s="294" t="s">
        <v>191</v>
      </c>
      <c r="AC23" s="294" t="s">
        <v>185</v>
      </c>
      <c r="AD23" s="294" t="s">
        <v>198</v>
      </c>
      <c r="AE23" s="294" t="s">
        <v>198</v>
      </c>
      <c r="AF23" s="294" t="s">
        <v>197</v>
      </c>
      <c r="AG23" s="294" t="s">
        <v>199</v>
      </c>
      <c r="AH23" s="294" t="s">
        <v>199</v>
      </c>
      <c r="AI23" s="294" t="s">
        <v>203</v>
      </c>
      <c r="AJ23" s="294" t="s">
        <v>188</v>
      </c>
      <c r="AK23" s="294" t="s">
        <v>200</v>
      </c>
      <c r="AL23" s="294" t="s">
        <v>188</v>
      </c>
      <c r="AM23" s="294" t="s">
        <v>189</v>
      </c>
      <c r="AN23" s="294" t="s">
        <v>194</v>
      </c>
      <c r="AO23" s="294" t="s">
        <v>189</v>
      </c>
      <c r="AP23" s="294" t="s">
        <v>194</v>
      </c>
      <c r="AQ23" s="294" t="s">
        <v>194</v>
      </c>
      <c r="AR23" s="294" t="s">
        <v>190</v>
      </c>
      <c r="AS23" s="669"/>
      <c r="AT23" s="294">
        <v>0.35</v>
      </c>
      <c r="AU23" s="294">
        <v>0.45</v>
      </c>
      <c r="AV23" s="294">
        <v>0.8</v>
      </c>
      <c r="AW23" s="294">
        <v>0.55000000000000004</v>
      </c>
      <c r="AX23" s="294">
        <v>0.4</v>
      </c>
      <c r="AY23" s="294">
        <v>1.17</v>
      </c>
      <c r="AZ23" s="294">
        <v>1.17</v>
      </c>
      <c r="BA23" s="294">
        <v>1.1000000000000001</v>
      </c>
      <c r="BB23" s="294">
        <v>1.1000000000000001</v>
      </c>
      <c r="BC23" s="294">
        <v>0.69</v>
      </c>
      <c r="BD23" s="294">
        <v>0.69</v>
      </c>
      <c r="BE23" s="294">
        <v>0.49</v>
      </c>
      <c r="BF23" s="294">
        <v>0.39</v>
      </c>
      <c r="BG23" s="294">
        <v>0.77</v>
      </c>
      <c r="BH23" s="294">
        <v>0.62</v>
      </c>
      <c r="BI23" s="294">
        <v>0.49</v>
      </c>
      <c r="BJ23" s="295">
        <v>0.39</v>
      </c>
    </row>
    <row r="24" spans="1:62" s="281" customFormat="1" ht="57" x14ac:dyDescent="0.3">
      <c r="A24" s="299" t="s">
        <v>902</v>
      </c>
      <c r="B24" s="303" t="s">
        <v>819</v>
      </c>
      <c r="C24" s="284" t="s">
        <v>819</v>
      </c>
      <c r="D24" s="284" t="s">
        <v>858</v>
      </c>
      <c r="E24" s="284" t="s">
        <v>840</v>
      </c>
      <c r="F24" s="284" t="s">
        <v>840</v>
      </c>
      <c r="G24" s="284" t="s">
        <v>823</v>
      </c>
      <c r="H24" s="284" t="s">
        <v>852</v>
      </c>
      <c r="I24" s="284" t="s">
        <v>852</v>
      </c>
      <c r="J24" s="284" t="s">
        <v>825</v>
      </c>
      <c r="K24" s="284" t="s">
        <v>853</v>
      </c>
      <c r="L24" s="284" t="s">
        <v>853</v>
      </c>
      <c r="M24" s="284" t="s">
        <v>841</v>
      </c>
      <c r="N24" s="284" t="s">
        <v>827</v>
      </c>
      <c r="O24" s="284" t="s">
        <v>854</v>
      </c>
      <c r="P24" s="284" t="s">
        <v>827</v>
      </c>
      <c r="Q24" s="284" t="s">
        <v>828</v>
      </c>
      <c r="R24" s="284" t="s">
        <v>843</v>
      </c>
      <c r="S24" s="284" t="s">
        <v>828</v>
      </c>
      <c r="T24" s="284" t="s">
        <v>843</v>
      </c>
      <c r="U24" s="284" t="s">
        <v>843</v>
      </c>
      <c r="V24" s="284" t="s">
        <v>829</v>
      </c>
      <c r="W24" s="669"/>
      <c r="X24" s="284" t="s">
        <v>831</v>
      </c>
      <c r="Y24" s="284" t="s">
        <v>831</v>
      </c>
      <c r="Z24" s="284" t="s">
        <v>859</v>
      </c>
      <c r="AA24" s="284" t="s">
        <v>844</v>
      </c>
      <c r="AB24" s="284" t="s">
        <v>844</v>
      </c>
      <c r="AC24" s="284" t="s">
        <v>833</v>
      </c>
      <c r="AD24" s="284" t="s">
        <v>855</v>
      </c>
      <c r="AE24" s="284" t="s">
        <v>855</v>
      </c>
      <c r="AF24" s="284" t="s">
        <v>835</v>
      </c>
      <c r="AG24" s="284" t="s">
        <v>856</v>
      </c>
      <c r="AH24" s="284" t="s">
        <v>856</v>
      </c>
      <c r="AI24" s="284" t="s">
        <v>860</v>
      </c>
      <c r="AJ24" s="284" t="s">
        <v>837</v>
      </c>
      <c r="AK24" s="284" t="s">
        <v>857</v>
      </c>
      <c r="AL24" s="284" t="s">
        <v>837</v>
      </c>
      <c r="AM24" s="284" t="s">
        <v>838</v>
      </c>
      <c r="AN24" s="284" t="s">
        <v>847</v>
      </c>
      <c r="AO24" s="284" t="s">
        <v>838</v>
      </c>
      <c r="AP24" s="284" t="s">
        <v>847</v>
      </c>
      <c r="AQ24" s="284" t="s">
        <v>847</v>
      </c>
      <c r="AR24" s="284" t="s">
        <v>839</v>
      </c>
      <c r="AS24" s="669"/>
      <c r="AT24" s="284">
        <v>1.99</v>
      </c>
      <c r="AU24" s="284">
        <v>2.56</v>
      </c>
      <c r="AV24" s="284">
        <v>4.54</v>
      </c>
      <c r="AW24" s="284">
        <v>3.12</v>
      </c>
      <c r="AX24" s="284">
        <v>0.4</v>
      </c>
      <c r="AY24" s="284">
        <v>6.64</v>
      </c>
      <c r="AZ24" s="284">
        <v>6.64</v>
      </c>
      <c r="BA24" s="284">
        <v>6.25</v>
      </c>
      <c r="BB24" s="284">
        <v>6.25</v>
      </c>
      <c r="BC24" s="284">
        <v>3.92</v>
      </c>
      <c r="BD24" s="284">
        <v>3.92</v>
      </c>
      <c r="BE24" s="284">
        <v>0.49</v>
      </c>
      <c r="BF24" s="284">
        <v>0.39</v>
      </c>
      <c r="BG24" s="284">
        <v>0.77</v>
      </c>
      <c r="BH24" s="284">
        <v>0.62</v>
      </c>
      <c r="BI24" s="284">
        <v>0.49</v>
      </c>
      <c r="BJ24" s="293">
        <v>0.39</v>
      </c>
    </row>
    <row r="25" spans="1:62" s="281" customFormat="1" ht="57" x14ac:dyDescent="0.3">
      <c r="A25" s="300" t="s">
        <v>888</v>
      </c>
      <c r="B25" s="304" t="s">
        <v>225</v>
      </c>
      <c r="C25" s="294" t="s">
        <v>225</v>
      </c>
      <c r="D25" s="294" t="s">
        <v>228</v>
      </c>
      <c r="E25" s="294" t="s">
        <v>233</v>
      </c>
      <c r="F25" s="294" t="s">
        <v>233</v>
      </c>
      <c r="G25" s="294" t="s">
        <v>231</v>
      </c>
      <c r="H25" s="294" t="s">
        <v>238</v>
      </c>
      <c r="I25" s="294" t="s">
        <v>238</v>
      </c>
      <c r="J25" s="294" t="s">
        <v>237</v>
      </c>
      <c r="K25" s="294" t="s">
        <v>215</v>
      </c>
      <c r="L25" s="294" t="s">
        <v>215</v>
      </c>
      <c r="M25" s="294" t="s">
        <v>213</v>
      </c>
      <c r="N25" s="294" t="s">
        <v>217</v>
      </c>
      <c r="O25" s="294" t="s">
        <v>218</v>
      </c>
      <c r="P25" s="294" t="s">
        <v>217</v>
      </c>
      <c r="Q25" s="294" t="s">
        <v>221</v>
      </c>
      <c r="R25" s="294" t="s">
        <v>223</v>
      </c>
      <c r="S25" s="294" t="s">
        <v>221</v>
      </c>
      <c r="T25" s="294" t="s">
        <v>223</v>
      </c>
      <c r="U25" s="294" t="s">
        <v>223</v>
      </c>
      <c r="V25" s="294" t="s">
        <v>222</v>
      </c>
      <c r="W25" s="669"/>
      <c r="X25" s="294" t="s">
        <v>183</v>
      </c>
      <c r="Y25" s="294" t="s">
        <v>183</v>
      </c>
      <c r="Z25" s="294" t="s">
        <v>202</v>
      </c>
      <c r="AA25" s="294" t="s">
        <v>191</v>
      </c>
      <c r="AB25" s="294" t="s">
        <v>191</v>
      </c>
      <c r="AC25" s="294" t="s">
        <v>185</v>
      </c>
      <c r="AD25" s="294" t="s">
        <v>198</v>
      </c>
      <c r="AE25" s="294" t="s">
        <v>198</v>
      </c>
      <c r="AF25" s="294" t="s">
        <v>197</v>
      </c>
      <c r="AG25" s="294" t="s">
        <v>199</v>
      </c>
      <c r="AH25" s="294" t="s">
        <v>199</v>
      </c>
      <c r="AI25" s="294" t="s">
        <v>203</v>
      </c>
      <c r="AJ25" s="294" t="s">
        <v>188</v>
      </c>
      <c r="AK25" s="294" t="s">
        <v>200</v>
      </c>
      <c r="AL25" s="294" t="s">
        <v>188</v>
      </c>
      <c r="AM25" s="294" t="s">
        <v>189</v>
      </c>
      <c r="AN25" s="294" t="s">
        <v>194</v>
      </c>
      <c r="AO25" s="294" t="s">
        <v>189</v>
      </c>
      <c r="AP25" s="294" t="s">
        <v>194</v>
      </c>
      <c r="AQ25" s="294" t="s">
        <v>194</v>
      </c>
      <c r="AR25" s="294" t="s">
        <v>190</v>
      </c>
      <c r="AS25" s="669"/>
      <c r="AT25" s="294">
        <v>0.35</v>
      </c>
      <c r="AU25" s="294">
        <v>0.45</v>
      </c>
      <c r="AV25" s="294">
        <v>0.8</v>
      </c>
      <c r="AW25" s="294">
        <v>0.55000000000000004</v>
      </c>
      <c r="AX25" s="294">
        <v>0.4</v>
      </c>
      <c r="AY25" s="294">
        <v>1.17</v>
      </c>
      <c r="AZ25" s="294">
        <v>1.17</v>
      </c>
      <c r="BA25" s="294">
        <v>1.1000000000000001</v>
      </c>
      <c r="BB25" s="294">
        <v>1.1000000000000001</v>
      </c>
      <c r="BC25" s="294">
        <v>0.69</v>
      </c>
      <c r="BD25" s="294">
        <v>0.69</v>
      </c>
      <c r="BE25" s="294">
        <v>0.49</v>
      </c>
      <c r="BF25" s="294">
        <v>0.39</v>
      </c>
      <c r="BG25" s="294">
        <v>0.77</v>
      </c>
      <c r="BH25" s="294">
        <v>0.62</v>
      </c>
      <c r="BI25" s="294">
        <v>0.49</v>
      </c>
      <c r="BJ25" s="295">
        <v>0.39</v>
      </c>
    </row>
    <row r="26" spans="1:62" s="281" customFormat="1" ht="57" x14ac:dyDescent="0.3">
      <c r="A26" s="299" t="s">
        <v>901</v>
      </c>
      <c r="B26" s="303" t="s">
        <v>819</v>
      </c>
      <c r="C26" s="284" t="s">
        <v>819</v>
      </c>
      <c r="D26" s="284" t="s">
        <v>858</v>
      </c>
      <c r="E26" s="284" t="s">
        <v>840</v>
      </c>
      <c r="F26" s="284" t="s">
        <v>840</v>
      </c>
      <c r="G26" s="284" t="s">
        <v>823</v>
      </c>
      <c r="H26" s="284" t="s">
        <v>852</v>
      </c>
      <c r="I26" s="284" t="s">
        <v>852</v>
      </c>
      <c r="J26" s="284" t="s">
        <v>825</v>
      </c>
      <c r="K26" s="284" t="s">
        <v>853</v>
      </c>
      <c r="L26" s="284" t="s">
        <v>853</v>
      </c>
      <c r="M26" s="284" t="s">
        <v>841</v>
      </c>
      <c r="N26" s="284" t="s">
        <v>827</v>
      </c>
      <c r="O26" s="284" t="s">
        <v>854</v>
      </c>
      <c r="P26" s="284" t="s">
        <v>827</v>
      </c>
      <c r="Q26" s="284" t="s">
        <v>828</v>
      </c>
      <c r="R26" s="284" t="s">
        <v>843</v>
      </c>
      <c r="S26" s="284" t="s">
        <v>828</v>
      </c>
      <c r="T26" s="284" t="s">
        <v>843</v>
      </c>
      <c r="U26" s="284" t="s">
        <v>843</v>
      </c>
      <c r="V26" s="284" t="s">
        <v>829</v>
      </c>
      <c r="W26" s="669"/>
      <c r="X26" s="284" t="s">
        <v>831</v>
      </c>
      <c r="Y26" s="284" t="s">
        <v>831</v>
      </c>
      <c r="Z26" s="284" t="s">
        <v>859</v>
      </c>
      <c r="AA26" s="284" t="s">
        <v>844</v>
      </c>
      <c r="AB26" s="284" t="s">
        <v>844</v>
      </c>
      <c r="AC26" s="284" t="s">
        <v>833</v>
      </c>
      <c r="AD26" s="284" t="s">
        <v>855</v>
      </c>
      <c r="AE26" s="284" t="s">
        <v>855</v>
      </c>
      <c r="AF26" s="284" t="s">
        <v>835</v>
      </c>
      <c r="AG26" s="284" t="s">
        <v>856</v>
      </c>
      <c r="AH26" s="284" t="s">
        <v>856</v>
      </c>
      <c r="AI26" s="284" t="s">
        <v>860</v>
      </c>
      <c r="AJ26" s="284" t="s">
        <v>837</v>
      </c>
      <c r="AK26" s="284" t="s">
        <v>857</v>
      </c>
      <c r="AL26" s="284" t="s">
        <v>837</v>
      </c>
      <c r="AM26" s="284" t="s">
        <v>838</v>
      </c>
      <c r="AN26" s="284" t="s">
        <v>847</v>
      </c>
      <c r="AO26" s="284" t="s">
        <v>838</v>
      </c>
      <c r="AP26" s="284" t="s">
        <v>847</v>
      </c>
      <c r="AQ26" s="284" t="s">
        <v>847</v>
      </c>
      <c r="AR26" s="284" t="s">
        <v>839</v>
      </c>
      <c r="AS26" s="669"/>
      <c r="AT26" s="284">
        <v>1.99</v>
      </c>
      <c r="AU26" s="284">
        <v>2.56</v>
      </c>
      <c r="AV26" s="284">
        <v>4.54</v>
      </c>
      <c r="AW26" s="284">
        <v>3.12</v>
      </c>
      <c r="AX26" s="284">
        <v>0.4</v>
      </c>
      <c r="AY26" s="284">
        <v>6.64</v>
      </c>
      <c r="AZ26" s="284">
        <v>6.64</v>
      </c>
      <c r="BA26" s="284">
        <v>6.25</v>
      </c>
      <c r="BB26" s="284">
        <v>6.25</v>
      </c>
      <c r="BC26" s="284">
        <v>3.92</v>
      </c>
      <c r="BD26" s="284">
        <v>3.92</v>
      </c>
      <c r="BE26" s="284">
        <v>0.49</v>
      </c>
      <c r="BF26" s="284">
        <v>0.39</v>
      </c>
      <c r="BG26" s="284">
        <v>0.77</v>
      </c>
      <c r="BH26" s="284">
        <v>0.62</v>
      </c>
      <c r="BI26" s="284">
        <v>0.49</v>
      </c>
      <c r="BJ26" s="293">
        <v>0.39</v>
      </c>
    </row>
    <row r="27" spans="1:62" s="281" customFormat="1" ht="57" x14ac:dyDescent="0.3">
      <c r="A27" s="300" t="s">
        <v>889</v>
      </c>
      <c r="B27" s="304" t="s">
        <v>225</v>
      </c>
      <c r="C27" s="294" t="s">
        <v>225</v>
      </c>
      <c r="D27" s="294" t="s">
        <v>228</v>
      </c>
      <c r="E27" s="294" t="s">
        <v>233</v>
      </c>
      <c r="F27" s="294" t="s">
        <v>233</v>
      </c>
      <c r="G27" s="294" t="s">
        <v>231</v>
      </c>
      <c r="H27" s="294" t="s">
        <v>238</v>
      </c>
      <c r="I27" s="294" t="s">
        <v>238</v>
      </c>
      <c r="J27" s="294" t="s">
        <v>237</v>
      </c>
      <c r="K27" s="294" t="s">
        <v>215</v>
      </c>
      <c r="L27" s="294" t="s">
        <v>215</v>
      </c>
      <c r="M27" s="294" t="s">
        <v>213</v>
      </c>
      <c r="N27" s="294" t="s">
        <v>217</v>
      </c>
      <c r="O27" s="294" t="s">
        <v>218</v>
      </c>
      <c r="P27" s="294" t="s">
        <v>217</v>
      </c>
      <c r="Q27" s="294" t="s">
        <v>221</v>
      </c>
      <c r="R27" s="294" t="s">
        <v>223</v>
      </c>
      <c r="S27" s="294" t="s">
        <v>221</v>
      </c>
      <c r="T27" s="294" t="s">
        <v>223</v>
      </c>
      <c r="U27" s="294" t="s">
        <v>223</v>
      </c>
      <c r="V27" s="294" t="s">
        <v>222</v>
      </c>
      <c r="W27" s="669"/>
      <c r="X27" s="294" t="s">
        <v>183</v>
      </c>
      <c r="Y27" s="294" t="s">
        <v>183</v>
      </c>
      <c r="Z27" s="294" t="s">
        <v>202</v>
      </c>
      <c r="AA27" s="294" t="s">
        <v>191</v>
      </c>
      <c r="AB27" s="294" t="s">
        <v>191</v>
      </c>
      <c r="AC27" s="294" t="s">
        <v>185</v>
      </c>
      <c r="AD27" s="294" t="s">
        <v>198</v>
      </c>
      <c r="AE27" s="294" t="s">
        <v>198</v>
      </c>
      <c r="AF27" s="294" t="s">
        <v>197</v>
      </c>
      <c r="AG27" s="294" t="s">
        <v>199</v>
      </c>
      <c r="AH27" s="294" t="s">
        <v>199</v>
      </c>
      <c r="AI27" s="294" t="s">
        <v>203</v>
      </c>
      <c r="AJ27" s="294" t="s">
        <v>188</v>
      </c>
      <c r="AK27" s="294" t="s">
        <v>200</v>
      </c>
      <c r="AL27" s="294" t="s">
        <v>188</v>
      </c>
      <c r="AM27" s="294" t="s">
        <v>189</v>
      </c>
      <c r="AN27" s="294" t="s">
        <v>194</v>
      </c>
      <c r="AO27" s="294" t="s">
        <v>189</v>
      </c>
      <c r="AP27" s="294" t="s">
        <v>194</v>
      </c>
      <c r="AQ27" s="294" t="s">
        <v>194</v>
      </c>
      <c r="AR27" s="294" t="s">
        <v>190</v>
      </c>
      <c r="AS27" s="669"/>
      <c r="AT27" s="294">
        <v>0.35</v>
      </c>
      <c r="AU27" s="294">
        <v>0.45</v>
      </c>
      <c r="AV27" s="294">
        <v>0.8</v>
      </c>
      <c r="AW27" s="294">
        <v>0.55000000000000004</v>
      </c>
      <c r="AX27" s="294">
        <v>0.4</v>
      </c>
      <c r="AY27" s="294">
        <v>1.17</v>
      </c>
      <c r="AZ27" s="294">
        <v>1.17</v>
      </c>
      <c r="BA27" s="294">
        <v>1.1000000000000001</v>
      </c>
      <c r="BB27" s="294">
        <v>1.1000000000000001</v>
      </c>
      <c r="BC27" s="294">
        <v>0.69</v>
      </c>
      <c r="BD27" s="294">
        <v>0.69</v>
      </c>
      <c r="BE27" s="294">
        <v>0.49</v>
      </c>
      <c r="BF27" s="294">
        <v>0.39</v>
      </c>
      <c r="BG27" s="294">
        <v>0.77</v>
      </c>
      <c r="BH27" s="294">
        <v>0.62</v>
      </c>
      <c r="BI27" s="294">
        <v>0.49</v>
      </c>
      <c r="BJ27" s="295">
        <v>0.39</v>
      </c>
    </row>
    <row r="28" spans="1:62" s="281" customFormat="1" ht="57" x14ac:dyDescent="0.3">
      <c r="A28" s="299" t="s">
        <v>900</v>
      </c>
      <c r="B28" s="303" t="s">
        <v>819</v>
      </c>
      <c r="C28" s="284" t="s">
        <v>819</v>
      </c>
      <c r="D28" s="284" t="s">
        <v>858</v>
      </c>
      <c r="E28" s="284" t="s">
        <v>840</v>
      </c>
      <c r="F28" s="284" t="s">
        <v>840</v>
      </c>
      <c r="G28" s="284" t="s">
        <v>823</v>
      </c>
      <c r="H28" s="284" t="s">
        <v>852</v>
      </c>
      <c r="I28" s="284" t="s">
        <v>852</v>
      </c>
      <c r="J28" s="284" t="s">
        <v>825</v>
      </c>
      <c r="K28" s="284" t="s">
        <v>853</v>
      </c>
      <c r="L28" s="284" t="s">
        <v>853</v>
      </c>
      <c r="M28" s="284" t="s">
        <v>841</v>
      </c>
      <c r="N28" s="284" t="s">
        <v>827</v>
      </c>
      <c r="O28" s="284" t="s">
        <v>854</v>
      </c>
      <c r="P28" s="284" t="s">
        <v>827</v>
      </c>
      <c r="Q28" s="284" t="s">
        <v>828</v>
      </c>
      <c r="R28" s="284" t="s">
        <v>843</v>
      </c>
      <c r="S28" s="284" t="s">
        <v>828</v>
      </c>
      <c r="T28" s="284" t="s">
        <v>843</v>
      </c>
      <c r="U28" s="284" t="s">
        <v>843</v>
      </c>
      <c r="V28" s="284" t="s">
        <v>829</v>
      </c>
      <c r="W28" s="669"/>
      <c r="X28" s="284" t="s">
        <v>831</v>
      </c>
      <c r="Y28" s="284" t="s">
        <v>831</v>
      </c>
      <c r="Z28" s="284" t="s">
        <v>859</v>
      </c>
      <c r="AA28" s="284" t="s">
        <v>844</v>
      </c>
      <c r="AB28" s="284" t="s">
        <v>844</v>
      </c>
      <c r="AC28" s="284" t="s">
        <v>833</v>
      </c>
      <c r="AD28" s="284" t="s">
        <v>855</v>
      </c>
      <c r="AE28" s="284" t="s">
        <v>855</v>
      </c>
      <c r="AF28" s="284" t="s">
        <v>835</v>
      </c>
      <c r="AG28" s="284" t="s">
        <v>856</v>
      </c>
      <c r="AH28" s="284" t="s">
        <v>856</v>
      </c>
      <c r="AI28" s="284" t="s">
        <v>860</v>
      </c>
      <c r="AJ28" s="284" t="s">
        <v>837</v>
      </c>
      <c r="AK28" s="284" t="s">
        <v>857</v>
      </c>
      <c r="AL28" s="284" t="s">
        <v>837</v>
      </c>
      <c r="AM28" s="284" t="s">
        <v>838</v>
      </c>
      <c r="AN28" s="284" t="s">
        <v>847</v>
      </c>
      <c r="AO28" s="284" t="s">
        <v>838</v>
      </c>
      <c r="AP28" s="284" t="s">
        <v>847</v>
      </c>
      <c r="AQ28" s="284" t="s">
        <v>847</v>
      </c>
      <c r="AR28" s="284" t="s">
        <v>839</v>
      </c>
      <c r="AS28" s="669"/>
      <c r="AT28" s="284">
        <v>1.99</v>
      </c>
      <c r="AU28" s="284">
        <v>2.56</v>
      </c>
      <c r="AV28" s="284">
        <v>4.54</v>
      </c>
      <c r="AW28" s="284">
        <v>3.12</v>
      </c>
      <c r="AX28" s="284">
        <v>0.4</v>
      </c>
      <c r="AY28" s="284">
        <v>6.64</v>
      </c>
      <c r="AZ28" s="284">
        <v>6.64</v>
      </c>
      <c r="BA28" s="284">
        <v>6.25</v>
      </c>
      <c r="BB28" s="284">
        <v>6.25</v>
      </c>
      <c r="BC28" s="284">
        <v>3.92</v>
      </c>
      <c r="BD28" s="284">
        <v>3.92</v>
      </c>
      <c r="BE28" s="284">
        <v>0.49</v>
      </c>
      <c r="BF28" s="284">
        <v>0.39</v>
      </c>
      <c r="BG28" s="284">
        <v>0.77</v>
      </c>
      <c r="BH28" s="284">
        <v>0.62</v>
      </c>
      <c r="BI28" s="284">
        <v>0.49</v>
      </c>
      <c r="BJ28" s="293">
        <v>0.39</v>
      </c>
    </row>
    <row r="29" spans="1:62" s="281" customFormat="1" ht="57" x14ac:dyDescent="0.3">
      <c r="A29" s="300" t="s">
        <v>890</v>
      </c>
      <c r="B29" s="304" t="s">
        <v>225</v>
      </c>
      <c r="C29" s="294" t="s">
        <v>225</v>
      </c>
      <c r="D29" s="294" t="s">
        <v>229</v>
      </c>
      <c r="E29" s="294" t="s">
        <v>233</v>
      </c>
      <c r="F29" s="294" t="s">
        <v>233</v>
      </c>
      <c r="G29" s="294" t="s">
        <v>231</v>
      </c>
      <c r="H29" s="294" t="s">
        <v>238</v>
      </c>
      <c r="I29" s="294" t="s">
        <v>238</v>
      </c>
      <c r="J29" s="294" t="s">
        <v>237</v>
      </c>
      <c r="K29" s="294" t="s">
        <v>215</v>
      </c>
      <c r="L29" s="294" t="s">
        <v>216</v>
      </c>
      <c r="M29" s="294" t="s">
        <v>213</v>
      </c>
      <c r="N29" s="294" t="s">
        <v>218</v>
      </c>
      <c r="O29" s="294" t="s">
        <v>219</v>
      </c>
      <c r="P29" s="294" t="s">
        <v>217</v>
      </c>
      <c r="Q29" s="294" t="s">
        <v>221</v>
      </c>
      <c r="R29" s="294" t="s">
        <v>223</v>
      </c>
      <c r="S29" s="294" t="s">
        <v>221</v>
      </c>
      <c r="T29" s="294" t="s">
        <v>223</v>
      </c>
      <c r="U29" s="294" t="s">
        <v>223</v>
      </c>
      <c r="V29" s="294" t="s">
        <v>222</v>
      </c>
      <c r="W29" s="669"/>
      <c r="X29" s="294" t="s">
        <v>183</v>
      </c>
      <c r="Y29" s="294" t="s">
        <v>183</v>
      </c>
      <c r="Z29" s="294" t="s">
        <v>204</v>
      </c>
      <c r="AA29" s="294" t="s">
        <v>191</v>
      </c>
      <c r="AB29" s="294" t="s">
        <v>191</v>
      </c>
      <c r="AC29" s="294" t="s">
        <v>185</v>
      </c>
      <c r="AD29" s="294" t="s">
        <v>198</v>
      </c>
      <c r="AE29" s="294" t="s">
        <v>198</v>
      </c>
      <c r="AF29" s="294" t="s">
        <v>197</v>
      </c>
      <c r="AG29" s="294" t="s">
        <v>199</v>
      </c>
      <c r="AH29" s="294" t="s">
        <v>205</v>
      </c>
      <c r="AI29" s="294" t="s">
        <v>203</v>
      </c>
      <c r="AJ29" s="294" t="s">
        <v>200</v>
      </c>
      <c r="AK29" s="294" t="s">
        <v>206</v>
      </c>
      <c r="AL29" s="294" t="s">
        <v>188</v>
      </c>
      <c r="AM29" s="294" t="s">
        <v>189</v>
      </c>
      <c r="AN29" s="294" t="s">
        <v>194</v>
      </c>
      <c r="AO29" s="294" t="s">
        <v>189</v>
      </c>
      <c r="AP29" s="294" t="s">
        <v>194</v>
      </c>
      <c r="AQ29" s="294" t="s">
        <v>194</v>
      </c>
      <c r="AR29" s="294" t="s">
        <v>190</v>
      </c>
      <c r="AS29" s="669"/>
      <c r="AT29" s="294">
        <v>0.35</v>
      </c>
      <c r="AU29" s="294">
        <v>0.45</v>
      </c>
      <c r="AV29" s="294">
        <v>0.8</v>
      </c>
      <c r="AW29" s="294">
        <v>0.55000000000000004</v>
      </c>
      <c r="AX29" s="294">
        <v>0.4</v>
      </c>
      <c r="AY29" s="294">
        <v>1.17</v>
      </c>
      <c r="AZ29" s="294">
        <v>1.17</v>
      </c>
      <c r="BA29" s="294">
        <v>0.87</v>
      </c>
      <c r="BB29" s="294">
        <v>0.87</v>
      </c>
      <c r="BC29" s="294">
        <v>0.69</v>
      </c>
      <c r="BD29" s="294">
        <v>0.69</v>
      </c>
      <c r="BE29" s="294">
        <v>0.49</v>
      </c>
      <c r="BF29" s="294">
        <v>0.49</v>
      </c>
      <c r="BG29" s="294">
        <v>0.71</v>
      </c>
      <c r="BH29" s="294">
        <v>0.57999999999999996</v>
      </c>
      <c r="BI29" s="294">
        <v>0.49</v>
      </c>
      <c r="BJ29" s="295">
        <v>0.49</v>
      </c>
    </row>
    <row r="30" spans="1:62" s="281" customFormat="1" ht="57" x14ac:dyDescent="0.3">
      <c r="A30" s="299" t="s">
        <v>899</v>
      </c>
      <c r="B30" s="303" t="s">
        <v>819</v>
      </c>
      <c r="C30" s="284" t="s">
        <v>819</v>
      </c>
      <c r="D30" s="284" t="s">
        <v>861</v>
      </c>
      <c r="E30" s="284" t="s">
        <v>840</v>
      </c>
      <c r="F30" s="284" t="s">
        <v>840</v>
      </c>
      <c r="G30" s="284" t="s">
        <v>823</v>
      </c>
      <c r="H30" s="284" t="s">
        <v>852</v>
      </c>
      <c r="I30" s="284" t="s">
        <v>852</v>
      </c>
      <c r="J30" s="284" t="s">
        <v>825</v>
      </c>
      <c r="K30" s="284" t="s">
        <v>853</v>
      </c>
      <c r="L30" s="284" t="s">
        <v>862</v>
      </c>
      <c r="M30" s="284" t="s">
        <v>841</v>
      </c>
      <c r="N30" s="284" t="s">
        <v>854</v>
      </c>
      <c r="O30" s="284" t="s">
        <v>863</v>
      </c>
      <c r="P30" s="284" t="s">
        <v>827</v>
      </c>
      <c r="Q30" s="284" t="s">
        <v>828</v>
      </c>
      <c r="R30" s="284" t="s">
        <v>843</v>
      </c>
      <c r="S30" s="284" t="s">
        <v>828</v>
      </c>
      <c r="T30" s="284" t="s">
        <v>843</v>
      </c>
      <c r="U30" s="284" t="s">
        <v>843</v>
      </c>
      <c r="V30" s="284" t="s">
        <v>829</v>
      </c>
      <c r="W30" s="669"/>
      <c r="X30" s="284" t="s">
        <v>831</v>
      </c>
      <c r="Y30" s="284" t="s">
        <v>831</v>
      </c>
      <c r="Z30" s="284" t="s">
        <v>864</v>
      </c>
      <c r="AA30" s="284" t="s">
        <v>844</v>
      </c>
      <c r="AB30" s="284" t="s">
        <v>844</v>
      </c>
      <c r="AC30" s="284" t="s">
        <v>833</v>
      </c>
      <c r="AD30" s="284" t="s">
        <v>855</v>
      </c>
      <c r="AE30" s="284" t="s">
        <v>855</v>
      </c>
      <c r="AF30" s="284" t="s">
        <v>835</v>
      </c>
      <c r="AG30" s="284" t="s">
        <v>856</v>
      </c>
      <c r="AH30" s="284" t="s">
        <v>865</v>
      </c>
      <c r="AI30" s="284" t="s">
        <v>860</v>
      </c>
      <c r="AJ30" s="284" t="s">
        <v>857</v>
      </c>
      <c r="AK30" s="284" t="s">
        <v>866</v>
      </c>
      <c r="AL30" s="284" t="s">
        <v>837</v>
      </c>
      <c r="AM30" s="284" t="s">
        <v>838</v>
      </c>
      <c r="AN30" s="284" t="s">
        <v>847</v>
      </c>
      <c r="AO30" s="284" t="s">
        <v>838</v>
      </c>
      <c r="AP30" s="284" t="s">
        <v>847</v>
      </c>
      <c r="AQ30" s="284" t="s">
        <v>847</v>
      </c>
      <c r="AR30" s="284" t="s">
        <v>839</v>
      </c>
      <c r="AS30" s="669"/>
      <c r="AT30" s="284">
        <v>1.99</v>
      </c>
      <c r="AU30" s="284">
        <v>2.56</v>
      </c>
      <c r="AV30" s="284">
        <v>4.54</v>
      </c>
      <c r="AW30" s="284">
        <v>3.12</v>
      </c>
      <c r="AX30" s="284">
        <v>0.4</v>
      </c>
      <c r="AY30" s="284">
        <v>6.64</v>
      </c>
      <c r="AZ30" s="284">
        <v>6.64</v>
      </c>
      <c r="BA30" s="284">
        <v>4.9400000000000004</v>
      </c>
      <c r="BB30" s="284">
        <v>4.9400000000000004</v>
      </c>
      <c r="BC30" s="284">
        <v>3.92</v>
      </c>
      <c r="BD30" s="284">
        <v>3.92</v>
      </c>
      <c r="BE30" s="284">
        <v>0.49</v>
      </c>
      <c r="BF30" s="284">
        <v>0.49</v>
      </c>
      <c r="BG30" s="284">
        <v>0.71</v>
      </c>
      <c r="BH30" s="284">
        <v>0.57999999999999996</v>
      </c>
      <c r="BI30" s="284">
        <v>0.49</v>
      </c>
      <c r="BJ30" s="293">
        <v>0.49</v>
      </c>
    </row>
    <row r="31" spans="1:62" s="281" customFormat="1" ht="57" x14ac:dyDescent="0.3">
      <c r="A31" s="300" t="s">
        <v>891</v>
      </c>
      <c r="B31" s="304" t="s">
        <v>225</v>
      </c>
      <c r="C31" s="294" t="s">
        <v>225</v>
      </c>
      <c r="D31" s="294" t="s">
        <v>229</v>
      </c>
      <c r="E31" s="294" t="s">
        <v>233</v>
      </c>
      <c r="F31" s="294" t="s">
        <v>233</v>
      </c>
      <c r="G31" s="294" t="s">
        <v>231</v>
      </c>
      <c r="H31" s="294" t="s">
        <v>238</v>
      </c>
      <c r="I31" s="294" t="s">
        <v>238</v>
      </c>
      <c r="J31" s="294" t="s">
        <v>237</v>
      </c>
      <c r="K31" s="294" t="s">
        <v>215</v>
      </c>
      <c r="L31" s="294" t="s">
        <v>216</v>
      </c>
      <c r="M31" s="294" t="s">
        <v>213</v>
      </c>
      <c r="N31" s="294" t="s">
        <v>218</v>
      </c>
      <c r="O31" s="294" t="s">
        <v>219</v>
      </c>
      <c r="P31" s="294" t="s">
        <v>217</v>
      </c>
      <c r="Q31" s="294" t="s">
        <v>221</v>
      </c>
      <c r="R31" s="294" t="s">
        <v>223</v>
      </c>
      <c r="S31" s="294" t="s">
        <v>221</v>
      </c>
      <c r="T31" s="294" t="s">
        <v>223</v>
      </c>
      <c r="U31" s="294" t="s">
        <v>223</v>
      </c>
      <c r="V31" s="294" t="s">
        <v>222</v>
      </c>
      <c r="W31" s="669"/>
      <c r="X31" s="294" t="s">
        <v>183</v>
      </c>
      <c r="Y31" s="294" t="s">
        <v>183</v>
      </c>
      <c r="Z31" s="294" t="s">
        <v>204</v>
      </c>
      <c r="AA31" s="294" t="s">
        <v>191</v>
      </c>
      <c r="AB31" s="294" t="s">
        <v>191</v>
      </c>
      <c r="AC31" s="294" t="s">
        <v>185</v>
      </c>
      <c r="AD31" s="294" t="s">
        <v>198</v>
      </c>
      <c r="AE31" s="294" t="s">
        <v>198</v>
      </c>
      <c r="AF31" s="294" t="s">
        <v>197</v>
      </c>
      <c r="AG31" s="294" t="s">
        <v>199</v>
      </c>
      <c r="AH31" s="294" t="s">
        <v>205</v>
      </c>
      <c r="AI31" s="294" t="s">
        <v>203</v>
      </c>
      <c r="AJ31" s="294" t="s">
        <v>200</v>
      </c>
      <c r="AK31" s="294" t="s">
        <v>206</v>
      </c>
      <c r="AL31" s="294" t="s">
        <v>188</v>
      </c>
      <c r="AM31" s="294" t="s">
        <v>189</v>
      </c>
      <c r="AN31" s="294" t="s">
        <v>194</v>
      </c>
      <c r="AO31" s="294" t="s">
        <v>189</v>
      </c>
      <c r="AP31" s="294" t="s">
        <v>194</v>
      </c>
      <c r="AQ31" s="294" t="s">
        <v>194</v>
      </c>
      <c r="AR31" s="294" t="s">
        <v>190</v>
      </c>
      <c r="AS31" s="669"/>
      <c r="AT31" s="294">
        <v>0.35</v>
      </c>
      <c r="AU31" s="294">
        <v>0.45</v>
      </c>
      <c r="AV31" s="294">
        <v>0.8</v>
      </c>
      <c r="AW31" s="294">
        <v>0.55000000000000004</v>
      </c>
      <c r="AX31" s="294">
        <v>0.4</v>
      </c>
      <c r="AY31" s="294">
        <v>1.17</v>
      </c>
      <c r="AZ31" s="294">
        <v>1.17</v>
      </c>
      <c r="BA31" s="294">
        <v>0.87</v>
      </c>
      <c r="BB31" s="294">
        <v>0.87</v>
      </c>
      <c r="BC31" s="294">
        <v>0.69</v>
      </c>
      <c r="BD31" s="294">
        <v>0.69</v>
      </c>
      <c r="BE31" s="294">
        <v>0.49</v>
      </c>
      <c r="BF31" s="294">
        <v>0.49</v>
      </c>
      <c r="BG31" s="294">
        <v>0.71</v>
      </c>
      <c r="BH31" s="294">
        <v>0.57999999999999996</v>
      </c>
      <c r="BI31" s="294">
        <v>0.49</v>
      </c>
      <c r="BJ31" s="295">
        <v>0.49</v>
      </c>
    </row>
    <row r="32" spans="1:62" s="281" customFormat="1" ht="57" x14ac:dyDescent="0.3">
      <c r="A32" s="299" t="s">
        <v>898</v>
      </c>
      <c r="B32" s="303" t="s">
        <v>819</v>
      </c>
      <c r="C32" s="284" t="s">
        <v>819</v>
      </c>
      <c r="D32" s="284" t="s">
        <v>861</v>
      </c>
      <c r="E32" s="284" t="s">
        <v>840</v>
      </c>
      <c r="F32" s="284" t="s">
        <v>840</v>
      </c>
      <c r="G32" s="284" t="s">
        <v>823</v>
      </c>
      <c r="H32" s="284" t="s">
        <v>852</v>
      </c>
      <c r="I32" s="284" t="s">
        <v>852</v>
      </c>
      <c r="J32" s="284" t="s">
        <v>825</v>
      </c>
      <c r="K32" s="284" t="s">
        <v>853</v>
      </c>
      <c r="L32" s="284" t="s">
        <v>862</v>
      </c>
      <c r="M32" s="284" t="s">
        <v>841</v>
      </c>
      <c r="N32" s="284" t="s">
        <v>854</v>
      </c>
      <c r="O32" s="284" t="s">
        <v>863</v>
      </c>
      <c r="P32" s="284" t="s">
        <v>827</v>
      </c>
      <c r="Q32" s="284" t="s">
        <v>828</v>
      </c>
      <c r="R32" s="284" t="s">
        <v>843</v>
      </c>
      <c r="S32" s="284" t="s">
        <v>828</v>
      </c>
      <c r="T32" s="284" t="s">
        <v>843</v>
      </c>
      <c r="U32" s="284" t="s">
        <v>843</v>
      </c>
      <c r="V32" s="284" t="s">
        <v>829</v>
      </c>
      <c r="W32" s="669"/>
      <c r="X32" s="284" t="s">
        <v>831</v>
      </c>
      <c r="Y32" s="284" t="s">
        <v>831</v>
      </c>
      <c r="Z32" s="284" t="s">
        <v>864</v>
      </c>
      <c r="AA32" s="284" t="s">
        <v>844</v>
      </c>
      <c r="AB32" s="284" t="s">
        <v>844</v>
      </c>
      <c r="AC32" s="284" t="s">
        <v>833</v>
      </c>
      <c r="AD32" s="284" t="s">
        <v>855</v>
      </c>
      <c r="AE32" s="284" t="s">
        <v>855</v>
      </c>
      <c r="AF32" s="284" t="s">
        <v>835</v>
      </c>
      <c r="AG32" s="284" t="s">
        <v>856</v>
      </c>
      <c r="AH32" s="284" t="s">
        <v>865</v>
      </c>
      <c r="AI32" s="284" t="s">
        <v>860</v>
      </c>
      <c r="AJ32" s="284" t="s">
        <v>857</v>
      </c>
      <c r="AK32" s="284" t="s">
        <v>866</v>
      </c>
      <c r="AL32" s="284" t="s">
        <v>837</v>
      </c>
      <c r="AM32" s="284" t="s">
        <v>838</v>
      </c>
      <c r="AN32" s="284" t="s">
        <v>847</v>
      </c>
      <c r="AO32" s="284" t="s">
        <v>838</v>
      </c>
      <c r="AP32" s="284" t="s">
        <v>847</v>
      </c>
      <c r="AQ32" s="284" t="s">
        <v>847</v>
      </c>
      <c r="AR32" s="284" t="s">
        <v>839</v>
      </c>
      <c r="AS32" s="669"/>
      <c r="AT32" s="284">
        <v>1.99</v>
      </c>
      <c r="AU32" s="284">
        <v>2.56</v>
      </c>
      <c r="AV32" s="284">
        <v>4.54</v>
      </c>
      <c r="AW32" s="284">
        <v>3.12</v>
      </c>
      <c r="AX32" s="284">
        <v>0.4</v>
      </c>
      <c r="AY32" s="284">
        <v>6.64</v>
      </c>
      <c r="AZ32" s="284">
        <v>6.64</v>
      </c>
      <c r="BA32" s="284">
        <v>4.9400000000000004</v>
      </c>
      <c r="BB32" s="284">
        <v>4.9400000000000004</v>
      </c>
      <c r="BC32" s="284">
        <v>3.92</v>
      </c>
      <c r="BD32" s="284">
        <v>3.92</v>
      </c>
      <c r="BE32" s="284">
        <v>0.49</v>
      </c>
      <c r="BF32" s="284">
        <v>0.49</v>
      </c>
      <c r="BG32" s="284">
        <v>0.71</v>
      </c>
      <c r="BH32" s="284">
        <v>0.57999999999999996</v>
      </c>
      <c r="BI32" s="284">
        <v>0.49</v>
      </c>
      <c r="BJ32" s="293">
        <v>0.49</v>
      </c>
    </row>
    <row r="33" spans="1:62" s="281" customFormat="1" ht="57" x14ac:dyDescent="0.3">
      <c r="A33" s="300" t="s">
        <v>892</v>
      </c>
      <c r="B33" s="304" t="s">
        <v>225</v>
      </c>
      <c r="C33" s="294" t="s">
        <v>225</v>
      </c>
      <c r="D33" s="294" t="s">
        <v>229</v>
      </c>
      <c r="E33" s="294" t="s">
        <v>233</v>
      </c>
      <c r="F33" s="294" t="s">
        <v>235</v>
      </c>
      <c r="G33" s="294" t="s">
        <v>231</v>
      </c>
      <c r="H33" s="294" t="s">
        <v>238</v>
      </c>
      <c r="I33" s="294" t="s">
        <v>239</v>
      </c>
      <c r="J33" s="294" t="s">
        <v>237</v>
      </c>
      <c r="K33" s="294" t="s">
        <v>215</v>
      </c>
      <c r="L33" s="294" t="s">
        <v>216</v>
      </c>
      <c r="M33" s="294" t="s">
        <v>213</v>
      </c>
      <c r="N33" s="294" t="s">
        <v>219</v>
      </c>
      <c r="O33" s="294" t="s">
        <v>219</v>
      </c>
      <c r="P33" s="294" t="s">
        <v>217</v>
      </c>
      <c r="Q33" s="294" t="s">
        <v>223</v>
      </c>
      <c r="R33" s="294" t="s">
        <v>223</v>
      </c>
      <c r="S33" s="294" t="s">
        <v>221</v>
      </c>
      <c r="T33" s="294" t="s">
        <v>223</v>
      </c>
      <c r="U33" s="294" t="s">
        <v>223</v>
      </c>
      <c r="V33" s="294" t="s">
        <v>222</v>
      </c>
      <c r="W33" s="669"/>
      <c r="X33" s="294" t="s">
        <v>183</v>
      </c>
      <c r="Y33" s="294" t="s">
        <v>183</v>
      </c>
      <c r="Z33" s="294" t="s">
        <v>204</v>
      </c>
      <c r="AA33" s="294" t="s">
        <v>191</v>
      </c>
      <c r="AB33" s="294" t="s">
        <v>207</v>
      </c>
      <c r="AC33" s="294" t="s">
        <v>185</v>
      </c>
      <c r="AD33" s="294" t="s">
        <v>198</v>
      </c>
      <c r="AE33" s="294" t="s">
        <v>208</v>
      </c>
      <c r="AF33" s="294" t="s">
        <v>197</v>
      </c>
      <c r="AG33" s="294" t="s">
        <v>199</v>
      </c>
      <c r="AH33" s="294" t="s">
        <v>205</v>
      </c>
      <c r="AI33" s="294" t="s">
        <v>203</v>
      </c>
      <c r="AJ33" s="294" t="s">
        <v>206</v>
      </c>
      <c r="AK33" s="294" t="s">
        <v>206</v>
      </c>
      <c r="AL33" s="294" t="s">
        <v>188</v>
      </c>
      <c r="AM33" s="294" t="s">
        <v>194</v>
      </c>
      <c r="AN33" s="294" t="s">
        <v>194</v>
      </c>
      <c r="AO33" s="294" t="s">
        <v>189</v>
      </c>
      <c r="AP33" s="294" t="s">
        <v>194</v>
      </c>
      <c r="AQ33" s="294" t="s">
        <v>194</v>
      </c>
      <c r="AR33" s="294" t="s">
        <v>190</v>
      </c>
      <c r="AS33" s="669"/>
      <c r="AT33" s="294">
        <v>0.35</v>
      </c>
      <c r="AU33" s="294">
        <v>0.4</v>
      </c>
      <c r="AV33" s="294">
        <v>0.8</v>
      </c>
      <c r="AW33" s="294">
        <v>0.45</v>
      </c>
      <c r="AX33" s="294">
        <v>0.45</v>
      </c>
      <c r="AY33" s="294">
        <v>1.17</v>
      </c>
      <c r="AZ33" s="294">
        <v>1.17</v>
      </c>
      <c r="BA33" s="294">
        <v>0.87</v>
      </c>
      <c r="BB33" s="294">
        <v>0.87</v>
      </c>
      <c r="BC33" s="294">
        <v>0.69</v>
      </c>
      <c r="BD33" s="294">
        <v>0.69</v>
      </c>
      <c r="BE33" s="294">
        <v>0.68</v>
      </c>
      <c r="BF33" s="294">
        <v>0.64</v>
      </c>
      <c r="BG33" s="294">
        <v>0.77</v>
      </c>
      <c r="BH33" s="294">
        <v>0.71</v>
      </c>
      <c r="BI33" s="294">
        <v>0.68</v>
      </c>
      <c r="BJ33" s="295">
        <v>0.64</v>
      </c>
    </row>
    <row r="34" spans="1:62" s="281" customFormat="1" ht="57" x14ac:dyDescent="0.3">
      <c r="A34" s="299" t="s">
        <v>897</v>
      </c>
      <c r="B34" s="303" t="s">
        <v>819</v>
      </c>
      <c r="C34" s="284" t="s">
        <v>819</v>
      </c>
      <c r="D34" s="284" t="s">
        <v>861</v>
      </c>
      <c r="E34" s="284" t="s">
        <v>840</v>
      </c>
      <c r="F34" s="284" t="s">
        <v>867</v>
      </c>
      <c r="G34" s="284" t="s">
        <v>823</v>
      </c>
      <c r="H34" s="284" t="s">
        <v>852</v>
      </c>
      <c r="I34" s="284" t="s">
        <v>868</v>
      </c>
      <c r="J34" s="284" t="s">
        <v>825</v>
      </c>
      <c r="K34" s="284" t="s">
        <v>853</v>
      </c>
      <c r="L34" s="284" t="s">
        <v>862</v>
      </c>
      <c r="M34" s="284" t="s">
        <v>841</v>
      </c>
      <c r="N34" s="284" t="s">
        <v>863</v>
      </c>
      <c r="O34" s="284" t="s">
        <v>863</v>
      </c>
      <c r="P34" s="284" t="s">
        <v>827</v>
      </c>
      <c r="Q34" s="284" t="s">
        <v>843</v>
      </c>
      <c r="R34" s="284" t="s">
        <v>843</v>
      </c>
      <c r="S34" s="284" t="s">
        <v>828</v>
      </c>
      <c r="T34" s="284" t="s">
        <v>843</v>
      </c>
      <c r="U34" s="284" t="s">
        <v>843</v>
      </c>
      <c r="V34" s="284" t="s">
        <v>829</v>
      </c>
      <c r="W34" s="669"/>
      <c r="X34" s="284" t="s">
        <v>831</v>
      </c>
      <c r="Y34" s="284" t="s">
        <v>831</v>
      </c>
      <c r="Z34" s="284" t="s">
        <v>864</v>
      </c>
      <c r="AA34" s="284" t="s">
        <v>844</v>
      </c>
      <c r="AB34" s="284" t="s">
        <v>869</v>
      </c>
      <c r="AC34" s="284" t="s">
        <v>833</v>
      </c>
      <c r="AD34" s="284" t="s">
        <v>855</v>
      </c>
      <c r="AE34" s="284" t="s">
        <v>870</v>
      </c>
      <c r="AF34" s="284" t="s">
        <v>835</v>
      </c>
      <c r="AG34" s="284" t="s">
        <v>856</v>
      </c>
      <c r="AH34" s="284" t="s">
        <v>865</v>
      </c>
      <c r="AI34" s="284" t="s">
        <v>860</v>
      </c>
      <c r="AJ34" s="284" t="s">
        <v>866</v>
      </c>
      <c r="AK34" s="284" t="s">
        <v>866</v>
      </c>
      <c r="AL34" s="284" t="s">
        <v>837</v>
      </c>
      <c r="AM34" s="284" t="s">
        <v>847</v>
      </c>
      <c r="AN34" s="284" t="s">
        <v>847</v>
      </c>
      <c r="AO34" s="284" t="s">
        <v>838</v>
      </c>
      <c r="AP34" s="284" t="s">
        <v>847</v>
      </c>
      <c r="AQ34" s="284" t="s">
        <v>847</v>
      </c>
      <c r="AR34" s="284" t="s">
        <v>839</v>
      </c>
      <c r="AS34" s="669"/>
      <c r="AT34" s="284">
        <v>1.99</v>
      </c>
      <c r="AU34" s="284">
        <v>2.27</v>
      </c>
      <c r="AV34" s="284">
        <v>4.54</v>
      </c>
      <c r="AW34" s="284">
        <v>2.56</v>
      </c>
      <c r="AX34" s="284">
        <v>0.45</v>
      </c>
      <c r="AY34" s="284">
        <v>6.64</v>
      </c>
      <c r="AZ34" s="284">
        <v>6.64</v>
      </c>
      <c r="BA34" s="284">
        <v>4.9400000000000004</v>
      </c>
      <c r="BB34" s="284">
        <v>4.9400000000000004</v>
      </c>
      <c r="BC34" s="284">
        <v>3.92</v>
      </c>
      <c r="BD34" s="284">
        <v>3.92</v>
      </c>
      <c r="BE34" s="284">
        <v>0.68</v>
      </c>
      <c r="BF34" s="284">
        <v>0.64</v>
      </c>
      <c r="BG34" s="284">
        <v>0.77</v>
      </c>
      <c r="BH34" s="284">
        <v>0.71</v>
      </c>
      <c r="BI34" s="284">
        <v>0.68</v>
      </c>
      <c r="BJ34" s="293">
        <v>0.64</v>
      </c>
    </row>
    <row r="35" spans="1:62" s="281" customFormat="1" ht="57" x14ac:dyDescent="0.3">
      <c r="A35" s="300" t="s">
        <v>893</v>
      </c>
      <c r="B35" s="304" t="s">
        <v>225</v>
      </c>
      <c r="C35" s="294" t="s">
        <v>225</v>
      </c>
      <c r="D35" s="294" t="s">
        <v>229</v>
      </c>
      <c r="E35" s="294" t="s">
        <v>233</v>
      </c>
      <c r="F35" s="294" t="s">
        <v>235</v>
      </c>
      <c r="G35" s="294" t="s">
        <v>231</v>
      </c>
      <c r="H35" s="294" t="s">
        <v>238</v>
      </c>
      <c r="I35" s="294" t="s">
        <v>239</v>
      </c>
      <c r="J35" s="294" t="s">
        <v>237</v>
      </c>
      <c r="K35" s="294" t="s">
        <v>215</v>
      </c>
      <c r="L35" s="294" t="s">
        <v>216</v>
      </c>
      <c r="M35" s="294" t="s">
        <v>213</v>
      </c>
      <c r="N35" s="294" t="s">
        <v>219</v>
      </c>
      <c r="O35" s="294" t="s">
        <v>219</v>
      </c>
      <c r="P35" s="294" t="s">
        <v>217</v>
      </c>
      <c r="Q35" s="294" t="s">
        <v>223</v>
      </c>
      <c r="R35" s="294" t="s">
        <v>223</v>
      </c>
      <c r="S35" s="294" t="s">
        <v>221</v>
      </c>
      <c r="T35" s="294" t="s">
        <v>223</v>
      </c>
      <c r="U35" s="294" t="s">
        <v>223</v>
      </c>
      <c r="V35" s="294" t="s">
        <v>222</v>
      </c>
      <c r="W35" s="669"/>
      <c r="X35" s="294" t="s">
        <v>183</v>
      </c>
      <c r="Y35" s="294" t="s">
        <v>183</v>
      </c>
      <c r="Z35" s="294" t="s">
        <v>204</v>
      </c>
      <c r="AA35" s="294" t="s">
        <v>191</v>
      </c>
      <c r="AB35" s="294" t="s">
        <v>207</v>
      </c>
      <c r="AC35" s="294" t="s">
        <v>185</v>
      </c>
      <c r="AD35" s="294" t="s">
        <v>198</v>
      </c>
      <c r="AE35" s="294" t="s">
        <v>208</v>
      </c>
      <c r="AF35" s="294" t="s">
        <v>197</v>
      </c>
      <c r="AG35" s="294" t="s">
        <v>199</v>
      </c>
      <c r="AH35" s="294" t="s">
        <v>205</v>
      </c>
      <c r="AI35" s="294" t="s">
        <v>203</v>
      </c>
      <c r="AJ35" s="294" t="s">
        <v>206</v>
      </c>
      <c r="AK35" s="294" t="s">
        <v>206</v>
      </c>
      <c r="AL35" s="294" t="s">
        <v>188</v>
      </c>
      <c r="AM35" s="294" t="s">
        <v>194</v>
      </c>
      <c r="AN35" s="294" t="s">
        <v>194</v>
      </c>
      <c r="AO35" s="294" t="s">
        <v>189</v>
      </c>
      <c r="AP35" s="294" t="s">
        <v>194</v>
      </c>
      <c r="AQ35" s="294" t="s">
        <v>194</v>
      </c>
      <c r="AR35" s="294" t="s">
        <v>190</v>
      </c>
      <c r="AS35" s="669"/>
      <c r="AT35" s="294">
        <v>0.35</v>
      </c>
      <c r="AU35" s="294">
        <v>0.4</v>
      </c>
      <c r="AV35" s="294">
        <v>0.8</v>
      </c>
      <c r="AW35" s="294">
        <v>0.45</v>
      </c>
      <c r="AX35" s="294">
        <v>0.45</v>
      </c>
      <c r="AY35" s="294">
        <v>1.17</v>
      </c>
      <c r="AZ35" s="294">
        <v>1.17</v>
      </c>
      <c r="BA35" s="294">
        <v>0.87</v>
      </c>
      <c r="BB35" s="294">
        <v>0.87</v>
      </c>
      <c r="BC35" s="294">
        <v>0.69</v>
      </c>
      <c r="BD35" s="294">
        <v>0.69</v>
      </c>
      <c r="BE35" s="294">
        <v>0.68</v>
      </c>
      <c r="BF35" s="294">
        <v>0.64</v>
      </c>
      <c r="BG35" s="294">
        <v>0.77</v>
      </c>
      <c r="BH35" s="294">
        <v>0.71</v>
      </c>
      <c r="BI35" s="294">
        <v>0.68</v>
      </c>
      <c r="BJ35" s="295">
        <v>0.64</v>
      </c>
    </row>
    <row r="36" spans="1:62" s="281" customFormat="1" ht="57" x14ac:dyDescent="0.3">
      <c r="A36" s="299" t="s">
        <v>896</v>
      </c>
      <c r="B36" s="303" t="s">
        <v>819</v>
      </c>
      <c r="C36" s="284" t="s">
        <v>819</v>
      </c>
      <c r="D36" s="284" t="s">
        <v>861</v>
      </c>
      <c r="E36" s="284" t="s">
        <v>840</v>
      </c>
      <c r="F36" s="284" t="s">
        <v>867</v>
      </c>
      <c r="G36" s="284" t="s">
        <v>823</v>
      </c>
      <c r="H36" s="284" t="s">
        <v>852</v>
      </c>
      <c r="I36" s="284" t="s">
        <v>868</v>
      </c>
      <c r="J36" s="284" t="s">
        <v>825</v>
      </c>
      <c r="K36" s="284" t="s">
        <v>853</v>
      </c>
      <c r="L36" s="284" t="s">
        <v>862</v>
      </c>
      <c r="M36" s="284" t="s">
        <v>841</v>
      </c>
      <c r="N36" s="284" t="s">
        <v>863</v>
      </c>
      <c r="O36" s="284" t="s">
        <v>863</v>
      </c>
      <c r="P36" s="284" t="s">
        <v>827</v>
      </c>
      <c r="Q36" s="284" t="s">
        <v>843</v>
      </c>
      <c r="R36" s="284" t="s">
        <v>843</v>
      </c>
      <c r="S36" s="284" t="s">
        <v>828</v>
      </c>
      <c r="T36" s="284" t="s">
        <v>843</v>
      </c>
      <c r="U36" s="284" t="s">
        <v>843</v>
      </c>
      <c r="V36" s="284" t="s">
        <v>829</v>
      </c>
      <c r="W36" s="669"/>
      <c r="X36" s="284" t="s">
        <v>831</v>
      </c>
      <c r="Y36" s="284" t="s">
        <v>831</v>
      </c>
      <c r="Z36" s="284" t="s">
        <v>864</v>
      </c>
      <c r="AA36" s="284" t="s">
        <v>844</v>
      </c>
      <c r="AB36" s="284" t="s">
        <v>869</v>
      </c>
      <c r="AC36" s="284" t="s">
        <v>833</v>
      </c>
      <c r="AD36" s="284" t="s">
        <v>855</v>
      </c>
      <c r="AE36" s="284" t="s">
        <v>870</v>
      </c>
      <c r="AF36" s="284" t="s">
        <v>835</v>
      </c>
      <c r="AG36" s="284" t="s">
        <v>856</v>
      </c>
      <c r="AH36" s="284" t="s">
        <v>865</v>
      </c>
      <c r="AI36" s="284" t="s">
        <v>860</v>
      </c>
      <c r="AJ36" s="284" t="s">
        <v>866</v>
      </c>
      <c r="AK36" s="284" t="s">
        <v>866</v>
      </c>
      <c r="AL36" s="284" t="s">
        <v>837</v>
      </c>
      <c r="AM36" s="284" t="s">
        <v>847</v>
      </c>
      <c r="AN36" s="284" t="s">
        <v>847</v>
      </c>
      <c r="AO36" s="284" t="s">
        <v>838</v>
      </c>
      <c r="AP36" s="284" t="s">
        <v>847</v>
      </c>
      <c r="AQ36" s="284" t="s">
        <v>847</v>
      </c>
      <c r="AR36" s="284" t="s">
        <v>839</v>
      </c>
      <c r="AS36" s="669"/>
      <c r="AT36" s="284">
        <v>1.99</v>
      </c>
      <c r="AU36" s="284">
        <v>2.27</v>
      </c>
      <c r="AV36" s="284">
        <v>4.54</v>
      </c>
      <c r="AW36" s="284">
        <v>2.56</v>
      </c>
      <c r="AX36" s="284">
        <v>0.45</v>
      </c>
      <c r="AY36" s="284">
        <v>6.64</v>
      </c>
      <c r="AZ36" s="284">
        <v>6.64</v>
      </c>
      <c r="BA36" s="284">
        <v>4.9400000000000004</v>
      </c>
      <c r="BB36" s="284">
        <v>4.9400000000000004</v>
      </c>
      <c r="BC36" s="284">
        <v>3.92</v>
      </c>
      <c r="BD36" s="284">
        <v>3.92</v>
      </c>
      <c r="BE36" s="284">
        <v>0.68</v>
      </c>
      <c r="BF36" s="284">
        <v>0.64</v>
      </c>
      <c r="BG36" s="284">
        <v>0.77</v>
      </c>
      <c r="BH36" s="284">
        <v>0.71</v>
      </c>
      <c r="BI36" s="284">
        <v>0.68</v>
      </c>
      <c r="BJ36" s="293">
        <v>0.64</v>
      </c>
    </row>
    <row r="37" spans="1:62" s="281" customFormat="1" ht="57" x14ac:dyDescent="0.3">
      <c r="A37" s="300" t="s">
        <v>894</v>
      </c>
      <c r="B37" s="304" t="s">
        <v>225</v>
      </c>
      <c r="C37" s="294" t="s">
        <v>225</v>
      </c>
      <c r="D37" s="294" t="s">
        <v>230</v>
      </c>
      <c r="E37" s="294" t="s">
        <v>233</v>
      </c>
      <c r="F37" s="294" t="s">
        <v>236</v>
      </c>
      <c r="G37" s="294" t="s">
        <v>234</v>
      </c>
      <c r="H37" s="294" t="s">
        <v>238</v>
      </c>
      <c r="I37" s="294" t="s">
        <v>240</v>
      </c>
      <c r="J37" s="294" t="s">
        <v>237</v>
      </c>
      <c r="K37" s="294" t="s">
        <v>216</v>
      </c>
      <c r="L37" s="294" t="s">
        <v>216</v>
      </c>
      <c r="M37" s="294" t="s">
        <v>213</v>
      </c>
      <c r="N37" s="294" t="s">
        <v>219</v>
      </c>
      <c r="O37" s="294" t="s">
        <v>220</v>
      </c>
      <c r="P37" s="294" t="s">
        <v>217</v>
      </c>
      <c r="Q37" s="294" t="s">
        <v>223</v>
      </c>
      <c r="R37" s="294" t="s">
        <v>223</v>
      </c>
      <c r="S37" s="294" t="s">
        <v>221</v>
      </c>
      <c r="T37" s="294" t="s">
        <v>223</v>
      </c>
      <c r="U37" s="294" t="s">
        <v>223</v>
      </c>
      <c r="V37" s="294" t="s">
        <v>223</v>
      </c>
      <c r="W37" s="669"/>
      <c r="X37" s="294" t="s">
        <v>183</v>
      </c>
      <c r="Y37" s="294" t="s">
        <v>183</v>
      </c>
      <c r="Z37" s="294" t="s">
        <v>182</v>
      </c>
      <c r="AA37" s="294" t="s">
        <v>191</v>
      </c>
      <c r="AB37" s="294" t="s">
        <v>209</v>
      </c>
      <c r="AC37" s="294" t="s">
        <v>196</v>
      </c>
      <c r="AD37" s="294" t="s">
        <v>198</v>
      </c>
      <c r="AE37" s="294" t="s">
        <v>210</v>
      </c>
      <c r="AF37" s="294" t="s">
        <v>197</v>
      </c>
      <c r="AG37" s="294" t="s">
        <v>205</v>
      </c>
      <c r="AH37" s="294" t="s">
        <v>205</v>
      </c>
      <c r="AI37" s="294" t="s">
        <v>203</v>
      </c>
      <c r="AJ37" s="294" t="s">
        <v>206</v>
      </c>
      <c r="AK37" s="294" t="s">
        <v>211</v>
      </c>
      <c r="AL37" s="294" t="s">
        <v>188</v>
      </c>
      <c r="AM37" s="294" t="s">
        <v>194</v>
      </c>
      <c r="AN37" s="294" t="s">
        <v>194</v>
      </c>
      <c r="AO37" s="294" t="s">
        <v>189</v>
      </c>
      <c r="AP37" s="294" t="s">
        <v>194</v>
      </c>
      <c r="AQ37" s="294" t="s">
        <v>194</v>
      </c>
      <c r="AR37" s="294" t="s">
        <v>194</v>
      </c>
      <c r="AS37" s="669"/>
      <c r="AT37" s="294">
        <v>0.35</v>
      </c>
      <c r="AU37" s="294">
        <v>0.4</v>
      </c>
      <c r="AV37" s="294">
        <v>0.8</v>
      </c>
      <c r="AW37" s="294">
        <v>0.45</v>
      </c>
      <c r="AX37" s="294">
        <v>0.45</v>
      </c>
      <c r="AY37" s="294">
        <v>0.98</v>
      </c>
      <c r="AZ37" s="294">
        <v>0.98</v>
      </c>
      <c r="BA37" s="294">
        <v>0.61</v>
      </c>
      <c r="BB37" s="294">
        <v>0.61</v>
      </c>
      <c r="BC37" s="294">
        <v>0.57999999999999996</v>
      </c>
      <c r="BD37" s="294">
        <v>0.57999999999999996</v>
      </c>
      <c r="BE37" s="294">
        <v>0.68</v>
      </c>
      <c r="BF37" s="294">
        <v>0.64</v>
      </c>
      <c r="BG37" s="294">
        <v>0.77</v>
      </c>
      <c r="BH37" s="294">
        <v>0.71</v>
      </c>
      <c r="BI37" s="294">
        <v>0.68</v>
      </c>
      <c r="BJ37" s="295">
        <v>0.64</v>
      </c>
    </row>
    <row r="38" spans="1:62" ht="92.4" x14ac:dyDescent="0.3">
      <c r="A38" s="301" t="s">
        <v>895</v>
      </c>
      <c r="B38" s="305" t="s">
        <v>819</v>
      </c>
      <c r="C38" s="296" t="s">
        <v>819</v>
      </c>
      <c r="D38" s="296" t="s">
        <v>818</v>
      </c>
      <c r="E38" s="296" t="s">
        <v>840</v>
      </c>
      <c r="F38" s="296" t="s">
        <v>871</v>
      </c>
      <c r="G38" s="296" t="s">
        <v>849</v>
      </c>
      <c r="H38" s="296" t="s">
        <v>852</v>
      </c>
      <c r="I38" s="296" t="s">
        <v>872</v>
      </c>
      <c r="J38" s="296" t="s">
        <v>825</v>
      </c>
      <c r="K38" s="296" t="s">
        <v>862</v>
      </c>
      <c r="L38" s="296" t="s">
        <v>862</v>
      </c>
      <c r="M38" s="296" t="s">
        <v>841</v>
      </c>
      <c r="N38" s="296" t="s">
        <v>863</v>
      </c>
      <c r="O38" s="296" t="s">
        <v>873</v>
      </c>
      <c r="P38" s="296" t="s">
        <v>827</v>
      </c>
      <c r="Q38" s="296" t="s">
        <v>843</v>
      </c>
      <c r="R38" s="296" t="s">
        <v>843</v>
      </c>
      <c r="S38" s="296" t="s">
        <v>828</v>
      </c>
      <c r="T38" s="296" t="s">
        <v>843</v>
      </c>
      <c r="U38" s="296" t="s">
        <v>843</v>
      </c>
      <c r="V38" s="296" t="s">
        <v>843</v>
      </c>
      <c r="W38" s="670"/>
      <c r="X38" s="296" t="s">
        <v>831</v>
      </c>
      <c r="Y38" s="296" t="s">
        <v>831</v>
      </c>
      <c r="Z38" s="296" t="s">
        <v>830</v>
      </c>
      <c r="AA38" s="296" t="s">
        <v>844</v>
      </c>
      <c r="AB38" s="296" t="s">
        <v>874</v>
      </c>
      <c r="AC38" s="296" t="s">
        <v>851</v>
      </c>
      <c r="AD38" s="296" t="s">
        <v>855</v>
      </c>
      <c r="AE38" s="296" t="s">
        <v>875</v>
      </c>
      <c r="AF38" s="296" t="s">
        <v>835</v>
      </c>
      <c r="AG38" s="296" t="s">
        <v>865</v>
      </c>
      <c r="AH38" s="296" t="s">
        <v>865</v>
      </c>
      <c r="AI38" s="296" t="s">
        <v>860</v>
      </c>
      <c r="AJ38" s="296" t="s">
        <v>866</v>
      </c>
      <c r="AK38" s="296" t="s">
        <v>876</v>
      </c>
      <c r="AL38" s="296" t="s">
        <v>837</v>
      </c>
      <c r="AM38" s="296" t="s">
        <v>847</v>
      </c>
      <c r="AN38" s="296" t="s">
        <v>847</v>
      </c>
      <c r="AO38" s="296" t="s">
        <v>838</v>
      </c>
      <c r="AP38" s="296" t="s">
        <v>847</v>
      </c>
      <c r="AQ38" s="296" t="s">
        <v>847</v>
      </c>
      <c r="AR38" s="296" t="s">
        <v>847</v>
      </c>
      <c r="AS38" s="670"/>
      <c r="AT38" s="296">
        <v>1.99</v>
      </c>
      <c r="AU38" s="296">
        <v>2.27</v>
      </c>
      <c r="AV38" s="296">
        <v>4.54</v>
      </c>
      <c r="AW38" s="296">
        <v>2.56</v>
      </c>
      <c r="AX38" s="296">
        <v>0.45</v>
      </c>
      <c r="AY38" s="296">
        <v>5.56</v>
      </c>
      <c r="AZ38" s="296">
        <v>5.56</v>
      </c>
      <c r="BA38" s="296">
        <v>3.46</v>
      </c>
      <c r="BB38" s="296">
        <v>3.46</v>
      </c>
      <c r="BC38" s="296">
        <v>3.29</v>
      </c>
      <c r="BD38" s="296">
        <v>3.29</v>
      </c>
      <c r="BE38" s="296" t="s">
        <v>877</v>
      </c>
      <c r="BF38" s="296" t="s">
        <v>877</v>
      </c>
      <c r="BG38" s="296" t="s">
        <v>877</v>
      </c>
      <c r="BH38" s="296" t="s">
        <v>877</v>
      </c>
      <c r="BI38" s="296" t="s">
        <v>877</v>
      </c>
      <c r="BJ38" s="297" t="s">
        <v>877</v>
      </c>
    </row>
  </sheetData>
  <sheetProtection algorithmName="SHA-512" hashValue="FG0260Vahb6jDwTVyI6WdEdXoxND+O2xssXvWelVPNuCECOBNGStfVnSHBkzxSZsZNwZmP8jILIO4oSmHnpg9w==" saltValue="idJ/2M7S3JB/js2yga7tKw==" spinCount="100000" sheet="1" objects="1" scenarios="1"/>
  <customSheetViews>
    <customSheetView guid="{75D6F8CE-A4F4-4FDD-BA92-7996F9E19FA9}" scale="80" showGridLines="0">
      <pane xSplit="1" ySplit="2" topLeftCell="B3" activePane="bottomRight" state="frozen"/>
      <selection pane="bottomRight" activeCell="E12" sqref="E12"/>
      <pageMargins left="0.7" right="0.7" top="0.75" bottom="0.75" header="0.3" footer="0.3"/>
      <pageSetup orientation="portrait"/>
    </customSheetView>
  </customSheetViews>
  <mergeCells count="19">
    <mergeCell ref="AP1:AR1"/>
    <mergeCell ref="AT1:AW1"/>
    <mergeCell ref="AX1:AX2"/>
    <mergeCell ref="AY1:BD1"/>
    <mergeCell ref="BE1:BJ1"/>
    <mergeCell ref="A1:A2"/>
    <mergeCell ref="X1:Z1"/>
    <mergeCell ref="AA1:AC1"/>
    <mergeCell ref="AD1:AF1"/>
    <mergeCell ref="AG1:AI1"/>
    <mergeCell ref="AM1:AO1"/>
    <mergeCell ref="AJ1:AL1"/>
    <mergeCell ref="Q1:S1"/>
    <mergeCell ref="T1:V1"/>
    <mergeCell ref="B1:D1"/>
    <mergeCell ref="E1:G1"/>
    <mergeCell ref="H1:J1"/>
    <mergeCell ref="K1:M1"/>
    <mergeCell ref="N1:P1"/>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D164"/>
  <sheetViews>
    <sheetView showGridLines="0" topLeftCell="A48" zoomScale="85" zoomScaleNormal="85" zoomScaleSheetLayoutView="120" zoomScalePageLayoutView="90" workbookViewId="0">
      <selection activeCell="AB4" sqref="AB4"/>
    </sheetView>
  </sheetViews>
  <sheetFormatPr defaultColWidth="8.6640625" defaultRowHeight="13.2" outlineLevelCol="1" x14ac:dyDescent="0.25"/>
  <cols>
    <col min="1" max="1" width="3.6640625" style="593" customWidth="1"/>
    <col min="2" max="2" width="14.109375" style="34" customWidth="1"/>
    <col min="3" max="3" width="35.44140625" style="34" customWidth="1"/>
    <col min="4" max="4" width="12.33203125" style="34" customWidth="1"/>
    <col min="5" max="5" width="2.109375" style="34" customWidth="1"/>
    <col min="6" max="6" width="14.6640625" style="34" customWidth="1"/>
    <col min="7" max="7" width="8.44140625" style="34" customWidth="1"/>
    <col min="8" max="8" width="11.5546875" style="34" customWidth="1"/>
    <col min="9" max="9" width="14" style="34" customWidth="1"/>
    <col min="10" max="10" width="14.6640625" style="34" customWidth="1"/>
    <col min="11" max="11" width="12.33203125" style="34" customWidth="1"/>
    <col min="12" max="12" width="26" style="34" customWidth="1"/>
    <col min="13" max="13" width="9.109375" style="34" customWidth="1"/>
    <col min="14" max="14" width="11.44140625" style="81" customWidth="1"/>
    <col min="15" max="16" width="11.6640625" style="1" customWidth="1"/>
    <col min="17" max="17" width="9.109375" style="1" customWidth="1"/>
    <col min="18" max="18" width="2.77734375" style="34" customWidth="1"/>
    <col min="19" max="27" width="8.6640625" style="34" hidden="1" customWidth="1" outlineLevel="1"/>
    <col min="28" max="28" width="2.77734375" style="34" customWidth="1" collapsed="1"/>
    <col min="29" max="29" width="2.77734375" style="34" customWidth="1"/>
    <col min="30" max="30" width="50.77734375" style="34" customWidth="1"/>
    <col min="31" max="16384" width="8.6640625" style="34"/>
  </cols>
  <sheetData>
    <row r="1" spans="1:30" s="24" customFormat="1" x14ac:dyDescent="0.3">
      <c r="A1" s="717" t="s">
        <v>1299</v>
      </c>
      <c r="B1" s="33"/>
      <c r="C1" s="33"/>
      <c r="D1" s="33"/>
      <c r="E1" s="33"/>
      <c r="F1" s="33"/>
      <c r="G1" s="33"/>
      <c r="H1" s="32"/>
      <c r="I1" s="33"/>
      <c r="J1" s="32"/>
      <c r="K1" s="32"/>
      <c r="L1" s="33"/>
      <c r="M1" s="33"/>
      <c r="N1" s="33"/>
      <c r="O1" s="33"/>
      <c r="P1" s="33"/>
      <c r="Q1" s="33"/>
    </row>
    <row r="2" spans="1:30" s="24" customFormat="1" ht="24.75" customHeight="1" x14ac:dyDescent="0.3">
      <c r="A2" s="717" t="s">
        <v>1299</v>
      </c>
      <c r="B2" s="40" t="s">
        <v>301</v>
      </c>
      <c r="C2" s="44"/>
      <c r="D2" s="44"/>
      <c r="E2" s="44"/>
      <c r="F2" s="44"/>
      <c r="G2" s="44"/>
      <c r="H2" s="44"/>
      <c r="I2" s="44"/>
      <c r="J2" s="44"/>
      <c r="K2" s="44"/>
      <c r="L2" s="44"/>
      <c r="M2" s="44"/>
      <c r="N2" s="44"/>
      <c r="O2" s="44"/>
      <c r="P2" s="44"/>
      <c r="Q2" s="44"/>
    </row>
    <row r="3" spans="1:30" s="24" customFormat="1" ht="15" customHeight="1" x14ac:dyDescent="0.3">
      <c r="A3" s="717" t="s">
        <v>1299</v>
      </c>
      <c r="B3" s="33"/>
      <c r="C3" s="33"/>
      <c r="D3" s="33"/>
      <c r="E3" s="33"/>
      <c r="F3" s="33"/>
      <c r="G3" s="33"/>
      <c r="H3" s="32"/>
      <c r="I3" s="33"/>
      <c r="J3" s="32"/>
      <c r="K3" s="32"/>
      <c r="L3" s="33"/>
      <c r="M3" s="33"/>
      <c r="N3" s="33"/>
      <c r="O3" s="33"/>
      <c r="P3" s="33"/>
      <c r="Q3" s="33"/>
    </row>
    <row r="4" spans="1:30" ht="21.75" customHeight="1" x14ac:dyDescent="0.25">
      <c r="A4" s="593" t="s">
        <v>1299</v>
      </c>
      <c r="N4" s="1"/>
    </row>
    <row r="5" spans="1:30" s="24" customFormat="1" ht="30" customHeight="1" x14ac:dyDescent="0.25">
      <c r="A5" s="593" t="s">
        <v>1299</v>
      </c>
      <c r="B5" s="26" t="s">
        <v>281</v>
      </c>
      <c r="C5" s="31"/>
      <c r="D5" s="31"/>
      <c r="E5" s="31"/>
      <c r="F5" s="31"/>
      <c r="G5" s="31"/>
      <c r="H5" s="31"/>
      <c r="I5" s="31"/>
      <c r="J5" s="31"/>
      <c r="K5" s="31"/>
      <c r="L5" s="31"/>
      <c r="M5" s="31"/>
      <c r="N5" s="100"/>
      <c r="O5" s="100"/>
      <c r="P5" s="100"/>
      <c r="Q5" s="100"/>
    </row>
    <row r="6" spans="1:30" ht="48.75" customHeight="1" x14ac:dyDescent="0.3">
      <c r="A6" s="593" t="s">
        <v>1299</v>
      </c>
      <c r="B6" s="2209" t="s">
        <v>1055</v>
      </c>
      <c r="C6" s="2209"/>
      <c r="D6" s="2209"/>
      <c r="E6" s="2209"/>
      <c r="F6" s="2209"/>
      <c r="G6" s="2209"/>
      <c r="H6" s="2209"/>
      <c r="I6" s="2209"/>
      <c r="J6" s="2209"/>
      <c r="K6" s="2209"/>
      <c r="L6" s="2209"/>
      <c r="M6" s="2346"/>
      <c r="N6" s="2346"/>
      <c r="O6" s="2346"/>
      <c r="P6" s="2346"/>
      <c r="Q6" s="2346"/>
      <c r="AD6" s="738" t="s">
        <v>2090</v>
      </c>
    </row>
    <row r="7" spans="1:30" s="24" customFormat="1" ht="26.25" customHeight="1" x14ac:dyDescent="0.25">
      <c r="A7" s="593" t="s">
        <v>1299</v>
      </c>
      <c r="B7" s="29" t="s">
        <v>180</v>
      </c>
      <c r="C7" s="31"/>
      <c r="D7" s="31"/>
      <c r="E7" s="31"/>
      <c r="F7" s="31"/>
      <c r="G7" s="31"/>
      <c r="H7" s="31"/>
      <c r="I7" s="31"/>
      <c r="J7" s="31"/>
      <c r="K7" s="31"/>
      <c r="L7" s="31"/>
      <c r="M7" s="31"/>
      <c r="N7" s="100"/>
      <c r="O7" s="100"/>
      <c r="P7" s="100"/>
      <c r="Q7" s="100"/>
    </row>
    <row r="8" spans="1:30" ht="18" customHeight="1" x14ac:dyDescent="0.3">
      <c r="A8" s="593" t="s">
        <v>1299</v>
      </c>
      <c r="B8" s="2405" t="s">
        <v>1140</v>
      </c>
      <c r="C8" s="2344"/>
      <c r="D8" s="2344"/>
      <c r="E8" s="2344"/>
      <c r="F8" s="2344"/>
      <c r="G8" s="2344"/>
      <c r="H8" s="2344"/>
      <c r="I8" s="2344"/>
      <c r="J8" s="2344"/>
      <c r="K8" s="2344"/>
      <c r="L8" s="2344"/>
      <c r="M8" s="2344"/>
      <c r="N8" s="2344"/>
      <c r="O8" s="2344"/>
      <c r="P8" s="2403" t="s">
        <v>25</v>
      </c>
      <c r="Q8" s="2404"/>
      <c r="AD8" s="1894"/>
    </row>
    <row r="9" spans="1:30" customFormat="1" ht="9.75" customHeight="1" x14ac:dyDescent="0.3">
      <c r="A9" s="593" t="s">
        <v>1299</v>
      </c>
      <c r="L9" s="34"/>
      <c r="N9" s="81"/>
      <c r="O9" s="389"/>
      <c r="P9" s="596"/>
      <c r="Q9" s="1"/>
    </row>
    <row r="10" spans="1:30" ht="20.25" customHeight="1" x14ac:dyDescent="0.3">
      <c r="A10" s="593" t="s">
        <v>1299</v>
      </c>
      <c r="B10" s="2406" t="s">
        <v>1141</v>
      </c>
      <c r="C10" s="2344"/>
      <c r="D10" s="2344"/>
      <c r="E10" s="2344"/>
      <c r="F10" s="2344"/>
      <c r="G10" s="2344"/>
      <c r="H10" s="2344"/>
      <c r="I10" s="2344"/>
      <c r="J10" s="2344"/>
      <c r="K10" s="2344"/>
      <c r="L10" s="2344"/>
      <c r="M10" s="2344"/>
      <c r="N10" s="2344"/>
      <c r="O10" s="2344"/>
      <c r="P10" s="2403" t="s">
        <v>25</v>
      </c>
      <c r="Q10" s="2404"/>
      <c r="AD10" s="1894"/>
    </row>
    <row r="11" spans="1:30" customFormat="1" ht="9.75" customHeight="1" x14ac:dyDescent="0.3">
      <c r="A11" s="593" t="s">
        <v>1299</v>
      </c>
      <c r="O11" s="389"/>
      <c r="P11" s="596"/>
    </row>
    <row r="12" spans="1:30" ht="29.25" customHeight="1" x14ac:dyDescent="0.3">
      <c r="A12" s="593" t="s">
        <v>1299</v>
      </c>
      <c r="B12" s="2405" t="s">
        <v>989</v>
      </c>
      <c r="C12" s="2344"/>
      <c r="D12" s="2344"/>
      <c r="E12" s="2344"/>
      <c r="F12" s="2344"/>
      <c r="G12" s="2344"/>
      <c r="H12" s="2344"/>
      <c r="I12" s="2344"/>
      <c r="J12" s="2344"/>
      <c r="K12" s="2344"/>
      <c r="L12" s="2344"/>
      <c r="M12" s="2344"/>
      <c r="N12" s="2344"/>
      <c r="O12" s="2344"/>
      <c r="P12" s="2403" t="s">
        <v>25</v>
      </c>
      <c r="Q12" s="2404"/>
      <c r="AD12" s="1894"/>
    </row>
    <row r="13" spans="1:30" customFormat="1" ht="9.75" customHeight="1" x14ac:dyDescent="0.3">
      <c r="A13" s="593" t="s">
        <v>1299</v>
      </c>
      <c r="O13" s="389"/>
      <c r="P13" s="596"/>
    </row>
    <row r="14" spans="1:30" ht="40.5" customHeight="1" x14ac:dyDescent="0.3">
      <c r="A14" s="593" t="s">
        <v>1299</v>
      </c>
      <c r="B14" s="2405" t="s">
        <v>1050</v>
      </c>
      <c r="C14" s="2344"/>
      <c r="D14" s="2344"/>
      <c r="E14" s="2344"/>
      <c r="F14" s="2344"/>
      <c r="G14" s="2344"/>
      <c r="H14" s="2344"/>
      <c r="I14" s="2344"/>
      <c r="J14" s="2344"/>
      <c r="K14" s="2344"/>
      <c r="L14" s="2344"/>
      <c r="M14" s="2344"/>
      <c r="N14" s="2344"/>
      <c r="O14" s="2344"/>
      <c r="P14" s="2403" t="s">
        <v>25</v>
      </c>
      <c r="Q14" s="2404"/>
      <c r="AD14" s="1894"/>
    </row>
    <row r="15" spans="1:30" customFormat="1" ht="9.75" customHeight="1" x14ac:dyDescent="0.3">
      <c r="A15" s="593" t="s">
        <v>1299</v>
      </c>
      <c r="O15" s="389"/>
      <c r="P15" s="596"/>
    </row>
    <row r="16" spans="1:30" ht="32.25" customHeight="1" x14ac:dyDescent="0.3">
      <c r="A16" s="593" t="s">
        <v>1299</v>
      </c>
      <c r="B16" s="2405" t="s">
        <v>1051</v>
      </c>
      <c r="C16" s="2344"/>
      <c r="D16" s="2344"/>
      <c r="E16" s="2344"/>
      <c r="F16" s="2344"/>
      <c r="G16" s="2344"/>
      <c r="H16" s="2344"/>
      <c r="I16" s="2344"/>
      <c r="J16" s="2344"/>
      <c r="K16" s="2344"/>
      <c r="L16" s="2344"/>
      <c r="M16" s="2344"/>
      <c r="N16" s="2344"/>
      <c r="O16" s="2344"/>
      <c r="P16" s="2403" t="s">
        <v>25</v>
      </c>
      <c r="Q16" s="2404"/>
      <c r="AD16" s="1894"/>
    </row>
    <row r="17" spans="1:30" customFormat="1" ht="9.75" customHeight="1" x14ac:dyDescent="0.3">
      <c r="A17" s="593" t="s">
        <v>1299</v>
      </c>
      <c r="O17" s="389"/>
      <c r="P17" s="596"/>
    </row>
    <row r="18" spans="1:30" ht="20.25" customHeight="1" x14ac:dyDescent="0.3">
      <c r="A18" s="593" t="s">
        <v>1299</v>
      </c>
      <c r="B18" s="2405" t="s">
        <v>990</v>
      </c>
      <c r="C18" s="2344"/>
      <c r="D18" s="2344"/>
      <c r="E18" s="2344"/>
      <c r="F18" s="2344"/>
      <c r="G18" s="2344"/>
      <c r="H18" s="2344"/>
      <c r="I18" s="2344"/>
      <c r="J18" s="2344"/>
      <c r="K18" s="2344"/>
      <c r="L18" s="2344"/>
      <c r="M18" s="2344"/>
      <c r="N18" s="2344"/>
      <c r="O18" s="2344"/>
      <c r="P18" s="2403" t="s">
        <v>25</v>
      </c>
      <c r="Q18" s="2404"/>
      <c r="AD18" s="1894"/>
    </row>
    <row r="19" spans="1:30" ht="15" customHeight="1" x14ac:dyDescent="0.25">
      <c r="A19" s="593" t="s">
        <v>1299</v>
      </c>
      <c r="B19" s="36"/>
      <c r="C19" s="36"/>
      <c r="D19" s="36"/>
      <c r="E19" s="36"/>
      <c r="F19" s="36"/>
      <c r="G19" s="36"/>
      <c r="H19" s="36"/>
      <c r="I19" s="36"/>
      <c r="J19" s="36"/>
      <c r="K19" s="36"/>
      <c r="L19" s="35"/>
    </row>
    <row r="20" spans="1:30" s="24" customFormat="1" ht="50.25" customHeight="1" x14ac:dyDescent="0.3">
      <c r="A20" s="593" t="s">
        <v>1299</v>
      </c>
      <c r="B20" s="2345" t="s">
        <v>309</v>
      </c>
      <c r="C20" s="2345"/>
      <c r="D20" s="2345"/>
      <c r="E20" s="2345"/>
      <c r="F20" s="2345"/>
      <c r="G20" s="2345"/>
      <c r="H20" s="2345"/>
      <c r="I20" s="2345"/>
      <c r="J20" s="2345"/>
      <c r="K20" s="2345"/>
      <c r="L20" s="2345"/>
      <c r="M20" s="2346"/>
      <c r="N20" s="2346"/>
      <c r="O20" s="2346"/>
      <c r="P20" s="2346"/>
      <c r="Q20" s="2346"/>
    </row>
    <row r="21" spans="1:30" s="24" customFormat="1" ht="14.4" x14ac:dyDescent="0.25">
      <c r="A21" s="593" t="s">
        <v>1299</v>
      </c>
      <c r="B21" s="2235"/>
      <c r="C21" s="2236"/>
      <c r="D21" s="2236"/>
      <c r="E21" s="2236"/>
      <c r="F21" s="2236"/>
      <c r="G21" s="2236"/>
      <c r="H21" s="2236"/>
      <c r="I21" s="2236"/>
      <c r="J21" s="2236"/>
      <c r="K21" s="2236"/>
      <c r="L21" s="2236"/>
      <c r="M21" s="2237"/>
      <c r="N21" s="2237"/>
      <c r="O21" s="2237"/>
      <c r="P21" s="2237"/>
      <c r="Q21" s="2238"/>
      <c r="AD21" s="1895"/>
    </row>
    <row r="22" spans="1:30" ht="20.25" customHeight="1" x14ac:dyDescent="0.25">
      <c r="A22" s="593" t="s">
        <v>1299</v>
      </c>
      <c r="B22" s="48"/>
      <c r="C22" s="48"/>
      <c r="D22" s="48"/>
      <c r="E22" s="48"/>
      <c r="F22" s="35"/>
      <c r="G22" s="35"/>
      <c r="H22" s="35"/>
      <c r="I22" s="35"/>
      <c r="J22" s="35"/>
      <c r="K22" s="35"/>
      <c r="L22" s="35"/>
    </row>
    <row r="23" spans="1:30" s="24" customFormat="1" ht="26.25" customHeight="1" x14ac:dyDescent="0.25">
      <c r="A23" s="593" t="s">
        <v>1299</v>
      </c>
      <c r="B23" s="29" t="s">
        <v>96</v>
      </c>
      <c r="C23" s="31"/>
      <c r="D23" s="31"/>
      <c r="E23" s="31"/>
      <c r="F23" s="31"/>
      <c r="G23" s="31"/>
      <c r="H23" s="31"/>
      <c r="I23" s="31"/>
      <c r="J23" s="31"/>
      <c r="K23" s="31"/>
      <c r="L23" s="31"/>
      <c r="M23" s="31"/>
      <c r="N23" s="100"/>
      <c r="O23" s="100"/>
      <c r="P23" s="100"/>
      <c r="Q23" s="100"/>
    </row>
    <row r="24" spans="1:30" ht="48" customHeight="1" x14ac:dyDescent="0.3">
      <c r="A24" s="593" t="s">
        <v>1299</v>
      </c>
      <c r="B24" s="2342" t="s">
        <v>1142</v>
      </c>
      <c r="C24" s="2343"/>
      <c r="D24" s="2343"/>
      <c r="E24" s="2343"/>
      <c r="F24" s="2343"/>
      <c r="G24" s="2343"/>
      <c r="H24" s="2343"/>
      <c r="I24" s="2343"/>
      <c r="J24" s="2343"/>
      <c r="K24" s="2343"/>
      <c r="L24" s="2150"/>
      <c r="M24" s="2150"/>
      <c r="N24" s="2150"/>
      <c r="O24" s="2391" t="s">
        <v>1759</v>
      </c>
      <c r="P24" s="2392"/>
      <c r="Q24" s="2393"/>
      <c r="Z24" s="1278">
        <v>2</v>
      </c>
      <c r="AD24" s="1894"/>
    </row>
    <row r="25" spans="1:30" x14ac:dyDescent="0.25">
      <c r="A25" s="593" t="s">
        <v>1299</v>
      </c>
      <c r="B25" s="48"/>
      <c r="C25" s="48"/>
      <c r="D25" s="48"/>
      <c r="E25" s="48"/>
      <c r="F25" s="35"/>
      <c r="G25" s="35"/>
      <c r="H25" s="35"/>
      <c r="I25" s="35"/>
      <c r="J25" s="35"/>
      <c r="K25" s="35"/>
      <c r="L25" s="35"/>
      <c r="P25" s="391"/>
    </row>
    <row r="26" spans="1:30" s="24" customFormat="1" ht="26.25" hidden="1" customHeight="1" x14ac:dyDescent="0.25">
      <c r="A26" s="593" t="s">
        <v>1299</v>
      </c>
      <c r="B26" s="38" t="s">
        <v>1059</v>
      </c>
      <c r="C26" s="31"/>
      <c r="D26" s="31"/>
      <c r="E26" s="31"/>
      <c r="F26" s="31"/>
      <c r="G26" s="31"/>
      <c r="H26" s="31"/>
      <c r="I26" s="31"/>
      <c r="J26" s="31"/>
      <c r="K26" s="31"/>
      <c r="L26" s="31"/>
      <c r="M26" s="31"/>
      <c r="N26" s="100"/>
      <c r="O26" s="100"/>
      <c r="P26" s="100"/>
      <c r="Q26" s="100"/>
    </row>
    <row r="27" spans="1:30" s="24" customFormat="1" ht="21" hidden="1" customHeight="1" x14ac:dyDescent="0.25">
      <c r="A27" s="593" t="s">
        <v>1299</v>
      </c>
      <c r="B27" s="66" t="s">
        <v>1061</v>
      </c>
      <c r="C27" s="31"/>
      <c r="D27" s="31"/>
      <c r="E27" s="31"/>
      <c r="F27" s="31"/>
      <c r="G27" s="31"/>
      <c r="H27" s="31"/>
      <c r="I27" s="31"/>
      <c r="J27" s="31"/>
      <c r="K27" s="31"/>
      <c r="L27" s="31"/>
      <c r="M27" s="31"/>
      <c r="N27" s="100"/>
      <c r="O27" s="100"/>
      <c r="P27" s="100"/>
      <c r="Q27" s="100"/>
    </row>
    <row r="28" spans="1:30" s="25" customFormat="1" ht="26.25" hidden="1" customHeight="1" x14ac:dyDescent="0.25">
      <c r="A28" s="593" t="s">
        <v>1299</v>
      </c>
      <c r="B28" s="2492" t="s">
        <v>305</v>
      </c>
      <c r="C28" s="2493"/>
      <c r="D28" s="2505"/>
      <c r="E28" s="1537"/>
      <c r="F28" s="2492" t="s">
        <v>347</v>
      </c>
      <c r="G28" s="2505"/>
      <c r="H28" s="2492" t="s">
        <v>348</v>
      </c>
      <c r="I28" s="2493"/>
      <c r="J28" s="2493"/>
      <c r="K28" s="2493"/>
      <c r="L28" s="2493"/>
      <c r="M28" s="2494"/>
      <c r="N28" s="2494"/>
      <c r="O28" s="2494"/>
      <c r="P28" s="2494"/>
      <c r="Q28" s="2495"/>
    </row>
    <row r="29" spans="1:30" s="25" customFormat="1" ht="63.75" hidden="1" customHeight="1" x14ac:dyDescent="0.25">
      <c r="A29" s="593" t="s">
        <v>1299</v>
      </c>
      <c r="B29" s="1534" t="s">
        <v>1358</v>
      </c>
      <c r="C29" s="1535" t="s">
        <v>1060</v>
      </c>
      <c r="D29" s="1536" t="str">
        <f>IF(SI_IP_Units="IP","Total Building Type Area
(sq ft)","Total Building Type Area
(sq m)")</f>
        <v>Total Building Type Area
(sq m)</v>
      </c>
      <c r="E29" s="954"/>
      <c r="F29" s="2498" t="str">
        <f>IF(SI_IP_Units="IP","Modeled LPD
(W/sq ft)","Modeled LPD
(W/sq m)")</f>
        <v>Modeled LPD
(W/sq m)</v>
      </c>
      <c r="G29" s="2499"/>
      <c r="H29" s="1534" t="str">
        <f>IF(SI_IP_Units="IP","Design LPD
(W/sq ft)","Design LPD
(W/sq m)")</f>
        <v>Design LPD
(W/sq m)</v>
      </c>
      <c r="I29" s="1535" t="s">
        <v>310</v>
      </c>
      <c r="J29" s="1535" t="s">
        <v>311</v>
      </c>
      <c r="K29" s="1535" t="str">
        <f>IF(SI_IP_Units="IP","Modelled LPD
(W/sq ft)","Modelled LPD
(W/sq m)")</f>
        <v>Modelled LPD
(W/sq m)</v>
      </c>
      <c r="L29" s="2502" t="s">
        <v>94</v>
      </c>
      <c r="M29" s="2503"/>
      <c r="N29" s="2503"/>
      <c r="O29" s="2503"/>
      <c r="P29" s="2503"/>
      <c r="Q29" s="2504"/>
    </row>
    <row r="30" spans="1:30" s="25" customFormat="1" ht="192.75" hidden="1" customHeight="1" x14ac:dyDescent="0.25">
      <c r="A30" s="593" t="s">
        <v>1299</v>
      </c>
      <c r="B30" s="1493" t="s">
        <v>1888</v>
      </c>
      <c r="C30" s="2323" t="s">
        <v>1723</v>
      </c>
      <c r="D30" s="2394"/>
      <c r="E30" s="1486"/>
      <c r="F30" s="2395" t="s">
        <v>1724</v>
      </c>
      <c r="G30" s="2323"/>
      <c r="H30" s="1494" t="s">
        <v>1725</v>
      </c>
      <c r="I30" s="1494" t="s">
        <v>1726</v>
      </c>
      <c r="J30" s="2323" t="s">
        <v>1727</v>
      </c>
      <c r="K30" s="2323"/>
      <c r="L30" s="2323" t="s">
        <v>1728</v>
      </c>
      <c r="M30" s="2138"/>
      <c r="N30" s="2138"/>
      <c r="O30" s="2138"/>
      <c r="P30" s="2138"/>
      <c r="Q30" s="2324"/>
    </row>
    <row r="31" spans="1:30" s="25" customFormat="1" ht="52.8" hidden="1" x14ac:dyDescent="0.25">
      <c r="A31" s="593" t="s">
        <v>1299</v>
      </c>
      <c r="B31" s="1521" t="str">
        <f>B29</f>
        <v>Building ID</v>
      </c>
      <c r="C31" s="1487" t="str">
        <f t="shared" ref="C31:L31" si="0">C29</f>
        <v>Table 9.5.1 
Building Area Type</v>
      </c>
      <c r="D31" s="1487" t="str">
        <f t="shared" si="0"/>
        <v>Total Building Type Area
(sq m)</v>
      </c>
      <c r="E31" s="1018">
        <f t="shared" si="0"/>
        <v>0</v>
      </c>
      <c r="F31" s="1487" t="str">
        <f t="shared" si="0"/>
        <v>Modeled LPD
(W/sq m)</v>
      </c>
      <c r="G31" s="1487">
        <f t="shared" si="0"/>
        <v>0</v>
      </c>
      <c r="H31" s="1487" t="str">
        <f t="shared" si="0"/>
        <v>Design LPD
(W/sq m)</v>
      </c>
      <c r="I31" s="1487" t="str">
        <f t="shared" si="0"/>
        <v>Automatic Lighting 
Controls and Space Types</v>
      </c>
      <c r="J31" s="1487" t="str">
        <f t="shared" si="0"/>
        <v>Table G3.2 Power 
Adjustment</v>
      </c>
      <c r="K31" s="1487" t="str">
        <f t="shared" si="0"/>
        <v>Modelled LPD
(W/sq m)</v>
      </c>
      <c r="L31" s="1487" t="str">
        <f t="shared" si="0"/>
        <v>Daylighting Controls</v>
      </c>
      <c r="M31" s="1488"/>
      <c r="N31" s="1489"/>
      <c r="O31" s="1488"/>
      <c r="P31" s="1488"/>
      <c r="Q31" s="1522"/>
    </row>
    <row r="32" spans="1:30" s="25" customFormat="1" ht="15" hidden="1" customHeight="1" x14ac:dyDescent="0.25">
      <c r="A32" s="593"/>
      <c r="B32" s="1523" t="str">
        <f>'Multiple Buildings Details'!B24</f>
        <v>Saudi Aramco Corporate Academy - Dhahran</v>
      </c>
      <c r="C32" s="1014" t="str">
        <f>"Residential Dwelling Units"</f>
        <v>Residential Dwelling Units</v>
      </c>
      <c r="D32" s="1006"/>
      <c r="E32" s="1019"/>
      <c r="F32" s="2500">
        <f>0.9*IF(SI_IP_Units="IP",1,CONVERT(1,"m","ft")^2)</f>
        <v>9.687519375038752</v>
      </c>
      <c r="G32" s="2500"/>
      <c r="H32" s="1015"/>
      <c r="I32" s="1409"/>
      <c r="J32" s="1016"/>
      <c r="K32" s="1015"/>
      <c r="L32" s="2263"/>
      <c r="M32" s="2400"/>
      <c r="N32" s="2400"/>
      <c r="O32" s="2400"/>
      <c r="P32" s="2400"/>
      <c r="Q32" s="2401"/>
      <c r="AD32" s="1909"/>
    </row>
    <row r="33" spans="1:30" ht="15" hidden="1" customHeight="1" x14ac:dyDescent="0.3">
      <c r="A33" s="593" t="s">
        <v>915</v>
      </c>
      <c r="B33" s="1524" t="str">
        <f>GI_Project_Name</f>
        <v>Saudi Aramco Corporate Academy - Dhahran</v>
      </c>
      <c r="C33" s="1410"/>
      <c r="D33" s="1006"/>
      <c r="E33" s="1019"/>
      <c r="F33" s="2500" t="str">
        <f>IFERROR(VLOOKUP(C33,'Lighting Assumptions'!A:C,IF(SI_IP_Units="SI",3,2)),"")</f>
        <v/>
      </c>
      <c r="G33" s="2500"/>
      <c r="H33" s="1015"/>
      <c r="I33" s="1409"/>
      <c r="J33" s="1016"/>
      <c r="K33" s="1015"/>
      <c r="L33" s="2263"/>
      <c r="M33" s="2321"/>
      <c r="N33" s="2321"/>
      <c r="O33" s="2321"/>
      <c r="P33" s="2321"/>
      <c r="Q33" s="2322"/>
      <c r="AD33" s="1894"/>
    </row>
    <row r="34" spans="1:30" ht="15" hidden="1" customHeight="1" x14ac:dyDescent="0.3">
      <c r="B34" s="1524" t="str">
        <f>GI_Project_Name</f>
        <v>Saudi Aramco Corporate Academy - Dhahran</v>
      </c>
      <c r="C34" s="1410"/>
      <c r="D34" s="1006"/>
      <c r="E34" s="1019"/>
      <c r="F34" s="2500" t="str">
        <f>IFERROR(VLOOKUP(C34,'Lighting Assumptions'!A:C,IF(SI_IP_Units="SI",3,2)),"")</f>
        <v/>
      </c>
      <c r="G34" s="2500"/>
      <c r="H34" s="1015"/>
      <c r="I34" s="1409"/>
      <c r="J34" s="1016"/>
      <c r="K34" s="1015"/>
      <c r="L34" s="2263"/>
      <c r="M34" s="2321"/>
      <c r="N34" s="2321"/>
      <c r="O34" s="2321"/>
      <c r="P34" s="2321"/>
      <c r="Q34" s="2322"/>
      <c r="AD34" s="1897"/>
    </row>
    <row r="35" spans="1:30" ht="15" hidden="1" customHeight="1" x14ac:dyDescent="0.3">
      <c r="B35" s="1525" t="str">
        <f>GI_Project_Name</f>
        <v>Saudi Aramco Corporate Academy - Dhahran</v>
      </c>
      <c r="C35" s="1526"/>
      <c r="D35" s="1527"/>
      <c r="E35" s="1019"/>
      <c r="F35" s="2501" t="str">
        <f>IFERROR(VLOOKUP(C35,'Lighting Assumptions'!A:C,IF(SI_IP_Units="SI",3,2)),"")</f>
        <v/>
      </c>
      <c r="G35" s="2501"/>
      <c r="H35" s="1528"/>
      <c r="I35" s="1529"/>
      <c r="J35" s="1530"/>
      <c r="K35" s="1528"/>
      <c r="L35" s="2496"/>
      <c r="M35" s="2358"/>
      <c r="N35" s="2358"/>
      <c r="O35" s="2358"/>
      <c r="P35" s="2358"/>
      <c r="Q35" s="2359"/>
      <c r="AD35" s="1894"/>
    </row>
    <row r="36" spans="1:30" ht="21" hidden="1" customHeight="1" x14ac:dyDescent="0.3">
      <c r="B36" s="1829" t="s">
        <v>18</v>
      </c>
      <c r="C36" s="1830"/>
      <c r="D36" s="1532">
        <f>IFERROR(SUM(D32:D35),0)</f>
        <v>0</v>
      </c>
      <c r="E36" s="1531"/>
      <c r="F36" s="2458">
        <f>IFERROR(SUMPRODUCT($D32:$D35,F32:F35)/SUM($D32:$D35),0)</f>
        <v>0</v>
      </c>
      <c r="G36" s="2458"/>
      <c r="H36" s="1533">
        <f>IFERROR(SUMPRODUCT($D32:$D35,H32:H35)/SUM($D32:$D35),0)</f>
        <v>0</v>
      </c>
      <c r="I36" s="1531"/>
      <c r="J36" s="1531"/>
      <c r="K36" s="1533">
        <f>IFERROR(SUMPRODUCT($D32:$D35,K32:K35)/SUM($D32:$D35),0)</f>
        <v>0</v>
      </c>
      <c r="L36" s="2497"/>
      <c r="M36" s="2376"/>
      <c r="N36" s="2376"/>
      <c r="O36" s="2376"/>
      <c r="P36" s="2376"/>
      <c r="Q36" s="2379"/>
      <c r="AD36" s="1894"/>
    </row>
    <row r="37" spans="1:30" ht="9.75" hidden="1" customHeight="1" x14ac:dyDescent="0.25">
      <c r="B37" s="770"/>
      <c r="C37" s="771"/>
      <c r="D37" s="772"/>
      <c r="E37" s="773"/>
      <c r="F37" s="773"/>
      <c r="G37" s="772"/>
      <c r="H37" s="774"/>
      <c r="I37" s="775"/>
      <c r="J37" s="776"/>
      <c r="K37" s="774"/>
      <c r="L37" s="775"/>
    </row>
    <row r="38" spans="1:30" ht="38.25" hidden="1" customHeight="1" x14ac:dyDescent="0.25">
      <c r="A38" s="593" t="s">
        <v>1299</v>
      </c>
      <c r="E38" s="25"/>
      <c r="F38" s="25"/>
      <c r="G38" s="25"/>
      <c r="H38" s="25"/>
      <c r="I38" s="25"/>
      <c r="J38" s="25"/>
      <c r="K38" s="25"/>
      <c r="L38" s="25"/>
    </row>
    <row r="39" spans="1:30" ht="16.5" hidden="1" customHeight="1" x14ac:dyDescent="0.25">
      <c r="A39" s="593" t="s">
        <v>1299</v>
      </c>
      <c r="E39" s="25"/>
      <c r="F39" s="25"/>
      <c r="G39" s="25"/>
      <c r="H39" s="25"/>
      <c r="I39" s="25"/>
      <c r="J39" s="25"/>
      <c r="K39" s="25"/>
      <c r="L39" s="25"/>
    </row>
    <row r="40" spans="1:30" ht="20.25" hidden="1" customHeight="1" x14ac:dyDescent="0.3">
      <c r="A40" s="593" t="s">
        <v>1299</v>
      </c>
      <c r="B40" s="2402" t="s">
        <v>1358</v>
      </c>
      <c r="C40" s="2402" t="str">
        <f>CONCATENATE("Total Space Area ",IF(SI_IP_Units="IP","(sq ft)","(sq m)"))</f>
        <v>Total Space Area (sq m)</v>
      </c>
      <c r="D40" s="2451"/>
      <c r="E40" s="2451"/>
      <c r="F40" s="2451"/>
      <c r="G40" s="2463" t="s">
        <v>1681</v>
      </c>
      <c r="H40" s="2451"/>
      <c r="I40" s="2451"/>
      <c r="J40" s="2451"/>
      <c r="K40" s="2451"/>
      <c r="L40" s="2463" t="s">
        <v>1685</v>
      </c>
      <c r="M40" s="2451"/>
      <c r="N40" s="2451"/>
      <c r="O40" s="2451"/>
      <c r="P40" s="2451"/>
      <c r="Q40" s="2451"/>
    </row>
    <row r="41" spans="1:30" ht="56.25" hidden="1" customHeight="1" x14ac:dyDescent="0.3">
      <c r="A41" s="593" t="s">
        <v>1299</v>
      </c>
      <c r="B41" s="2402"/>
      <c r="C41" s="2402"/>
      <c r="D41" s="2451"/>
      <c r="E41" s="2451"/>
      <c r="F41" s="2451"/>
      <c r="G41" s="2402" t="str">
        <f>CONCATENATE("Baseline Maximum Allowance",CHAR(10),IF(SI_IP_Units="IP","(W/sq ft)","(W/sq m)"))</f>
        <v>Baseline Maximum Allowance
(W/sq m)</v>
      </c>
      <c r="H41" s="2451"/>
      <c r="I41" s="2451"/>
      <c r="J41" s="2402" t="str">
        <f>CONCATENATE("Design Maximum Allowance",CHAR(10),IF(SI_IP_Units="IP","(W/sq ft)","(W/sq m)"))</f>
        <v>Design Maximum Allowance
(W/sq m)</v>
      </c>
      <c r="K41" s="2451"/>
      <c r="L41" s="2402" t="str">
        <f>CONCATENATE("Baseline Maximum Allowance",CHAR(10),"(kW)")</f>
        <v>Baseline Maximum Allowance
(kW)</v>
      </c>
      <c r="M41" s="2451"/>
      <c r="N41" s="2451"/>
      <c r="O41" s="2402" t="str">
        <f>CONCATENATE("Design Maximum Allowance",CHAR(10),"(kW)")</f>
        <v>Design Maximum Allowance
(kW)</v>
      </c>
      <c r="P41" s="2451"/>
      <c r="Q41" s="2451"/>
    </row>
    <row r="42" spans="1:30" s="1004" customFormat="1" ht="56.25" hidden="1" customHeight="1" x14ac:dyDescent="0.25">
      <c r="A42" s="996"/>
      <c r="B42" s="1024" t="str">
        <f>B40</f>
        <v>Building ID</v>
      </c>
      <c r="C42" s="1024" t="str">
        <f>C40</f>
        <v>Total Space Area (sq m)</v>
      </c>
      <c r="D42" s="1025"/>
      <c r="E42" s="1025"/>
      <c r="F42" s="1025"/>
      <c r="G42" s="1026" t="s">
        <v>1682</v>
      </c>
      <c r="H42" s="1026"/>
      <c r="I42" s="1025"/>
      <c r="J42" s="1024" t="s">
        <v>1595</v>
      </c>
      <c r="K42" s="1025"/>
      <c r="L42" s="1026" t="s">
        <v>1683</v>
      </c>
      <c r="M42" s="1025"/>
      <c r="N42" s="1027"/>
      <c r="O42" s="1024" t="s">
        <v>1684</v>
      </c>
      <c r="P42" s="1028"/>
      <c r="Q42" s="1028"/>
    </row>
    <row r="43" spans="1:30" ht="18.75" hidden="1" customHeight="1" x14ac:dyDescent="0.3">
      <c r="A43" s="593" t="s">
        <v>1299</v>
      </c>
      <c r="B43" s="1023" t="str">
        <f>'Multiple Buildings Details'!B24</f>
        <v>Saudi Aramco Corporate Academy - Dhahran</v>
      </c>
      <c r="C43" s="2487">
        <f>IFERROR(SUMIF(L_BAMInput_Index,"="&amp;$B43,$D$31:$D$35),"")</f>
        <v>0</v>
      </c>
      <c r="D43" s="2488"/>
      <c r="E43" s="2488"/>
      <c r="F43" s="2488"/>
      <c r="G43" s="2426">
        <f>IFERROR(SUMPRODUCT(--($B$31:$B$35=$B43),$D$31:$D$35,$F$31:$F$35)/SUMIF($B$31:$B$35,"="&amp;$B43,$D$31:$D$35),0)</f>
        <v>0</v>
      </c>
      <c r="H43" s="2348"/>
      <c r="I43" s="2348"/>
      <c r="J43" s="2426">
        <f>IFERROR(SUMPRODUCT(--($B$31:$B$35=$B43),$D$31:$D$35,$K$31:$K$35)/SUMIF($B$31:$B$35,"="&amp;$B43,$D$31:$D$35),0)</f>
        <v>0</v>
      </c>
      <c r="K43" s="2348"/>
      <c r="L43" s="2506">
        <f>IFERROR(SUMPRODUCT(--($B$31:$B$35=$B43),$D$31:$D$35,$F$31:$F$35)/1000,0)</f>
        <v>0</v>
      </c>
      <c r="M43" s="2348"/>
      <c r="N43" s="2348"/>
      <c r="O43" s="2426">
        <f>IFERROR(SUMPRODUCT(--($B$31:$B$35=$B43),$D$31:$D$35,$K$31:$K$35)/1000,0)</f>
        <v>0</v>
      </c>
      <c r="P43" s="2348"/>
      <c r="Q43" s="2348"/>
    </row>
    <row r="44" spans="1:30" ht="20.25" hidden="1" customHeight="1" x14ac:dyDescent="0.25">
      <c r="A44" s="593" t="s">
        <v>1299</v>
      </c>
      <c r="E44" s="25"/>
      <c r="F44" s="25"/>
      <c r="G44" s="25"/>
      <c r="H44" s="25"/>
      <c r="I44" s="25"/>
      <c r="J44" s="25"/>
      <c r="K44" s="25"/>
      <c r="L44" s="25"/>
    </row>
    <row r="45" spans="1:30" s="24" customFormat="1" ht="26.25" customHeight="1" x14ac:dyDescent="0.25">
      <c r="A45" s="593" t="s">
        <v>1299</v>
      </c>
      <c r="B45" s="671" t="str">
        <f>IF(L38="Building Area Method","Building Area Method","Space by Space Method")</f>
        <v>Space by Space Method</v>
      </c>
      <c r="C45" s="31"/>
      <c r="D45" s="31"/>
      <c r="E45" s="31"/>
      <c r="F45" s="31"/>
      <c r="G45" s="31"/>
      <c r="H45" s="31"/>
      <c r="I45" s="31"/>
      <c r="J45" s="31"/>
      <c r="K45" s="31"/>
      <c r="L45" s="31"/>
      <c r="M45" s="31"/>
      <c r="N45" s="100"/>
      <c r="O45" s="100"/>
      <c r="P45" s="100"/>
      <c r="Q45" s="100"/>
    </row>
    <row r="46" spans="1:30" s="24" customFormat="1" ht="60" customHeight="1" x14ac:dyDescent="0.3">
      <c r="A46" s="593" t="s">
        <v>1299</v>
      </c>
      <c r="B46" s="2399" t="s">
        <v>1297</v>
      </c>
      <c r="C46" s="2345"/>
      <c r="D46" s="2345"/>
      <c r="E46" s="2345"/>
      <c r="F46" s="2345"/>
      <c r="G46" s="2345"/>
      <c r="H46" s="2345"/>
      <c r="I46" s="2345"/>
      <c r="J46" s="2345"/>
      <c r="K46" s="2345"/>
      <c r="L46" s="2345"/>
      <c r="M46" s="2346"/>
      <c r="N46" s="2346"/>
      <c r="O46" s="2346"/>
      <c r="P46" s="2346"/>
      <c r="Q46" s="2346"/>
    </row>
    <row r="47" spans="1:30" s="440" customFormat="1" ht="21" customHeight="1" x14ac:dyDescent="0.3">
      <c r="A47" s="593" t="s">
        <v>1299</v>
      </c>
      <c r="B47" s="2468" t="s">
        <v>1295</v>
      </c>
      <c r="C47" s="2343"/>
      <c r="D47" s="2343"/>
      <c r="E47" s="2343"/>
      <c r="F47" s="2343"/>
      <c r="G47" s="2343"/>
      <c r="H47" s="2343"/>
      <c r="I47" s="2343"/>
      <c r="J47" s="2343"/>
      <c r="K47" s="2343"/>
      <c r="L47" s="2344"/>
      <c r="M47" s="2344"/>
      <c r="N47" s="2344"/>
      <c r="O47" s="2344"/>
      <c r="P47" s="2507"/>
      <c r="Q47" s="2508"/>
      <c r="AD47" s="1896"/>
    </row>
    <row r="48" spans="1:30" s="440" customFormat="1" ht="9" customHeight="1" x14ac:dyDescent="0.3">
      <c r="A48" s="593" t="s">
        <v>1299</v>
      </c>
      <c r="B48" s="2467"/>
      <c r="C48" s="2467"/>
      <c r="D48" s="2467"/>
      <c r="E48" s="2467"/>
      <c r="F48" s="2467"/>
      <c r="G48" s="2467"/>
      <c r="H48" s="2467"/>
      <c r="I48" s="2467"/>
      <c r="J48" s="2467"/>
      <c r="K48" s="2467"/>
      <c r="L48" s="2467"/>
      <c r="M48" s="492"/>
      <c r="N48"/>
      <c r="P48" s="100"/>
    </row>
    <row r="49" spans="1:30" s="440" customFormat="1" ht="21" customHeight="1" x14ac:dyDescent="0.3">
      <c r="A49" s="593" t="s">
        <v>1299</v>
      </c>
      <c r="B49" s="2468" t="s">
        <v>1296</v>
      </c>
      <c r="C49" s="2343"/>
      <c r="D49" s="2343"/>
      <c r="E49" s="2343"/>
      <c r="F49" s="2343"/>
      <c r="G49" s="2343"/>
      <c r="H49" s="2343"/>
      <c r="I49" s="2343"/>
      <c r="J49" s="2343"/>
      <c r="K49" s="2343"/>
      <c r="L49" s="2344"/>
      <c r="M49" s="2344"/>
      <c r="N49" s="2344"/>
      <c r="O49" s="2344"/>
      <c r="P49" s="2507"/>
      <c r="Q49" s="2508"/>
      <c r="AD49" s="1896"/>
    </row>
    <row r="50" spans="1:30" s="440" customFormat="1" ht="18.75" customHeight="1" x14ac:dyDescent="0.25">
      <c r="A50" s="593" t="s">
        <v>1299</v>
      </c>
      <c r="B50" s="2469"/>
      <c r="C50" s="2469"/>
      <c r="D50" s="2469"/>
      <c r="E50" s="2469"/>
      <c r="F50" s="2469"/>
      <c r="G50" s="2469"/>
      <c r="H50" s="2469"/>
      <c r="I50" s="2469"/>
      <c r="J50" s="2469"/>
      <c r="K50" s="2469"/>
      <c r="L50" s="2469"/>
      <c r="M50" s="31"/>
      <c r="N50" s="31"/>
      <c r="O50" s="31"/>
      <c r="P50" s="727"/>
      <c r="Q50" s="100"/>
    </row>
    <row r="51" spans="1:30" s="24" customFormat="1" ht="21" customHeight="1" x14ac:dyDescent="0.25">
      <c r="A51" s="593" t="s">
        <v>1299</v>
      </c>
      <c r="B51" s="66"/>
      <c r="C51" s="31"/>
      <c r="D51" s="31"/>
      <c r="E51" s="31"/>
      <c r="F51" s="31"/>
      <c r="G51" s="31"/>
      <c r="H51" s="31"/>
      <c r="I51" s="31"/>
      <c r="J51" s="31"/>
      <c r="K51" s="31"/>
      <c r="L51" s="31"/>
      <c r="M51" s="31"/>
      <c r="N51" s="100"/>
      <c r="O51" s="100"/>
      <c r="P51" s="100"/>
      <c r="Q51" s="100"/>
    </row>
    <row r="52" spans="1:30" s="25" customFormat="1" ht="26.25" customHeight="1" x14ac:dyDescent="0.25">
      <c r="A52" s="593" t="s">
        <v>1299</v>
      </c>
      <c r="B52" s="2224" t="s">
        <v>305</v>
      </c>
      <c r="C52" s="2226"/>
      <c r="D52" s="2225"/>
      <c r="E52" s="849"/>
      <c r="F52" s="2224" t="s">
        <v>347</v>
      </c>
      <c r="G52" s="2226"/>
      <c r="H52" s="2226"/>
      <c r="I52" s="2226"/>
      <c r="J52" s="2226"/>
      <c r="K52" s="2226"/>
      <c r="L52" s="2225"/>
      <c r="M52" s="2224" t="s">
        <v>348</v>
      </c>
      <c r="N52" s="2226"/>
      <c r="O52" s="2226"/>
      <c r="P52" s="2226"/>
      <c r="Q52" s="2225"/>
    </row>
    <row r="53" spans="1:30" s="25" customFormat="1" ht="40.5" customHeight="1" x14ac:dyDescent="0.25">
      <c r="A53" s="593" t="s">
        <v>1299</v>
      </c>
      <c r="B53" s="2434" t="s">
        <v>1358</v>
      </c>
      <c r="C53" s="2191" t="str">
        <f>IF(B45="Space by Space Method","Table 9.6.1 Space Type","Table 9.5.1 
Building Area Type")</f>
        <v>Table 9.6.1 Space Type</v>
      </c>
      <c r="D53" s="2439" t="str">
        <f>IF(SI_IP_Units="IP","Total Space Type Area
(sq ft)","Total Space Type Area
(sq m)")</f>
        <v>Total Space Type Area
(sq m)</v>
      </c>
      <c r="E53" s="42"/>
      <c r="F53" s="2434" t="str">
        <f>IF(SI_IP_Units="IP","Maximum Allowance
(W/sq ft)","Maximum Allowance
(W/sq m)")</f>
        <v>Maximum Allowance
(W/sq m)</v>
      </c>
      <c r="G53" s="2189" t="s">
        <v>1063</v>
      </c>
      <c r="H53" s="2189"/>
      <c r="I53" s="2189"/>
      <c r="J53" s="2189"/>
      <c r="K53" s="2189"/>
      <c r="L53" s="2439" t="str">
        <f>IF(SI_IP_Units="IP","Total Baseline LPD Allowance
(W/sq ft)","Total Baseline LPD Allowance
(W/sq m)")</f>
        <v>Total Baseline LPD Allowance
(W/sq m)</v>
      </c>
      <c r="M53" s="2434" t="str">
        <f>IF(SI_IP_Units="IP","Design LPD
(W/sq ft)","Design LPD
(W/sq m)")</f>
        <v>Design LPD
(W/sq m)</v>
      </c>
      <c r="N53" s="2191" t="s">
        <v>1065</v>
      </c>
      <c r="O53" s="2437" t="s">
        <v>1066</v>
      </c>
      <c r="P53" s="2438"/>
      <c r="Q53" s="2439" t="str">
        <f>IF(SI_IP_Units="IP","Modeled Design LPD
(W/sq ft)","Design LPD
(W/sq m)")</f>
        <v>Design LPD
(W/sq m)</v>
      </c>
    </row>
    <row r="54" spans="1:30" s="25" customFormat="1" ht="63.75" customHeight="1" x14ac:dyDescent="0.25">
      <c r="A54" s="593" t="s">
        <v>1299</v>
      </c>
      <c r="B54" s="2435"/>
      <c r="C54" s="2192"/>
      <c r="D54" s="2440"/>
      <c r="E54" s="42"/>
      <c r="F54" s="2435"/>
      <c r="G54" s="2190" t="str">
        <f>IF(SI_IP_Units="IP","Luminaire Mounting Height (ft)","Luminaire Mounting Height (m)")</f>
        <v>Luminaire Mounting Height (m)</v>
      </c>
      <c r="H54" s="2190"/>
      <c r="I54" s="277" t="str">
        <f>IF(SI_IP_Units="IP","Work-plane 
(ft)", "Work-plane 
(m)")</f>
        <v>Work-plane 
(m)</v>
      </c>
      <c r="J54" s="277" t="str">
        <f>IF(SI_IP_Units="IP","Room 
Perimeter Length 
(ft)","Room 
Perimeter Length 
(m)")</f>
        <v>Room 
Perimeter Length 
(m)</v>
      </c>
      <c r="K54" s="277" t="s">
        <v>1064</v>
      </c>
      <c r="L54" s="2440"/>
      <c r="M54" s="2435"/>
      <c r="N54" s="2131"/>
      <c r="O54" s="277" t="s">
        <v>1067</v>
      </c>
      <c r="P54" s="277" t="s">
        <v>1760</v>
      </c>
      <c r="Q54" s="2440"/>
    </row>
    <row r="55" spans="1:30" s="25" customFormat="1" ht="159" customHeight="1" x14ac:dyDescent="0.25">
      <c r="A55" s="593" t="s">
        <v>1299</v>
      </c>
      <c r="B55" s="2396" t="s">
        <v>1888</v>
      </c>
      <c r="C55" s="2397"/>
      <c r="D55" s="2398"/>
      <c r="E55" s="954"/>
      <c r="F55" s="2395"/>
      <c r="G55" s="2323"/>
      <c r="H55" s="2323"/>
      <c r="I55" s="2323"/>
      <c r="J55" s="2323"/>
      <c r="K55" s="2323"/>
      <c r="L55" s="2394"/>
      <c r="M55" s="2395" t="s">
        <v>1729</v>
      </c>
      <c r="N55" s="2323"/>
      <c r="O55" s="2323"/>
      <c r="P55" s="2323"/>
      <c r="Q55" s="2394"/>
    </row>
    <row r="56" spans="1:30" s="25" customFormat="1" ht="63.75" hidden="1" customHeight="1" x14ac:dyDescent="0.25">
      <c r="A56" s="593" t="s">
        <v>1299</v>
      </c>
      <c r="B56" s="949" t="s">
        <v>1358</v>
      </c>
      <c r="C56" s="950" t="s">
        <v>1691</v>
      </c>
      <c r="D56" s="951" t="s">
        <v>1692</v>
      </c>
      <c r="E56" s="948"/>
      <c r="F56" s="949" t="s">
        <v>1693</v>
      </c>
      <c r="G56" s="2436" t="s">
        <v>1694</v>
      </c>
      <c r="H56" s="2436"/>
      <c r="I56" s="1550" t="s">
        <v>1695</v>
      </c>
      <c r="J56" s="1550" t="s">
        <v>1696</v>
      </c>
      <c r="K56" s="1550" t="s">
        <v>1697</v>
      </c>
      <c r="L56" s="951" t="s">
        <v>1698</v>
      </c>
      <c r="M56" s="949" t="s">
        <v>1595</v>
      </c>
      <c r="N56" s="1986" t="s">
        <v>1699</v>
      </c>
      <c r="O56" s="1550" t="s">
        <v>1700</v>
      </c>
      <c r="P56" s="1987" t="s">
        <v>1701</v>
      </c>
      <c r="Q56" s="951" t="s">
        <v>2001</v>
      </c>
    </row>
    <row r="57" spans="1:30" s="25" customFormat="1" ht="14.25" hidden="1" customHeight="1" x14ac:dyDescent="0.25">
      <c r="A57" s="593" t="s">
        <v>1299</v>
      </c>
      <c r="B57" s="879" t="str">
        <f>'Multiple Buildings Details'!B24</f>
        <v>Saudi Aramco Corporate Academy - Dhahran</v>
      </c>
      <c r="C57" s="850" t="str">
        <f>"Residential Dwelling Units"</f>
        <v>Residential Dwelling Units</v>
      </c>
      <c r="D57" s="718"/>
      <c r="E57" s="49"/>
      <c r="F57" s="851">
        <f>0.9*IF(SI_IP_Units="IP",1,CONVERT(1,"m","ft")^2)</f>
        <v>9.687519375038752</v>
      </c>
      <c r="G57" s="2306"/>
      <c r="H57" s="2306"/>
      <c r="I57" s="1968"/>
      <c r="J57" s="1968"/>
      <c r="K57" s="1984" t="str">
        <f t="shared" ref="K57:K58" si="1">IFERROR(2.5*(G57-I57)*J57/D57,"")</f>
        <v/>
      </c>
      <c r="L57" s="524">
        <f>IF($P$47="Yes",IFERROR(IF(VLOOKUP(C57,'Lighting Assumptions'!D:G,4,FALSE)="N/A",F57,IF(VLOOKUP(C57,'Lighting Assumptions'!D:G,4,FALSE)="A/A",F57*1.2,IF(K57&gt;VLOOKUP(C57,'Lighting Assumptions'!D:G,4,FALSE),F57*1.2,F57))),""),F57)</f>
        <v>9.687519375038752</v>
      </c>
      <c r="M57" s="395"/>
      <c r="N57" s="1416"/>
      <c r="O57" s="1988"/>
      <c r="P57" s="1989"/>
      <c r="Q57" s="524" t="str">
        <f t="shared" ref="Q57" si="2">IFERROR(IF($M57&gt;0,IFERROR($M57-$O57*$P57/$D57,$M57),""),"")</f>
        <v/>
      </c>
      <c r="AD57" s="1909"/>
    </row>
    <row r="58" spans="1:30" ht="15" hidden="1" customHeight="1" x14ac:dyDescent="0.25">
      <c r="A58" s="593" t="s">
        <v>917</v>
      </c>
      <c r="B58" s="719" t="str">
        <f t="shared" ref="B58:B76" si="3">GI_Project_Name</f>
        <v>Saudi Aramco Corporate Academy - Dhahran</v>
      </c>
      <c r="C58" s="719"/>
      <c r="D58" s="718"/>
      <c r="E58" s="49"/>
      <c r="F58" s="851" t="str">
        <f>IFERROR(IF(SI_IP_Units="IP",VLOOKUP(C58,'Lighting Assumptions'!$D$1:$F$96,2,FALSE),VLOOKUP(C58,'Lighting Assumptions'!$D$1:$F$96,3,FALSE)),"")</f>
        <v/>
      </c>
      <c r="G58" s="2306"/>
      <c r="H58" s="2306"/>
      <c r="I58" s="1968"/>
      <c r="J58" s="1968"/>
      <c r="K58" s="1984" t="str">
        <f t="shared" si="1"/>
        <v/>
      </c>
      <c r="L58" s="524" t="str">
        <f>IF($P$47="Yes",IFERROR(IF(VLOOKUP(C58,'Lighting Assumptions'!D:G,4,FALSE)="N/A",F58,IF(VLOOKUP(C58,'Lighting Assumptions'!D:G,4,FALSE)="A/A",F58*1.2,IF(K58&gt;VLOOKUP(C58,'Lighting Assumptions'!D:G,4,FALSE),F58*1.2,F58))),""),F58)</f>
        <v/>
      </c>
      <c r="M58" s="395"/>
      <c r="N58" s="1416"/>
      <c r="O58" s="409"/>
      <c r="P58" s="1875"/>
      <c r="Q58" s="524" t="str">
        <f>IFERROR(IF($M58&gt;0,IFERROR($M58-$O58*$P58/$D58,$M58),""),"")</f>
        <v/>
      </c>
      <c r="AD58" s="1894"/>
    </row>
    <row r="59" spans="1:30" ht="15" customHeight="1" x14ac:dyDescent="0.25">
      <c r="B59" s="719" t="str">
        <f t="shared" si="3"/>
        <v>Saudi Aramco Corporate Academy - Dhahran</v>
      </c>
      <c r="C59" s="719" t="s">
        <v>1963</v>
      </c>
      <c r="D59" s="718">
        <v>859.6</v>
      </c>
      <c r="E59" s="49"/>
      <c r="F59" s="851">
        <f>IFERROR(IF(SI_IP_Units="IP",VLOOKUP(C59,'Lighting Assumptions'!$D$1:$F$96,2,FALSE),VLOOKUP(C59,'Lighting Assumptions'!$D$1:$F$96,3,FALSE)),"")</f>
        <v>8.5</v>
      </c>
      <c r="G59" s="2306"/>
      <c r="H59" s="2306"/>
      <c r="I59" s="1968"/>
      <c r="J59" s="1968"/>
      <c r="K59" s="1984">
        <f t="shared" ref="K59:K72" si="4">IFERROR(2.5*(G59-I59)*J59/D59,"")</f>
        <v>0</v>
      </c>
      <c r="L59" s="524">
        <f>IF($P$47="Yes",IFERROR(IF(VLOOKUP(C59,'Lighting Assumptions'!D:G,4,FALSE)="N/A",F59,IF(VLOOKUP(C59,'Lighting Assumptions'!D:G,4,FALSE)="A/A",F59*1.2,IF(K59&gt;VLOOKUP(C59,'Lighting Assumptions'!D:G,4,FALSE),F59*1.2,F59))),""),F59)</f>
        <v>8.5</v>
      </c>
      <c r="M59" s="395">
        <v>7.1</v>
      </c>
      <c r="N59" s="1416"/>
      <c r="O59" s="409"/>
      <c r="P59" s="1875"/>
      <c r="Q59" s="524">
        <f t="shared" ref="Q59:Q72" si="5">IFERROR(IF($M59&gt;0,IFERROR($M59-$O59*$P59/$D59,$M59),""),"")</f>
        <v>7.1</v>
      </c>
      <c r="AD59" s="1894"/>
    </row>
    <row r="60" spans="1:30" ht="15" customHeight="1" x14ac:dyDescent="0.25">
      <c r="B60" s="719" t="str">
        <f t="shared" si="3"/>
        <v>Saudi Aramco Corporate Academy - Dhahran</v>
      </c>
      <c r="C60" s="719" t="s">
        <v>930</v>
      </c>
      <c r="D60" s="718">
        <v>3843.4</v>
      </c>
      <c r="E60" s="49"/>
      <c r="F60" s="851">
        <f>IFERROR(IF(SI_IP_Units="IP",VLOOKUP(C60,'Lighting Assumptions'!$D$1:$F$96,2,FALSE),VLOOKUP(C60,'Lighting Assumptions'!$D$1:$F$96,3,FALSE)),"")</f>
        <v>13.3</v>
      </c>
      <c r="G60" s="2306"/>
      <c r="H60" s="2306"/>
      <c r="I60" s="1968"/>
      <c r="J60" s="1968"/>
      <c r="K60" s="1984">
        <f t="shared" si="4"/>
        <v>0</v>
      </c>
      <c r="L60" s="524">
        <f>IF($P$47="Yes",IFERROR(IF(VLOOKUP(C60,'Lighting Assumptions'!D:G,4,FALSE)="N/A",F60,IF(VLOOKUP(C60,'Lighting Assumptions'!D:G,4,FALSE)="A/A",F60*1.2,IF(K60&gt;VLOOKUP(C60,'Lighting Assumptions'!D:G,4,FALSE),F60*1.2,F60))),""),F60)</f>
        <v>13.3</v>
      </c>
      <c r="M60" s="395">
        <v>10.58</v>
      </c>
      <c r="N60" s="1416"/>
      <c r="O60" s="409"/>
      <c r="P60" s="1875"/>
      <c r="Q60" s="524">
        <f t="shared" si="5"/>
        <v>10.58</v>
      </c>
      <c r="AD60" s="1897" t="s">
        <v>2253</v>
      </c>
    </row>
    <row r="61" spans="1:30" ht="15" customHeight="1" x14ac:dyDescent="0.25">
      <c r="B61" s="719" t="str">
        <f t="shared" si="3"/>
        <v>Saudi Aramco Corporate Academy - Dhahran</v>
      </c>
      <c r="C61" s="719" t="s">
        <v>931</v>
      </c>
      <c r="D61" s="718">
        <v>1204.5999999999999</v>
      </c>
      <c r="E61" s="49"/>
      <c r="F61" s="851">
        <f>IFERROR(IF(SI_IP_Units="IP",VLOOKUP(C61,'Lighting Assumptions'!$D$1:$F$96,2,FALSE),VLOOKUP(C61,'Lighting Assumptions'!$D$1:$F$96,3,FALSE)),"")</f>
        <v>13.2</v>
      </c>
      <c r="G61" s="2306"/>
      <c r="H61" s="2306"/>
      <c r="I61" s="1968"/>
      <c r="J61" s="1968"/>
      <c r="K61" s="1984">
        <f t="shared" si="4"/>
        <v>0</v>
      </c>
      <c r="L61" s="524">
        <f>IF($P$47="Yes",IFERROR(IF(VLOOKUP(C61,'Lighting Assumptions'!D:G,4,FALSE)="N/A",F61,IF(VLOOKUP(C61,'Lighting Assumptions'!D:G,4,FALSE)="A/A",F61*1.2,IF(K61&gt;VLOOKUP(C61,'Lighting Assumptions'!D:G,4,FALSE),F61*1.2,F61))),""),F61)</f>
        <v>13.2</v>
      </c>
      <c r="M61" s="395">
        <v>6.48</v>
      </c>
      <c r="N61" s="1416"/>
      <c r="O61" s="409"/>
      <c r="P61" s="1875"/>
      <c r="Q61" s="524">
        <f t="shared" si="5"/>
        <v>6.48</v>
      </c>
      <c r="AD61" s="1894" t="s">
        <v>2254</v>
      </c>
    </row>
    <row r="62" spans="1:30" ht="15" customHeight="1" x14ac:dyDescent="0.25">
      <c r="B62" s="719" t="str">
        <f t="shared" si="3"/>
        <v>Saudi Aramco Corporate Academy - Dhahran</v>
      </c>
      <c r="C62" s="719" t="s">
        <v>932</v>
      </c>
      <c r="D62" s="718">
        <v>4618.8999999999996</v>
      </c>
      <c r="E62" s="49"/>
      <c r="F62" s="851">
        <f>IFERROR(IF(SI_IP_Units="IP",VLOOKUP(C62,'Lighting Assumptions'!$D$1:$F$96,2,FALSE),VLOOKUP(C62,'Lighting Assumptions'!$D$1:$F$96,3,FALSE)),"")</f>
        <v>7.1</v>
      </c>
      <c r="G62" s="2306"/>
      <c r="H62" s="2306"/>
      <c r="I62" s="1968"/>
      <c r="J62" s="1968"/>
      <c r="K62" s="1984">
        <f t="shared" si="4"/>
        <v>0</v>
      </c>
      <c r="L62" s="524">
        <f>IF($P$47="Yes",IFERROR(IF(VLOOKUP(C62,'Lighting Assumptions'!D:G,4,FALSE)="N/A",F62,IF(VLOOKUP(C62,'Lighting Assumptions'!D:G,4,FALSE)="A/A",F62*1.2,IF(K62&gt;VLOOKUP(C62,'Lighting Assumptions'!D:G,4,FALSE),F62*1.2,F62))),""),F62)</f>
        <v>7.1</v>
      </c>
      <c r="M62" s="395">
        <v>5.96</v>
      </c>
      <c r="N62" s="1416"/>
      <c r="O62" s="409"/>
      <c r="P62" s="1875"/>
      <c r="Q62" s="524">
        <f t="shared" si="5"/>
        <v>5.96</v>
      </c>
      <c r="AD62" s="1894" t="s">
        <v>2253</v>
      </c>
    </row>
    <row r="63" spans="1:30" ht="15" customHeight="1" x14ac:dyDescent="0.25">
      <c r="B63" s="719" t="str">
        <f t="shared" si="3"/>
        <v>Saudi Aramco Corporate Academy - Dhahran</v>
      </c>
      <c r="C63" s="719" t="s">
        <v>928</v>
      </c>
      <c r="D63" s="718">
        <v>886.8</v>
      </c>
      <c r="E63" s="49"/>
      <c r="F63" s="851">
        <f>IFERROR(IF(SI_IP_Units="IP",VLOOKUP(C63,'Lighting Assumptions'!$D$1:$F$96,2,FALSE),VLOOKUP(C63,'Lighting Assumptions'!$D$1:$F$96,3,FALSE)),"")</f>
        <v>14.1</v>
      </c>
      <c r="G63" s="2306"/>
      <c r="H63" s="2306"/>
      <c r="I63" s="1968"/>
      <c r="J63" s="1968"/>
      <c r="K63" s="1984">
        <f t="shared" si="4"/>
        <v>0</v>
      </c>
      <c r="L63" s="524">
        <f>IF($P$47="Yes",IFERROR(IF(VLOOKUP(C63,'Lighting Assumptions'!D:G,4,FALSE)="N/A",F63,IF(VLOOKUP(C63,'Lighting Assumptions'!D:G,4,FALSE)="A/A",F63*1.2,IF(K63&gt;VLOOKUP(C63,'Lighting Assumptions'!D:G,4,FALSE),F63*1.2,F63))),""),F63)</f>
        <v>14.1</v>
      </c>
      <c r="M63" s="395">
        <v>3.61</v>
      </c>
      <c r="N63" s="1416"/>
      <c r="O63" s="409"/>
      <c r="P63" s="1875"/>
      <c r="Q63" s="524">
        <f t="shared" si="5"/>
        <v>3.61</v>
      </c>
      <c r="AD63" s="1894" t="s">
        <v>2253</v>
      </c>
    </row>
    <row r="64" spans="1:30" ht="15" customHeight="1" x14ac:dyDescent="0.25">
      <c r="B64" s="719" t="str">
        <f t="shared" si="3"/>
        <v>Saudi Aramco Corporate Academy - Dhahran</v>
      </c>
      <c r="C64" s="719" t="s">
        <v>933</v>
      </c>
      <c r="D64" s="718">
        <v>1720.6</v>
      </c>
      <c r="E64" s="49"/>
      <c r="F64" s="851">
        <f>IFERROR(IF(SI_IP_Units="IP",VLOOKUP(C64,'Lighting Assumptions'!$D$1:$F$96,2,FALSE),VLOOKUP(C64,'Lighting Assumptions'!$D$1:$F$96,3,FALSE)),"")</f>
        <v>10.199999999999999</v>
      </c>
      <c r="G64" s="2306"/>
      <c r="H64" s="2306"/>
      <c r="I64" s="1968"/>
      <c r="J64" s="1968"/>
      <c r="K64" s="1984">
        <f t="shared" si="4"/>
        <v>0</v>
      </c>
      <c r="L64" s="524">
        <f>IF($P$47="Yes",IFERROR(IF(VLOOKUP(C64,'Lighting Assumptions'!D:G,4,FALSE)="N/A",F64,IF(VLOOKUP(C64,'Lighting Assumptions'!D:G,4,FALSE)="A/A",F64*1.2,IF(K64&gt;VLOOKUP(C64,'Lighting Assumptions'!D:G,4,FALSE),F64*1.2,F64))),""),F64)</f>
        <v>10.199999999999999</v>
      </c>
      <c r="M64" s="395">
        <v>8.7100000000000009</v>
      </c>
      <c r="N64" s="1416"/>
      <c r="O64" s="409"/>
      <c r="P64" s="1875"/>
      <c r="Q64" s="524">
        <f t="shared" si="5"/>
        <v>8.7100000000000009</v>
      </c>
      <c r="AD64" s="1894"/>
    </row>
    <row r="65" spans="1:30" ht="15" customHeight="1" x14ac:dyDescent="0.25">
      <c r="B65" s="719" t="str">
        <f t="shared" si="3"/>
        <v>Saudi Aramco Corporate Academy - Dhahran</v>
      </c>
      <c r="C65" s="719" t="s">
        <v>934</v>
      </c>
      <c r="D65" s="718">
        <v>231.4</v>
      </c>
      <c r="E65" s="49"/>
      <c r="F65" s="851">
        <f>IFERROR(IF(SI_IP_Units="IP",VLOOKUP(C65,'Lighting Assumptions'!$D$1:$F$96,2,FALSE),VLOOKUP(C65,'Lighting Assumptions'!$D$1:$F$96,3,FALSE)),"")</f>
        <v>10.7</v>
      </c>
      <c r="G65" s="2306"/>
      <c r="H65" s="2306"/>
      <c r="I65" s="1968"/>
      <c r="J65" s="1968"/>
      <c r="K65" s="1984">
        <f t="shared" si="4"/>
        <v>0</v>
      </c>
      <c r="L65" s="524">
        <f>IF($P$47="Yes",IFERROR(IF(VLOOKUP(C65,'Lighting Assumptions'!D:G,4,FALSE)="N/A",F65,IF(VLOOKUP(C65,'Lighting Assumptions'!D:G,4,FALSE)="A/A",F65*1.2,IF(K65&gt;VLOOKUP(C65,'Lighting Assumptions'!D:G,4,FALSE),F65*1.2,F65))),""),F65)</f>
        <v>10.7</v>
      </c>
      <c r="M65" s="395">
        <v>12.57</v>
      </c>
      <c r="N65" s="1416"/>
      <c r="O65" s="409"/>
      <c r="P65" s="1875"/>
      <c r="Q65" s="524">
        <f t="shared" si="5"/>
        <v>12.57</v>
      </c>
      <c r="AD65" s="1894" t="s">
        <v>2254</v>
      </c>
    </row>
    <row r="66" spans="1:30" ht="15" customHeight="1" x14ac:dyDescent="0.25">
      <c r="B66" s="719" t="str">
        <f t="shared" si="3"/>
        <v>Saudi Aramco Corporate Academy - Dhahran</v>
      </c>
      <c r="C66" s="719" t="s">
        <v>273</v>
      </c>
      <c r="D66" s="718">
        <v>1334.3</v>
      </c>
      <c r="E66" s="49"/>
      <c r="F66" s="851">
        <f>IFERROR(IF(SI_IP_Units="IP",VLOOKUP(C66,'Lighting Assumptions'!$D$1:$F$96,2,FALSE),VLOOKUP(C66,'Lighting Assumptions'!$D$1:$F$96,3,FALSE)),"")</f>
        <v>19.5</v>
      </c>
      <c r="G66" s="2306"/>
      <c r="H66" s="2306"/>
      <c r="I66" s="1968"/>
      <c r="J66" s="1968"/>
      <c r="K66" s="1984">
        <f t="shared" si="4"/>
        <v>0</v>
      </c>
      <c r="L66" s="524">
        <f>IF($P$47="Yes",IFERROR(IF(VLOOKUP(C66,'Lighting Assumptions'!D:G,4,FALSE)="N/A",F66,IF(VLOOKUP(C66,'Lighting Assumptions'!D:G,4,FALSE)="A/A",F66*1.2,IF(K66&gt;VLOOKUP(C66,'Lighting Assumptions'!D:G,4,FALSE),F66*1.2,F66))),""),F66)</f>
        <v>19.5</v>
      </c>
      <c r="M66" s="395">
        <v>5.05</v>
      </c>
      <c r="N66" s="1416"/>
      <c r="O66" s="409"/>
      <c r="P66" s="1875"/>
      <c r="Q66" s="524">
        <f t="shared" si="5"/>
        <v>5.05</v>
      </c>
      <c r="AD66" s="1894" t="s">
        <v>2253</v>
      </c>
    </row>
    <row r="67" spans="1:30" ht="15" customHeight="1" x14ac:dyDescent="0.25">
      <c r="B67" s="719" t="str">
        <f t="shared" si="3"/>
        <v>Saudi Aramco Corporate Academy - Dhahran</v>
      </c>
      <c r="C67" s="719" t="s">
        <v>1070</v>
      </c>
      <c r="D67" s="718">
        <v>41.6</v>
      </c>
      <c r="E67" s="49"/>
      <c r="F67" s="851">
        <f>IFERROR(IF(SI_IP_Units="IP",VLOOKUP(C67,'Lighting Assumptions'!$D$1:$F$96,2,FALSE),VLOOKUP(C67,'Lighting Assumptions'!$D$1:$F$96,3,FALSE)),"")</f>
        <v>9.68</v>
      </c>
      <c r="G67" s="2306"/>
      <c r="H67" s="2306"/>
      <c r="I67" s="1968"/>
      <c r="J67" s="1968"/>
      <c r="K67" s="1984">
        <f t="shared" si="4"/>
        <v>0</v>
      </c>
      <c r="L67" s="524">
        <f>IF($P$47="Yes",IFERROR(IF(VLOOKUP(C67,'Lighting Assumptions'!D:G,4,FALSE)="N/A",F67,IF(VLOOKUP(C67,'Lighting Assumptions'!D:G,4,FALSE)="A/A",F67*1.2,IF(K67&gt;VLOOKUP(C67,'Lighting Assumptions'!D:G,4,FALSE),F67*1.2,F67))),""),F67)</f>
        <v>9.68</v>
      </c>
      <c r="M67" s="395">
        <v>5.84</v>
      </c>
      <c r="N67" s="1416"/>
      <c r="O67" s="409"/>
      <c r="P67" s="1875"/>
      <c r="Q67" s="524">
        <f t="shared" si="5"/>
        <v>5.84</v>
      </c>
      <c r="AD67" s="1894" t="s">
        <v>2253</v>
      </c>
    </row>
    <row r="68" spans="1:30" ht="15" customHeight="1" x14ac:dyDescent="0.25">
      <c r="B68" s="719" t="str">
        <f t="shared" si="3"/>
        <v>Saudi Aramco Corporate Academy - Dhahran</v>
      </c>
      <c r="C68" s="719" t="s">
        <v>935</v>
      </c>
      <c r="D68" s="718">
        <v>232.4</v>
      </c>
      <c r="E68" s="49"/>
      <c r="F68" s="851">
        <f>IFERROR(IF(SI_IP_Units="IP",VLOOKUP(C68,'Lighting Assumptions'!$D$1:$F$96,2,FALSE),VLOOKUP(C68,'Lighting Assumptions'!$D$1:$F$96,3,FALSE)),"")</f>
        <v>6.88</v>
      </c>
      <c r="G68" s="2306"/>
      <c r="H68" s="2306"/>
      <c r="I68" s="1968"/>
      <c r="J68" s="1968"/>
      <c r="K68" s="1984">
        <f t="shared" si="4"/>
        <v>0</v>
      </c>
      <c r="L68" s="524">
        <f>IF($P$47="Yes",IFERROR(IF(VLOOKUP(C68,'Lighting Assumptions'!D:G,4,FALSE)="N/A",F68,IF(VLOOKUP(C68,'Lighting Assumptions'!D:G,4,FALSE)="A/A",F68*1.2,IF(K68&gt;VLOOKUP(C68,'Lighting Assumptions'!D:G,4,FALSE),F68*1.2,F68))),""),F68)</f>
        <v>6.88</v>
      </c>
      <c r="M68" s="395">
        <v>6.19</v>
      </c>
      <c r="N68" s="1416"/>
      <c r="O68" s="409"/>
      <c r="P68" s="1875"/>
      <c r="Q68" s="524">
        <f t="shared" si="5"/>
        <v>6.19</v>
      </c>
      <c r="AD68" s="1894" t="s">
        <v>2254</v>
      </c>
    </row>
    <row r="69" spans="1:30" ht="15" customHeight="1" x14ac:dyDescent="0.25">
      <c r="B69" s="719" t="str">
        <f t="shared" si="3"/>
        <v>Saudi Aramco Corporate Academy - Dhahran</v>
      </c>
      <c r="C69" s="719" t="s">
        <v>938</v>
      </c>
      <c r="D69" s="718">
        <v>74.5</v>
      </c>
      <c r="E69" s="49"/>
      <c r="F69" s="851">
        <f>IFERROR(IF(SI_IP_Units="IP",VLOOKUP(C69,'Lighting Assumptions'!$D$1:$F$96,2,FALSE),VLOOKUP(C69,'Lighting Assumptions'!$D$1:$F$96,3,FALSE)),"")</f>
        <v>8.1</v>
      </c>
      <c r="G69" s="2306"/>
      <c r="H69" s="2306"/>
      <c r="I69" s="1968"/>
      <c r="J69" s="1968"/>
      <c r="K69" s="1984">
        <f t="shared" si="4"/>
        <v>0</v>
      </c>
      <c r="L69" s="524">
        <f>IF($P$47="Yes",IFERROR(IF(VLOOKUP(C69,'Lighting Assumptions'!D:G,4,FALSE)="N/A",F69,IF(VLOOKUP(C69,'Lighting Assumptions'!D:G,4,FALSE)="A/A",F69*1.2,IF(K69&gt;VLOOKUP(C69,'Lighting Assumptions'!D:G,4,FALSE),F69*1.2,F69))),""),F69)</f>
        <v>8.1</v>
      </c>
      <c r="M69" s="395">
        <v>8.26</v>
      </c>
      <c r="N69" s="1416"/>
      <c r="O69" s="409"/>
      <c r="P69" s="1875"/>
      <c r="Q69" s="524">
        <f t="shared" si="5"/>
        <v>8.26</v>
      </c>
      <c r="AD69" s="1894" t="s">
        <v>2254</v>
      </c>
    </row>
    <row r="70" spans="1:30" ht="15" customHeight="1" x14ac:dyDescent="0.25">
      <c r="B70" s="719" t="str">
        <f t="shared" si="3"/>
        <v>Saudi Aramco Corporate Academy - Dhahran</v>
      </c>
      <c r="C70" s="719" t="s">
        <v>939</v>
      </c>
      <c r="D70" s="718">
        <v>222.7</v>
      </c>
      <c r="E70" s="49"/>
      <c r="F70" s="851">
        <f>IFERROR(IF(SI_IP_Units="IP",VLOOKUP(C70,'Lighting Assumptions'!$D$1:$F$96,2,FALSE),VLOOKUP(C70,'Lighting Assumptions'!$D$1:$F$96,3,FALSE)),"")</f>
        <v>7.9</v>
      </c>
      <c r="G70" s="2306"/>
      <c r="H70" s="2306"/>
      <c r="I70" s="1968"/>
      <c r="J70" s="1968"/>
      <c r="K70" s="1984">
        <f t="shared" si="4"/>
        <v>0</v>
      </c>
      <c r="L70" s="524">
        <f>IF($P$47="Yes",IFERROR(IF(VLOOKUP(C70,'Lighting Assumptions'!D:G,4,FALSE)="N/A",F70,IF(VLOOKUP(C70,'Lighting Assumptions'!D:G,4,FALSE)="A/A",F70*1.2,IF(K70&gt;VLOOKUP(C70,'Lighting Assumptions'!D:G,4,FALSE),F70*1.2,F70))),""),F70)</f>
        <v>7.9</v>
      </c>
      <c r="M70" s="395">
        <v>8.83</v>
      </c>
      <c r="N70" s="1416"/>
      <c r="O70" s="409"/>
      <c r="P70" s="1875"/>
      <c r="Q70" s="524">
        <f t="shared" si="5"/>
        <v>8.83</v>
      </c>
      <c r="AD70" s="1894" t="s">
        <v>2253</v>
      </c>
    </row>
    <row r="71" spans="1:30" ht="15" customHeight="1" x14ac:dyDescent="0.25">
      <c r="B71" s="719" t="str">
        <f t="shared" si="3"/>
        <v>Saudi Aramco Corporate Academy - Dhahran</v>
      </c>
      <c r="C71" s="719" t="s">
        <v>274</v>
      </c>
      <c r="D71" s="718">
        <v>432</v>
      </c>
      <c r="E71" s="49"/>
      <c r="F71" s="851">
        <f>IFERROR(IF(SI_IP_Units="IP",VLOOKUP(C71,'Lighting Assumptions'!$D$1:$F$96,2,FALSE),VLOOKUP(C71,'Lighting Assumptions'!$D$1:$F$96,3,FALSE)),"")</f>
        <v>11.9</v>
      </c>
      <c r="G71" s="2306"/>
      <c r="H71" s="2306"/>
      <c r="I71" s="1968"/>
      <c r="J71" s="1968"/>
      <c r="K71" s="1984">
        <f t="shared" si="4"/>
        <v>0</v>
      </c>
      <c r="L71" s="524">
        <f>IF($P$47="Yes",IFERROR(IF(VLOOKUP(C71,'Lighting Assumptions'!D:G,4,FALSE)="N/A",F71,IF(VLOOKUP(C71,'Lighting Assumptions'!D:G,4,FALSE)="A/A",F71*1.2,IF(K71&gt;VLOOKUP(C71,'Lighting Assumptions'!D:G,4,FALSE),F71*1.2,F71))),""),F71)</f>
        <v>11.9</v>
      </c>
      <c r="M71" s="395">
        <v>7.97</v>
      </c>
      <c r="N71" s="1416"/>
      <c r="O71" s="409"/>
      <c r="P71" s="1875"/>
      <c r="Q71" s="524">
        <f t="shared" si="5"/>
        <v>7.97</v>
      </c>
      <c r="AD71" s="1894" t="s">
        <v>2254</v>
      </c>
    </row>
    <row r="72" spans="1:30" ht="15" customHeight="1" x14ac:dyDescent="0.25">
      <c r="B72" s="719" t="str">
        <f t="shared" si="3"/>
        <v>Saudi Aramco Corporate Academy - Dhahran</v>
      </c>
      <c r="C72" s="719" t="s">
        <v>275</v>
      </c>
      <c r="D72" s="718">
        <v>1239.5</v>
      </c>
      <c r="E72" s="49"/>
      <c r="F72" s="851">
        <f>IFERROR(IF(SI_IP_Units="IP",VLOOKUP(C72,'Lighting Assumptions'!$D$1:$F$96,2,FALSE),VLOOKUP(C72,'Lighting Assumptions'!$D$1:$F$96,3,FALSE)),"")</f>
        <v>10.5</v>
      </c>
      <c r="G72" s="2306"/>
      <c r="H72" s="2306"/>
      <c r="I72" s="1968"/>
      <c r="J72" s="1968"/>
      <c r="K72" s="1984">
        <f t="shared" si="4"/>
        <v>0</v>
      </c>
      <c r="L72" s="524">
        <f>IF($P$47="Yes",IFERROR(IF(VLOOKUP(C72,'Lighting Assumptions'!D:G,4,FALSE)="N/A",F72,IF(VLOOKUP(C72,'Lighting Assumptions'!D:G,4,FALSE)="A/A",F72*1.2,IF(K72&gt;VLOOKUP(C72,'Lighting Assumptions'!D:G,4,FALSE),F72*1.2,F72))),""),F72)</f>
        <v>10.5</v>
      </c>
      <c r="M72" s="395">
        <v>9.57</v>
      </c>
      <c r="N72" s="1416"/>
      <c r="O72" s="409"/>
      <c r="P72" s="1875"/>
      <c r="Q72" s="524">
        <f t="shared" si="5"/>
        <v>9.57</v>
      </c>
      <c r="AD72" s="1894" t="s">
        <v>2253</v>
      </c>
    </row>
    <row r="73" spans="1:30" ht="15" customHeight="1" x14ac:dyDescent="0.25">
      <c r="B73" s="719" t="str">
        <f t="shared" si="3"/>
        <v>Saudi Aramco Corporate Academy - Dhahran</v>
      </c>
      <c r="C73" s="719" t="s">
        <v>973</v>
      </c>
      <c r="D73" s="718">
        <v>366.6</v>
      </c>
      <c r="E73" s="49"/>
      <c r="F73" s="851">
        <f>IFERROR(IF(SI_IP_Units="IP",VLOOKUP(C73,'Lighting Assumptions'!$D$1:$F$96,2,FALSE),VLOOKUP(C73,'Lighting Assumptions'!$D$1:$F$96,3,FALSE)),"")</f>
        <v>6.9</v>
      </c>
      <c r="G73" s="2306"/>
      <c r="H73" s="2306"/>
      <c r="I73" s="1968"/>
      <c r="J73" s="1968"/>
      <c r="K73" s="1984">
        <f>IFERROR(2.5*(G73-I73)*J73/D73,"")</f>
        <v>0</v>
      </c>
      <c r="L73" s="524">
        <f>IF($P$47="Yes",IFERROR(IF(VLOOKUP(C73,'Lighting Assumptions'!D:G,4,FALSE)="N/A",F73,IF(VLOOKUP(C73,'Lighting Assumptions'!D:G,4,FALSE)="A/A",F73*1.2,IF(K73&gt;VLOOKUP(C73,'Lighting Assumptions'!D:G,4,FALSE),F73*1.2,F73))),""),F73)</f>
        <v>6.9</v>
      </c>
      <c r="M73" s="395">
        <v>2.5</v>
      </c>
      <c r="N73" s="1416"/>
      <c r="O73" s="409"/>
      <c r="P73" s="1875"/>
      <c r="Q73" s="524">
        <f t="shared" ref="Q73:Q76" si="6">IFERROR(IF($M73&gt;0,IFERROR($M73-$O73*$P73/$D73,$M73),""),"")</f>
        <v>2.5</v>
      </c>
      <c r="AD73" s="1894" t="s">
        <v>2253</v>
      </c>
    </row>
    <row r="74" spans="1:30" ht="15" customHeight="1" x14ac:dyDescent="0.25">
      <c r="B74" s="686" t="str">
        <f t="shared" si="3"/>
        <v>Saudi Aramco Corporate Academy - Dhahran</v>
      </c>
      <c r="C74" s="686" t="s">
        <v>91</v>
      </c>
      <c r="D74" s="393">
        <v>896.7</v>
      </c>
      <c r="E74" s="49"/>
      <c r="F74" s="851">
        <f>IFERROR(IF(SI_IP_Units="IP",VLOOKUP(C74,'Lighting Assumptions'!$D$1:$F$96,2,FALSE),VLOOKUP(C74,'Lighting Assumptions'!$D$1:$F$96,3,FALSE)),"")</f>
        <v>10.5</v>
      </c>
      <c r="G74" s="2306"/>
      <c r="H74" s="2306"/>
      <c r="I74" s="1968"/>
      <c r="J74" s="1968"/>
      <c r="K74" s="1984">
        <f t="shared" ref="K74" si="7">IFERROR(2.5*(G74-I74)*J74/D74,"")</f>
        <v>0</v>
      </c>
      <c r="L74" s="524">
        <f>IF($P$47="Yes",IFERROR(IF(VLOOKUP(C74,'Lighting Assumptions'!D:G,4,FALSE)="N/A",F74,IF(VLOOKUP(C74,'Lighting Assumptions'!D:G,4,FALSE)="A/A",F74*1.2,IF(K74&gt;VLOOKUP(C74,'Lighting Assumptions'!D:G,4,FALSE),F74*1.2,F74))),""),F74)</f>
        <v>10.5</v>
      </c>
      <c r="M74" s="395">
        <v>10.5</v>
      </c>
      <c r="N74" s="1416"/>
      <c r="O74" s="409"/>
      <c r="P74" s="1875"/>
      <c r="Q74" s="524">
        <f t="shared" si="6"/>
        <v>10.5</v>
      </c>
      <c r="AD74" s="1894" t="s">
        <v>2254</v>
      </c>
    </row>
    <row r="75" spans="1:30" ht="15" customHeight="1" x14ac:dyDescent="0.25">
      <c r="B75" s="686" t="str">
        <f t="shared" si="3"/>
        <v>Saudi Aramco Corporate Academy - Dhahran</v>
      </c>
      <c r="C75" s="686" t="s">
        <v>276</v>
      </c>
      <c r="D75" s="393">
        <v>918.1</v>
      </c>
      <c r="E75" s="49"/>
      <c r="F75" s="851">
        <f>IFERROR(IF(SI_IP_Units="IP",VLOOKUP(C75,'Lighting Assumptions'!$D$1:$F$96,2,FALSE),VLOOKUP(C75,'Lighting Assumptions'!$D$1:$F$96,3,FALSE)),"")</f>
        <v>7.4</v>
      </c>
      <c r="G75" s="2306"/>
      <c r="H75" s="2306"/>
      <c r="I75" s="1968"/>
      <c r="J75" s="1968"/>
      <c r="K75" s="1984">
        <f t="shared" ref="K75:K76" si="8">IFERROR(2.5*(G75-I75)*J75/D75,"")</f>
        <v>0</v>
      </c>
      <c r="L75" s="524">
        <f>IF($P$47="Yes",IFERROR(IF(VLOOKUP(C75,'Lighting Assumptions'!D:G,4,FALSE)="N/A",F75,IF(VLOOKUP(C75,'Lighting Assumptions'!D:G,4,FALSE)="A/A",F75*1.2,IF(K75&gt;VLOOKUP(C75,'Lighting Assumptions'!D:G,4,FALSE),F75*1.2,F75))),""),F75)</f>
        <v>7.4</v>
      </c>
      <c r="M75" s="395">
        <v>6.39</v>
      </c>
      <c r="N75" s="1416"/>
      <c r="O75" s="409"/>
      <c r="P75" s="1875"/>
      <c r="Q75" s="524">
        <f t="shared" si="6"/>
        <v>6.39</v>
      </c>
      <c r="AD75" s="1894" t="s">
        <v>2254</v>
      </c>
    </row>
    <row r="76" spans="1:30" ht="15" customHeight="1" x14ac:dyDescent="0.25">
      <c r="B76" s="1506" t="str">
        <f t="shared" si="3"/>
        <v>Saudi Aramco Corporate Academy - Dhahran</v>
      </c>
      <c r="C76" s="1506" t="s">
        <v>277</v>
      </c>
      <c r="D76" s="1507">
        <v>749.7</v>
      </c>
      <c r="E76" s="49"/>
      <c r="F76" s="1508">
        <f>IFERROR(IF(SI_IP_Units="IP",VLOOKUP(C76,'Lighting Assumptions'!$D$1:$F$96,2,FALSE),VLOOKUP(C76,'Lighting Assumptions'!$D$1:$F$96,3,FALSE)),"")</f>
        <v>6.8</v>
      </c>
      <c r="G76" s="2433"/>
      <c r="H76" s="2433"/>
      <c r="I76" s="1967"/>
      <c r="J76" s="1967"/>
      <c r="K76" s="1985">
        <f t="shared" si="8"/>
        <v>0</v>
      </c>
      <c r="L76" s="1509">
        <f>IF($P$47="Yes",IFERROR(IF(VLOOKUP(C76,'Lighting Assumptions'!D:G,4,FALSE)="N/A",F76,IF(VLOOKUP(C76,'Lighting Assumptions'!D:G,4,FALSE)="A/A",F76*1.2,IF(K76&gt;VLOOKUP(C76,'Lighting Assumptions'!D:G,4,FALSE),F76*1.2,F76))),""),F76)</f>
        <v>6.8</v>
      </c>
      <c r="M76" s="1510">
        <v>7.19</v>
      </c>
      <c r="N76" s="1866"/>
      <c r="O76" s="1562"/>
      <c r="P76" s="1876"/>
      <c r="Q76" s="1509">
        <f t="shared" si="6"/>
        <v>7.19</v>
      </c>
      <c r="AD76" s="1894" t="s">
        <v>2254</v>
      </c>
    </row>
    <row r="77" spans="1:30" ht="21" customHeight="1" x14ac:dyDescent="0.25">
      <c r="A77" s="593" t="s">
        <v>1299</v>
      </c>
      <c r="B77" s="2441" t="s">
        <v>18</v>
      </c>
      <c r="C77" s="2442"/>
      <c r="D77" s="394">
        <f>SUM(D56:D76)</f>
        <v>19873.399999999998</v>
      </c>
      <c r="E77" s="1511"/>
      <c r="F77" s="1512">
        <f>IFERROR(SUMPRODUCT($D56:$D76,F56:F76)/SUM($D56:$D76),0)</f>
        <v>10.668747169583465</v>
      </c>
      <c r="G77" s="1513"/>
      <c r="H77" s="1514"/>
      <c r="I77" s="1515"/>
      <c r="J77" s="1515"/>
      <c r="K77" s="1515"/>
      <c r="L77" s="1516">
        <f>IFERROR(SUMPRODUCT($D56:$D76,$L56:$L76)/SUM($D56:$D76),0)</f>
        <v>10.668747169583465</v>
      </c>
      <c r="M77" s="1517">
        <f>IFERROR(SUMPRODUCT($D56:$D76,$M56:$M76)/SUM($D56:$D76),0)</f>
        <v>7.602759920295469</v>
      </c>
      <c r="N77" s="1518"/>
      <c r="O77" s="1518"/>
      <c r="P77" s="1519"/>
      <c r="Q77" s="1520">
        <f>IFERROR(SUMPRODUCT($D56:$D76,$Q56:$Q76)/SUM($D56:$D76),0)</f>
        <v>7.602759920295469</v>
      </c>
      <c r="AD77" s="1894"/>
    </row>
    <row r="78" spans="1:30" ht="13.5" customHeight="1" x14ac:dyDescent="0.25">
      <c r="A78" s="593" t="s">
        <v>1299</v>
      </c>
      <c r="B78" s="583"/>
      <c r="C78" s="583"/>
      <c r="D78" s="771"/>
      <c r="E78" s="772"/>
      <c r="F78" s="773"/>
      <c r="G78" s="872"/>
      <c r="H78" s="872"/>
      <c r="I78" s="872"/>
      <c r="J78" s="872"/>
      <c r="K78" s="872"/>
      <c r="L78" s="774"/>
      <c r="M78" s="774"/>
      <c r="N78" s="873"/>
      <c r="O78" s="873"/>
      <c r="P78" s="873"/>
      <c r="Q78" s="874"/>
    </row>
    <row r="79" spans="1:30" ht="38.25" customHeight="1" x14ac:dyDescent="0.25">
      <c r="A79" s="593" t="s">
        <v>1299</v>
      </c>
      <c r="E79" s="25"/>
      <c r="F79" s="25"/>
      <c r="G79" s="25"/>
      <c r="H79" s="25"/>
      <c r="I79" s="25"/>
      <c r="J79" s="25"/>
      <c r="K79" s="25"/>
      <c r="L79" s="25"/>
    </row>
    <row r="80" spans="1:30" ht="27.75" hidden="1" customHeight="1" x14ac:dyDescent="0.3">
      <c r="B80" s="2409" t="s">
        <v>1358</v>
      </c>
      <c r="C80" s="2409" t="str">
        <f>CONCATENATE("Total Space Area ",IF(SI_IP_Units="IP","(sq ft)","(sq m)"))</f>
        <v>Total Space Area (sq m)</v>
      </c>
      <c r="D80" s="2410"/>
      <c r="E80" s="2410"/>
      <c r="F80" s="2410"/>
      <c r="G80" s="2409" t="s">
        <v>1681</v>
      </c>
      <c r="H80" s="2410"/>
      <c r="I80" s="2410"/>
      <c r="J80" s="2410"/>
      <c r="K80" s="2410"/>
      <c r="L80" s="2409" t="s">
        <v>1685</v>
      </c>
      <c r="M80" s="2410"/>
      <c r="N80" s="2410"/>
      <c r="O80" s="2410"/>
      <c r="P80" s="2410"/>
      <c r="Q80" s="2410"/>
    </row>
    <row r="81" spans="1:30" ht="34.5" hidden="1" customHeight="1" x14ac:dyDescent="0.3">
      <c r="A81" s="593" t="s">
        <v>1299</v>
      </c>
      <c r="B81" s="2409"/>
      <c r="C81" s="2409"/>
      <c r="D81" s="2410"/>
      <c r="E81" s="2410"/>
      <c r="F81" s="2410"/>
      <c r="G81" s="2409" t="str">
        <f>CONCATENATE("Baseline Maximum Allowance",CHAR(10),IF(SI_IP_Units="IP","(W/sq ft)","(W/sq m)"))</f>
        <v>Baseline Maximum Allowance
(W/sq m)</v>
      </c>
      <c r="H81" s="2410"/>
      <c r="I81" s="2410"/>
      <c r="J81" s="2409" t="str">
        <f>CONCATENATE("Design Maximum Allowance",CHAR(10),IF(SI_IP_Units="IP","(W/sq ft)","(W/sq m)"))</f>
        <v>Design Maximum Allowance
(W/sq m)</v>
      </c>
      <c r="K81" s="2408"/>
      <c r="L81" s="2407" t="str">
        <f>CONCATENATE("Baseline Maximum Allowance",CHAR(10),"(kW)")</f>
        <v>Baseline Maximum Allowance
(kW)</v>
      </c>
      <c r="M81" s="2408"/>
      <c r="N81" s="2408"/>
      <c r="O81" s="2407" t="str">
        <f>CONCATENATE("Design Maximum Allowance",CHAR(10),"(kW)")</f>
        <v>Design Maximum Allowance
(kW)</v>
      </c>
      <c r="P81" s="2410"/>
      <c r="Q81" s="2410"/>
    </row>
    <row r="82" spans="1:30" s="1004" customFormat="1" ht="26.4" hidden="1" x14ac:dyDescent="0.3">
      <c r="A82" s="996"/>
      <c r="B82" s="997" t="str">
        <f>B80</f>
        <v>Building ID</v>
      </c>
      <c r="C82" s="997" t="str">
        <f>C80</f>
        <v>Total Space Area (sq m)</v>
      </c>
      <c r="D82" s="998"/>
      <c r="E82" s="998"/>
      <c r="F82" s="998"/>
      <c r="G82" s="997" t="s">
        <v>1682</v>
      </c>
      <c r="H82" s="997"/>
      <c r="I82" s="999"/>
      <c r="J82" s="997" t="s">
        <v>1595</v>
      </c>
      <c r="K82" s="1000"/>
      <c r="L82" s="1001" t="s">
        <v>1683</v>
      </c>
      <c r="M82" s="997"/>
      <c r="N82" s="1002"/>
      <c r="O82" s="997" t="s">
        <v>1684</v>
      </c>
      <c r="P82" s="1003"/>
      <c r="Q82" s="1003"/>
    </row>
    <row r="83" spans="1:30" ht="20.25" hidden="1" customHeight="1" x14ac:dyDescent="0.3">
      <c r="A83" s="593" t="s">
        <v>1299</v>
      </c>
      <c r="B83" s="881" t="str">
        <f>'Multiple Buildings Details'!B24</f>
        <v>Saudi Aramco Corporate Academy - Dhahran</v>
      </c>
      <c r="C83" s="2456">
        <f>SUMIF($B$56:$B$76,"="&amp;B83,$D$56:$D$76)</f>
        <v>19873.399999999998</v>
      </c>
      <c r="D83" s="2410"/>
      <c r="E83" s="2410"/>
      <c r="F83" s="2410"/>
      <c r="G83" s="2457">
        <f>IFERROR(SUMPRODUCT(--($B$56:$B$76=$B83),$D$56:$D$76,$L$56:$L$76)/$C83,0)</f>
        <v>10.668747169583465</v>
      </c>
      <c r="H83" s="2410"/>
      <c r="I83" s="2410"/>
      <c r="J83" s="2411">
        <f>IFERROR(SUMPRODUCT(--($B$56:$B$76=$B83),$D$56:$D$76,$Q$56:$Q$76)/$C83,0)</f>
        <v>7.602759920295469</v>
      </c>
      <c r="K83" s="2408"/>
      <c r="L83" s="2411">
        <f>SUMPRODUCT(--($B$56:$B$76=$B83),$L$56:$L$76,$D$56:$D$76)/1000</f>
        <v>212.02428</v>
      </c>
      <c r="M83" s="2408"/>
      <c r="N83" s="2408"/>
      <c r="O83" s="2411">
        <f>SUMPRODUCT(--($B$56:$B$76=$B83),$D$56:$D$76,$Q$56:$Q$76)/1000</f>
        <v>151.09268899999995</v>
      </c>
      <c r="P83" s="2410"/>
      <c r="Q83" s="2410"/>
    </row>
    <row r="84" spans="1:30" ht="20.25" customHeight="1" x14ac:dyDescent="0.25">
      <c r="A84" s="593" t="s">
        <v>1299</v>
      </c>
      <c r="E84" s="25"/>
      <c r="F84" s="25"/>
      <c r="G84" s="25"/>
      <c r="H84" s="25"/>
      <c r="I84" s="25"/>
      <c r="J84" s="25"/>
      <c r="K84" s="25"/>
      <c r="L84" s="25"/>
      <c r="S84" s="81"/>
      <c r="T84" s="1"/>
      <c r="U84" s="1"/>
      <c r="V84" s="1"/>
    </row>
    <row r="85" spans="1:30" s="24" customFormat="1" ht="26.25" customHeight="1" x14ac:dyDescent="0.25">
      <c r="A85" s="593" t="s">
        <v>1299</v>
      </c>
      <c r="B85" s="38" t="s">
        <v>1062</v>
      </c>
      <c r="C85" s="31"/>
      <c r="D85" s="31"/>
      <c r="E85" s="31"/>
      <c r="F85" s="31"/>
      <c r="G85" s="31"/>
      <c r="H85" s="31"/>
      <c r="I85" s="31"/>
      <c r="J85" s="31"/>
      <c r="K85" s="31"/>
      <c r="L85" s="31"/>
      <c r="M85" s="31"/>
      <c r="S85" s="100"/>
      <c r="T85" s="100"/>
      <c r="U85" s="100"/>
      <c r="V85" s="100"/>
    </row>
    <row r="86" spans="1:30" s="24" customFormat="1" ht="26.25" customHeight="1" x14ac:dyDescent="0.25">
      <c r="A86" s="593" t="s">
        <v>1299</v>
      </c>
      <c r="B86" s="2464" t="s">
        <v>1358</v>
      </c>
      <c r="C86" s="2464" t="s">
        <v>95</v>
      </c>
      <c r="D86" s="2464"/>
      <c r="E86" s="1005"/>
      <c r="F86" s="2466" t="s">
        <v>809</v>
      </c>
      <c r="G86" s="2466"/>
      <c r="H86" s="1010"/>
      <c r="I86" s="2459" t="s">
        <v>1112</v>
      </c>
      <c r="J86" s="2460"/>
      <c r="K86" s="2461"/>
      <c r="L86" s="2461"/>
      <c r="M86" s="2461"/>
      <c r="N86" s="2348"/>
      <c r="O86" s="2348"/>
      <c r="P86" s="2348"/>
      <c r="Q86" s="2348"/>
      <c r="S86" s="100"/>
      <c r="T86" s="100"/>
      <c r="U86" s="100"/>
      <c r="V86" s="100"/>
    </row>
    <row r="87" spans="1:30" ht="69.75" customHeight="1" x14ac:dyDescent="0.25">
      <c r="A87" s="593" t="s">
        <v>1299</v>
      </c>
      <c r="B87" s="2465"/>
      <c r="C87" s="2465"/>
      <c r="D87" s="2465"/>
      <c r="E87" s="1005"/>
      <c r="F87" s="1010" t="str">
        <f>IF(SI_IP_Units="IP","Floor Area
(sq ft)","Floor Area
(sq m)")</f>
        <v>Floor Area
(sq m)</v>
      </c>
      <c r="G87" s="1010" t="s">
        <v>1111</v>
      </c>
      <c r="H87" s="1011"/>
      <c r="I87" s="2462"/>
      <c r="J87" s="2462"/>
      <c r="K87" s="2462"/>
      <c r="L87" s="2462"/>
      <c r="M87" s="2462"/>
      <c r="N87" s="2350"/>
      <c r="O87" s="2350"/>
      <c r="P87" s="2350"/>
      <c r="Q87" s="2350"/>
      <c r="S87" s="1"/>
      <c r="T87" s="1"/>
      <c r="U87" s="1"/>
      <c r="V87" s="1"/>
    </row>
    <row r="88" spans="1:30" ht="86.25" customHeight="1" x14ac:dyDescent="0.25">
      <c r="A88" s="593" t="s">
        <v>1299</v>
      </c>
      <c r="B88" s="1493" t="s">
        <v>1888</v>
      </c>
      <c r="C88" s="2323" t="s">
        <v>1730</v>
      </c>
      <c r="D88" s="2394"/>
      <c r="E88" s="1495"/>
      <c r="F88" s="2395" t="s">
        <v>1731</v>
      </c>
      <c r="G88" s="2394"/>
      <c r="H88" s="954"/>
      <c r="I88" s="2395"/>
      <c r="J88" s="2138"/>
      <c r="K88" s="2138"/>
      <c r="L88" s="2138"/>
      <c r="M88" s="2138"/>
      <c r="N88" s="2138"/>
      <c r="O88" s="2138"/>
      <c r="P88" s="2138"/>
      <c r="Q88" s="2324"/>
      <c r="S88" s="1"/>
      <c r="T88" s="1"/>
      <c r="U88" s="1"/>
      <c r="V88" s="1"/>
    </row>
    <row r="89" spans="1:30" ht="51" hidden="1" x14ac:dyDescent="0.3">
      <c r="A89" s="593" t="s">
        <v>1299</v>
      </c>
      <c r="B89" s="1490" t="str">
        <f>B86</f>
        <v>Building ID</v>
      </c>
      <c r="C89" s="1490" t="str">
        <f>C86</f>
        <v>Table 9.6.1 Space Type</v>
      </c>
      <c r="D89" s="1490"/>
      <c r="E89" s="1212"/>
      <c r="F89" s="1491" t="str">
        <f>F87</f>
        <v>Floor Area
(sq m)</v>
      </c>
      <c r="G89" s="1491" t="str">
        <f>G87</f>
        <v>Additional Power Allowance (W)</v>
      </c>
      <c r="H89" s="1213"/>
      <c r="I89" s="1496" t="str">
        <f>I86</f>
        <v>Additional Lighting Power Description or Additional Control Method</v>
      </c>
      <c r="J89" s="1492"/>
      <c r="K89" s="1492"/>
      <c r="L89" s="1492"/>
      <c r="M89" s="1492"/>
      <c r="N89" s="1492"/>
      <c r="O89" s="1492"/>
      <c r="P89" s="1492"/>
      <c r="Q89" s="1492"/>
      <c r="S89" s="1"/>
      <c r="T89" s="1"/>
      <c r="U89" s="1"/>
      <c r="V89" s="1"/>
    </row>
    <row r="90" spans="1:30" ht="15" hidden="1" customHeight="1" x14ac:dyDescent="0.25">
      <c r="A90" s="593" t="s">
        <v>919</v>
      </c>
      <c r="B90" s="1252" t="str">
        <f t="shared" ref="B90:B95" si="9">GI_Project_Name</f>
        <v>Saudi Aramco Corporate Academy - Dhahran</v>
      </c>
      <c r="C90" s="2412"/>
      <c r="D90" s="2412"/>
      <c r="E90" s="1005"/>
      <c r="F90" s="1006"/>
      <c r="G90" s="1007"/>
      <c r="H90" s="1011"/>
      <c r="I90" s="2453"/>
      <c r="J90" s="2454"/>
      <c r="K90" s="2454"/>
      <c r="L90" s="2454"/>
      <c r="M90" s="2454"/>
      <c r="N90" s="2454"/>
      <c r="O90" s="2454"/>
      <c r="P90" s="2454"/>
      <c r="Q90" s="2455"/>
      <c r="S90" s="81"/>
      <c r="T90" s="1"/>
      <c r="U90" s="1"/>
      <c r="V90" s="1"/>
      <c r="AD90" s="1894"/>
    </row>
    <row r="91" spans="1:30" ht="15" customHeight="1" x14ac:dyDescent="0.3">
      <c r="B91" s="1252" t="str">
        <f t="shared" si="9"/>
        <v>Saudi Aramco Corporate Academy - Dhahran</v>
      </c>
      <c r="C91" s="2412"/>
      <c r="D91" s="2412"/>
      <c r="E91" s="1005"/>
      <c r="F91" s="1006"/>
      <c r="G91" s="1007"/>
      <c r="H91" s="1011"/>
      <c r="I91" s="2416"/>
      <c r="J91" s="2417"/>
      <c r="K91" s="2417"/>
      <c r="L91" s="2417"/>
      <c r="M91" s="2417"/>
      <c r="N91" s="2321"/>
      <c r="O91" s="2321"/>
      <c r="P91" s="2321"/>
      <c r="Q91" s="2321"/>
      <c r="S91" s="81"/>
      <c r="T91" s="1"/>
      <c r="U91" s="1"/>
      <c r="V91" s="1"/>
      <c r="AD91" s="1894"/>
    </row>
    <row r="92" spans="1:30" ht="15" customHeight="1" x14ac:dyDescent="0.3">
      <c r="B92" s="1252" t="str">
        <f t="shared" si="9"/>
        <v>Saudi Aramco Corporate Academy - Dhahran</v>
      </c>
      <c r="C92" s="2412"/>
      <c r="D92" s="2412"/>
      <c r="E92" s="1005"/>
      <c r="F92" s="1006"/>
      <c r="G92" s="1007"/>
      <c r="H92" s="1011"/>
      <c r="I92" s="2416"/>
      <c r="J92" s="2417"/>
      <c r="K92" s="2417"/>
      <c r="L92" s="2417"/>
      <c r="M92" s="2417"/>
      <c r="N92" s="2321"/>
      <c r="O92" s="2321"/>
      <c r="P92" s="2321"/>
      <c r="Q92" s="2321"/>
      <c r="S92" s="81"/>
      <c r="T92" s="1"/>
      <c r="U92" s="1"/>
      <c r="V92" s="1"/>
      <c r="AD92" s="1894"/>
    </row>
    <row r="93" spans="1:30" ht="15" customHeight="1" x14ac:dyDescent="0.3">
      <c r="B93" s="1252" t="str">
        <f t="shared" si="9"/>
        <v>Saudi Aramco Corporate Academy - Dhahran</v>
      </c>
      <c r="C93" s="2412"/>
      <c r="D93" s="2412"/>
      <c r="E93" s="1005"/>
      <c r="F93" s="1006"/>
      <c r="G93" s="1007"/>
      <c r="H93" s="1011"/>
      <c r="I93" s="2416"/>
      <c r="J93" s="2417"/>
      <c r="K93" s="2417"/>
      <c r="L93" s="2417"/>
      <c r="M93" s="2417"/>
      <c r="N93" s="2321"/>
      <c r="O93" s="2321"/>
      <c r="P93" s="2321"/>
      <c r="Q93" s="2321"/>
      <c r="S93" s="81"/>
      <c r="T93" s="1"/>
      <c r="U93" s="1"/>
      <c r="V93" s="1"/>
      <c r="AD93" s="1894"/>
    </row>
    <row r="94" spans="1:30" ht="15" customHeight="1" x14ac:dyDescent="0.3">
      <c r="B94" s="1252" t="str">
        <f t="shared" si="9"/>
        <v>Saudi Aramco Corporate Academy - Dhahran</v>
      </c>
      <c r="C94" s="2412"/>
      <c r="D94" s="2412"/>
      <c r="E94" s="1005"/>
      <c r="F94" s="1006"/>
      <c r="G94" s="1007"/>
      <c r="H94" s="1011"/>
      <c r="I94" s="2416"/>
      <c r="J94" s="2417"/>
      <c r="K94" s="2417"/>
      <c r="L94" s="2417"/>
      <c r="M94" s="2417"/>
      <c r="N94" s="2321"/>
      <c r="O94" s="2321"/>
      <c r="P94" s="2321"/>
      <c r="Q94" s="2321"/>
      <c r="S94" s="81"/>
      <c r="T94" s="1"/>
      <c r="U94" s="1"/>
      <c r="V94" s="1"/>
      <c r="AD94" s="1894"/>
    </row>
    <row r="95" spans="1:30" ht="15" customHeight="1" x14ac:dyDescent="0.3">
      <c r="B95" s="1252" t="str">
        <f t="shared" si="9"/>
        <v>Saudi Aramco Corporate Academy - Dhahran</v>
      </c>
      <c r="C95" s="2412"/>
      <c r="D95" s="2412"/>
      <c r="E95" s="1005"/>
      <c r="F95" s="1006"/>
      <c r="G95" s="1007"/>
      <c r="H95" s="1011"/>
      <c r="I95" s="2416"/>
      <c r="J95" s="2417"/>
      <c r="K95" s="2417"/>
      <c r="L95" s="2417"/>
      <c r="M95" s="2417"/>
      <c r="N95" s="2321"/>
      <c r="O95" s="2321"/>
      <c r="P95" s="2321"/>
      <c r="Q95" s="2321"/>
      <c r="S95" s="81"/>
      <c r="T95" s="1"/>
      <c r="U95" s="1"/>
      <c r="V95" s="1"/>
      <c r="AD95" s="1894"/>
    </row>
    <row r="96" spans="1:30" ht="21" customHeight="1" x14ac:dyDescent="0.3">
      <c r="A96" s="593" t="s">
        <v>1299</v>
      </c>
      <c r="B96" s="2429" t="s">
        <v>18</v>
      </c>
      <c r="C96" s="2430"/>
      <c r="D96" s="2431"/>
      <c r="E96" s="1005"/>
      <c r="F96" s="1008">
        <f>SUM(F90:F95)</f>
        <v>0</v>
      </c>
      <c r="G96" s="1009">
        <f>IFERROR(IF(P97="Yes",(SUMPRODUCT($F90:$F95,G90:G95)/SUM($F90:$F95)+1000),SUMPRODUCT($F90:$F95,G90:G95)/SUM($F90:$F95)),0)</f>
        <v>0</v>
      </c>
      <c r="H96" s="1012"/>
      <c r="I96" s="2432"/>
      <c r="J96" s="2348"/>
      <c r="K96" s="2348"/>
      <c r="L96" s="2348"/>
      <c r="M96" s="2348"/>
      <c r="N96" s="2348"/>
      <c r="O96" s="2348"/>
      <c r="P96" s="2348"/>
      <c r="Q96" s="2348"/>
      <c r="S96" s="81"/>
      <c r="T96" s="1"/>
      <c r="U96" s="1"/>
      <c r="V96" s="1"/>
      <c r="AD96" s="1894"/>
    </row>
    <row r="97" spans="1:30" ht="21" customHeight="1" x14ac:dyDescent="0.3">
      <c r="A97" s="593" t="s">
        <v>1299</v>
      </c>
      <c r="B97" s="2480" t="s">
        <v>810</v>
      </c>
      <c r="C97" s="2481"/>
      <c r="D97" s="2481"/>
      <c r="E97" s="2481"/>
      <c r="F97" s="2481"/>
      <c r="G97" s="2481"/>
      <c r="H97" s="2481"/>
      <c r="I97" s="2481"/>
      <c r="J97" s="2481"/>
      <c r="K97" s="2481"/>
      <c r="L97" s="2482"/>
      <c r="M97" s="2482"/>
      <c r="N97" s="2482"/>
      <c r="O97" s="2483"/>
      <c r="P97" s="2427"/>
      <c r="Q97" s="2428"/>
      <c r="S97" s="81"/>
      <c r="T97" s="1"/>
      <c r="U97" s="1"/>
      <c r="V97" s="1"/>
      <c r="AD97" s="1894"/>
    </row>
    <row r="98" spans="1:30" ht="45" customHeight="1" x14ac:dyDescent="0.3">
      <c r="A98" s="593" t="s">
        <v>1299</v>
      </c>
      <c r="B98" s="2444" t="s">
        <v>1732</v>
      </c>
      <c r="C98" s="2445"/>
      <c r="D98" s="2445"/>
      <c r="E98" s="2445"/>
      <c r="F98" s="2445"/>
      <c r="G98" s="2445"/>
      <c r="H98" s="2445"/>
      <c r="I98" s="2445"/>
      <c r="J98" s="2445"/>
      <c r="K98" s="2445"/>
      <c r="L98" s="2446"/>
      <c r="M98" s="2446"/>
      <c r="N98" s="2446"/>
      <c r="O98" s="2447"/>
      <c r="P98" s="2223"/>
      <c r="Q98" s="2448"/>
      <c r="S98" s="81"/>
      <c r="T98" s="1"/>
      <c r="U98" s="1"/>
      <c r="V98" s="1"/>
      <c r="AD98" s="1894"/>
    </row>
    <row r="99" spans="1:30" ht="21" customHeight="1" x14ac:dyDescent="0.3">
      <c r="A99" s="593" t="s">
        <v>1299</v>
      </c>
      <c r="B99" s="2449" t="s">
        <v>1143</v>
      </c>
      <c r="C99" s="2450"/>
      <c r="D99" s="2450"/>
      <c r="E99" s="2450"/>
      <c r="F99" s="2450"/>
      <c r="G99" s="2450"/>
      <c r="H99" s="2450"/>
      <c r="I99" s="2450"/>
      <c r="J99" s="2450"/>
      <c r="K99" s="2450"/>
      <c r="L99" s="2446"/>
      <c r="M99" s="2446"/>
      <c r="N99" s="2446"/>
      <c r="O99" s="2447"/>
      <c r="P99" s="2223"/>
      <c r="Q99" s="2448"/>
      <c r="S99" s="81"/>
      <c r="T99" s="1"/>
      <c r="U99" s="1"/>
      <c r="V99" s="1"/>
      <c r="AD99" s="1894"/>
    </row>
    <row r="100" spans="1:30" ht="21" customHeight="1" x14ac:dyDescent="0.25">
      <c r="A100" s="593" t="s">
        <v>1299</v>
      </c>
      <c r="B100" s="870"/>
      <c r="C100" s="479"/>
      <c r="D100" s="479"/>
      <c r="E100" s="479"/>
      <c r="F100" s="479"/>
      <c r="G100" s="479"/>
      <c r="H100" s="479"/>
      <c r="I100" s="479"/>
      <c r="J100" s="479"/>
      <c r="K100" s="479"/>
      <c r="L100" s="871"/>
      <c r="M100" s="871"/>
      <c r="S100" s="81"/>
      <c r="T100" s="1"/>
      <c r="U100" s="1"/>
      <c r="V100" s="1"/>
    </row>
    <row r="101" spans="1:30" ht="38.25" customHeight="1" x14ac:dyDescent="0.25">
      <c r="A101" s="593" t="s">
        <v>1299</v>
      </c>
      <c r="S101" s="81"/>
      <c r="T101" s="1"/>
      <c r="U101" s="1"/>
      <c r="V101" s="1"/>
    </row>
    <row r="102" spans="1:30" ht="30.75" hidden="1" customHeight="1" x14ac:dyDescent="0.3">
      <c r="A102" s="593" t="s">
        <v>1299</v>
      </c>
      <c r="B102" s="1029" t="s">
        <v>1358</v>
      </c>
      <c r="C102" s="2452" t="s">
        <v>1608</v>
      </c>
      <c r="D102" s="2451"/>
      <c r="E102" s="2451"/>
      <c r="F102" s="2451"/>
      <c r="G102" s="2402" t="str">
        <f>CONCATENATE("Maximum Allowance",CHAR(10),IF(SI_IP_Units="IP","(W/sq ft)","(W/sq m)"))</f>
        <v>Maximum Allowance
(W/sq m)</v>
      </c>
      <c r="H102" s="2451"/>
      <c r="I102" s="2451"/>
      <c r="J102" s="2451"/>
      <c r="K102" s="2451"/>
      <c r="L102" s="2402" t="str">
        <f>CONCATENATE("Design Maximum Allowance",CHAR(10),"(kW)")</f>
        <v>Design Maximum Allowance
(kW)</v>
      </c>
      <c r="M102" s="2451"/>
      <c r="N102" s="2451"/>
      <c r="O102" s="2451"/>
      <c r="P102" s="2451"/>
      <c r="Q102" s="2451"/>
      <c r="S102" s="81"/>
      <c r="T102" s="1"/>
      <c r="U102" s="1"/>
      <c r="V102" s="1"/>
    </row>
    <row r="103" spans="1:30" ht="15.75" hidden="1" customHeight="1" x14ac:dyDescent="0.25">
      <c r="B103" s="1020" t="str">
        <f>B102</f>
        <v>Building ID</v>
      </c>
      <c r="C103" s="1020" t="str">
        <f>C102</f>
        <v>Total Space Area</v>
      </c>
      <c r="D103" s="1021"/>
      <c r="E103" s="1021"/>
      <c r="F103" s="1021"/>
      <c r="G103" s="1020" t="s">
        <v>1686</v>
      </c>
      <c r="H103" s="1030"/>
      <c r="I103" s="1021"/>
      <c r="J103" s="1021"/>
      <c r="K103" s="1021"/>
      <c r="L103" s="1020" t="s">
        <v>1687</v>
      </c>
      <c r="M103" s="1021"/>
      <c r="N103" s="1013"/>
      <c r="O103" s="1022"/>
      <c r="P103" s="1022"/>
      <c r="Q103" s="1022"/>
      <c r="S103" s="81"/>
      <c r="T103" s="1"/>
      <c r="U103" s="1"/>
      <c r="V103" s="1"/>
    </row>
    <row r="104" spans="1:30" ht="18" hidden="1" customHeight="1" x14ac:dyDescent="0.3">
      <c r="A104" s="593" t="s">
        <v>1299</v>
      </c>
      <c r="B104" s="1023" t="str">
        <f>'Multiple Buildings Details'!B24</f>
        <v>Saudi Aramco Corporate Academy - Dhahran</v>
      </c>
      <c r="C104" s="2487">
        <f>SUMIF($B$90:$B$95,"="&amp;B104,$F$90:$F$95)</f>
        <v>0</v>
      </c>
      <c r="D104" s="2488"/>
      <c r="E104" s="2488"/>
      <c r="F104" s="2488"/>
      <c r="G104" s="2426">
        <f>IFERROR(SUMIF($B$90:$B$95,"="&amp;B104,$G$90:$G$95)/$C104,0)</f>
        <v>0</v>
      </c>
      <c r="H104" s="2348"/>
      <c r="I104" s="2348"/>
      <c r="J104" s="2348"/>
      <c r="K104" s="2348"/>
      <c r="L104" s="2471">
        <f>SUMIF($B$90:$B$95,"="&amp;B104,$G$90:$G$95)/1000</f>
        <v>0</v>
      </c>
      <c r="M104" s="2348"/>
      <c r="N104" s="2348"/>
      <c r="O104" s="2348"/>
      <c r="P104" s="2348"/>
      <c r="Q104" s="2348"/>
      <c r="S104" s="81"/>
      <c r="T104" s="1"/>
      <c r="U104" s="1"/>
      <c r="V104" s="1"/>
    </row>
    <row r="105" spans="1:30" ht="18" hidden="1" customHeight="1" x14ac:dyDescent="0.25">
      <c r="A105" s="593" t="s">
        <v>1299</v>
      </c>
      <c r="B105" s="880"/>
      <c r="C105" s="27"/>
      <c r="D105" s="27"/>
      <c r="S105" s="81"/>
      <c r="T105" s="1"/>
      <c r="U105" s="1"/>
      <c r="V105" s="1"/>
    </row>
    <row r="106" spans="1:30" ht="19.5" customHeight="1" x14ac:dyDescent="0.25">
      <c r="A106" s="593" t="s">
        <v>1299</v>
      </c>
      <c r="E106" s="25"/>
      <c r="F106" s="25"/>
      <c r="G106" s="2443"/>
      <c r="H106" s="2443"/>
      <c r="I106" s="25"/>
      <c r="J106" s="25"/>
      <c r="K106" s="25"/>
      <c r="L106" s="25"/>
      <c r="S106" s="81"/>
      <c r="T106" s="1"/>
      <c r="U106" s="1"/>
      <c r="V106" s="1"/>
    </row>
    <row r="107" spans="1:30" s="24" customFormat="1" ht="19.5" customHeight="1" x14ac:dyDescent="0.25">
      <c r="A107" s="593" t="s">
        <v>1299</v>
      </c>
      <c r="B107" s="105" t="s">
        <v>321</v>
      </c>
      <c r="C107" s="31"/>
      <c r="D107" s="31"/>
      <c r="E107" s="31"/>
      <c r="F107" s="31"/>
      <c r="G107" s="31"/>
      <c r="H107" s="31"/>
      <c r="I107" s="31"/>
      <c r="J107" s="31"/>
      <c r="K107" s="31"/>
      <c r="L107" s="31"/>
      <c r="M107" s="31"/>
      <c r="S107" s="100"/>
      <c r="T107" s="100"/>
      <c r="U107" s="100"/>
      <c r="V107" s="100"/>
    </row>
    <row r="108" spans="1:30" s="24" customFormat="1" ht="25.5" customHeight="1" x14ac:dyDescent="0.25">
      <c r="A108" s="593"/>
      <c r="B108" s="916" t="str">
        <f>"Total modeled interior lighting power, based on inputs above"</f>
        <v>Total modeled interior lighting power, based on inputs above</v>
      </c>
      <c r="C108" s="31"/>
      <c r="D108" s="31"/>
      <c r="E108" s="31"/>
      <c r="F108" s="31"/>
      <c r="G108" s="31"/>
      <c r="H108" s="31"/>
      <c r="I108" s="31"/>
      <c r="J108" s="31"/>
      <c r="K108" s="31"/>
      <c r="L108" s="31"/>
      <c r="M108" s="31"/>
      <c r="S108" s="100"/>
      <c r="T108" s="100"/>
      <c r="U108" s="100"/>
      <c r="V108" s="100"/>
    </row>
    <row r="109" spans="1:30" ht="21" customHeight="1" x14ac:dyDescent="0.3">
      <c r="A109" s="593" t="s">
        <v>1299</v>
      </c>
      <c r="B109" s="2294" t="s">
        <v>1358</v>
      </c>
      <c r="C109" s="2307"/>
      <c r="D109" s="2307"/>
      <c r="E109" s="2307"/>
      <c r="F109" s="2307"/>
      <c r="G109" s="2310" t="s">
        <v>1681</v>
      </c>
      <c r="H109" s="2307"/>
      <c r="I109" s="2307"/>
      <c r="J109" s="2307"/>
      <c r="K109" s="2307"/>
      <c r="L109" s="2310" t="s">
        <v>1685</v>
      </c>
      <c r="M109" s="2311"/>
      <c r="N109" s="2311"/>
      <c r="O109" s="2311"/>
      <c r="P109" s="2311"/>
      <c r="Q109" s="2312"/>
      <c r="S109" s="81"/>
      <c r="T109" s="1"/>
      <c r="U109" s="1"/>
      <c r="V109" s="1"/>
    </row>
    <row r="110" spans="1:30" ht="26.4" x14ac:dyDescent="0.3">
      <c r="A110" s="593" t="s">
        <v>1299</v>
      </c>
      <c r="B110" s="2308"/>
      <c r="C110" s="2309"/>
      <c r="D110" s="2309"/>
      <c r="E110" s="2309"/>
      <c r="F110" s="2309"/>
      <c r="G110" s="2192" t="str">
        <f>CONCATENATE("Baseline Maximum Allowance",CHAR(10),IF(SI_IP_Units="IP","(W/sq ft)","(W/sq m)"))</f>
        <v>Baseline Maximum Allowance
(W/sq m)</v>
      </c>
      <c r="H110" s="2309"/>
      <c r="I110" s="2309"/>
      <c r="J110" s="1541" t="str">
        <f>CONCATENATE("Design Maximum Allowance",CHAR(10),IF(SI_IP_Units="IP","(W/sq ft)","(W/sq m)"))</f>
        <v>Design Maximum Allowance
(W/sq m)</v>
      </c>
      <c r="K110" s="1541"/>
      <c r="L110" s="2192" t="str">
        <f>CONCATENATE("Baseline Maximum Allowance",CHAR(10),"(kW)")</f>
        <v>Baseline Maximum Allowance
(kW)</v>
      </c>
      <c r="M110" s="2486"/>
      <c r="N110" s="2486"/>
      <c r="O110" s="2192" t="str">
        <f>CONCATENATE("Design Maximum Allowance",CHAR(10),"(kW)")</f>
        <v>Design Maximum Allowance
(kW)</v>
      </c>
      <c r="P110" s="2475"/>
      <c r="Q110" s="2336"/>
      <c r="S110" s="81"/>
      <c r="T110" s="1"/>
      <c r="U110" s="1"/>
      <c r="V110" s="1"/>
    </row>
    <row r="111" spans="1:30" hidden="1" x14ac:dyDescent="0.25">
      <c r="B111" s="1542" t="str">
        <f>B109</f>
        <v>Building ID</v>
      </c>
      <c r="C111" s="1539"/>
      <c r="D111" s="1539"/>
      <c r="E111" s="1539"/>
      <c r="F111" s="1539"/>
      <c r="G111" s="1538" t="s">
        <v>1682</v>
      </c>
      <c r="H111" s="1539"/>
      <c r="I111" s="1539"/>
      <c r="J111" s="1538" t="s">
        <v>1595</v>
      </c>
      <c r="K111" s="1538"/>
      <c r="L111" s="1538" t="s">
        <v>1683</v>
      </c>
      <c r="M111" s="1538"/>
      <c r="N111" s="1489"/>
      <c r="O111" s="1538" t="s">
        <v>1684</v>
      </c>
      <c r="P111" s="1540"/>
      <c r="Q111" s="1543"/>
      <c r="S111" s="81"/>
      <c r="T111" s="1"/>
      <c r="U111" s="1"/>
      <c r="V111" s="1"/>
    </row>
    <row r="112" spans="1:30" ht="21" customHeight="1" x14ac:dyDescent="0.25">
      <c r="A112" s="593" t="s">
        <v>1299</v>
      </c>
      <c r="B112" s="2477" t="str">
        <f>'Multiple Buildings Details'!B24</f>
        <v>Saudi Aramco Corporate Academy - Dhahran</v>
      </c>
      <c r="C112" s="2478"/>
      <c r="D112" s="2478"/>
      <c r="E112" s="2478"/>
      <c r="F112" s="2478"/>
      <c r="G112" s="2317">
        <f ca="1">IF($Z$24=2,
IFERROR(SUM(SUMIF(L_SxS_SumIndex,"="&amp;$B112,OFFSET(L_SxS_SumIndex,0,MATCH($L$82,L_SxS_SumHdr,0)-1)),SUMIF(L_SXSALP_SumIndex,"="&amp;$B112,OFFSET(L_SXSALP_SumIndex,0,MATCH($L$103,L_SxSALP_SumHdr,0)-1)))/SUMIF(L_SxS_SumIndex,"="&amp;$B112,OFFSET(L_SxS_SumIndex,0,MATCH($C$82,L_SxS_SumHdr,0)-1))*1000,0),
IFERROR(SUMIF(L_BAM_SumIndex,"="&amp;$B112,OFFSET(L_BAM_SumIndex,0,MATCH($L$42,L_BAM_SumHdr,0)-1))/SUMIF(L_BAM_SumIndex,"="&amp;$B112,OFFSET(L_BAM_SumIndex,0,MATCH($C$42,L_BAM_SumHdr,0)-1))*1000,0))</f>
        <v>10.668747169583465</v>
      </c>
      <c r="H112" s="2315"/>
      <c r="I112" s="2315"/>
      <c r="J112" s="2484">
        <f ca="1">IF($Z$24=2,
IFERROR(SUM(SUMIF(L_SxS_SumIndex,"="&amp;$B112,OFFSET(L_SxS_SumIndex,0,MATCH($O$82,L_SxS_SumHdr,0)-1)),SUMIF(L_SXSALP_SumIndex,"="&amp;$B112,OFFSET(L_SXSALP_SumIndex,0,MATCH($L$103,L_SxSALP_SumHdr,0)-1)))/SUMIF(L_SxS_SumIndex,"="&amp;$B112,OFFSET(L_SxS_SumIndex,0,MATCH($C$82,L_SxS_SumHdr,0)-1))*1000,0),
IFERROR(SUMIF(L_BAM_SumIndex,"="&amp;$B112,OFFSET(L_BAM_SumIndex,0,MATCH($O$42,L_BAM_SumHdr,0)-1))/SUMIF(L_BAM_SumIndex,"="&amp;$B112,OFFSET(L_BAM_SumIndex,0,MATCH($C$42,L_BAM_SumHdr,0)-1))*1000,0))</f>
        <v>7.602759920295469</v>
      </c>
      <c r="K112" s="2485"/>
      <c r="L112" s="2313">
        <f ca="1">IF($Z$24=2,
IFERROR(SUM(SUMIF(L_SxS_SumIndex,"="&amp;$B112,OFFSET(L_SxS_SumIndex,0,MATCH($L$82,L_SxS_SumHdr,0)-1)),SUMIF(L_SXSALP_SumIndex,"="&amp;$B112,OFFSET(L_SXSALP_SumIndex,0,MATCH($L$103,L_SxSALP_SumHdr,0)-1))),0),
IFERROR(SUMIF(L_BAM_SumIndex,"="&amp;$B112,OFFSET(L_BAM_SumIndex,0,MATCH($L$42,L_BAM_SumHdr,0)-1)),0))</f>
        <v>212.02428</v>
      </c>
      <c r="M112" s="2314"/>
      <c r="N112" s="2314"/>
      <c r="O112" s="2313">
        <f ca="1">IF($Z$24=2,
IFERROR(SUM(SUMIF(L_SxS_SumIndex,"="&amp;$B112,OFFSET(L_SxS_SumIndex,0,MATCH($O$82,L_SxS_SumHdr,0)-1)),SUMIF(L_SXSALP_SumIndex,"="&amp;$B112,OFFSET(L_SXSALP_SumIndex,0,MATCH($L$103,L_SxSALP_SumHdr,0)-1))),0),
IFERROR(SUMIF(L_BAM_SumIndex,"="&amp;$B112,OFFSET(L_BAM_SumIndex,0,MATCH($O$42,L_BAM_SumHdr,0)-1)),0))</f>
        <v>151.09268899999995</v>
      </c>
      <c r="P112" s="2315"/>
      <c r="Q112" s="2316"/>
      <c r="S112" s="81"/>
      <c r="T112" s="1"/>
      <c r="U112" s="1"/>
      <c r="V112" s="1"/>
      <c r="AD112" s="1894"/>
    </row>
    <row r="113" spans="1:30" s="478" customFormat="1" ht="30" customHeight="1" x14ac:dyDescent="0.25">
      <c r="A113" s="593" t="s">
        <v>1299</v>
      </c>
      <c r="B113" s="479"/>
      <c r="C113" s="479"/>
      <c r="D113" s="479"/>
      <c r="E113" s="479"/>
      <c r="F113" s="479"/>
      <c r="G113" s="479"/>
      <c r="H113" s="479"/>
      <c r="I113" s="479"/>
      <c r="J113" s="480"/>
      <c r="K113" s="480"/>
      <c r="L113" s="480"/>
      <c r="S113" s="481"/>
      <c r="T113" s="482"/>
      <c r="U113" s="482"/>
      <c r="V113" s="482"/>
    </row>
    <row r="114" spans="1:30" s="24" customFormat="1" ht="26.25" customHeight="1" x14ac:dyDescent="0.25">
      <c r="A114" s="593" t="s">
        <v>1299</v>
      </c>
      <c r="B114" s="38" t="s">
        <v>241</v>
      </c>
      <c r="C114" s="31"/>
      <c r="D114" s="31"/>
      <c r="E114" s="31"/>
      <c r="F114" s="31"/>
      <c r="G114" s="31"/>
      <c r="H114" s="31"/>
      <c r="I114" s="31"/>
      <c r="J114" s="31"/>
      <c r="K114" s="31"/>
      <c r="L114" s="31"/>
      <c r="M114" s="31"/>
      <c r="S114" s="100"/>
      <c r="T114" s="100"/>
      <c r="U114" s="100"/>
      <c r="V114" s="100"/>
    </row>
    <row r="115" spans="1:30" ht="62.25" customHeight="1" x14ac:dyDescent="0.3">
      <c r="A115" s="593" t="s">
        <v>1299</v>
      </c>
      <c r="B115" s="1501" t="s">
        <v>1358</v>
      </c>
      <c r="C115" s="2424" t="s">
        <v>3</v>
      </c>
      <c r="D115" s="2424"/>
      <c r="E115" s="2424"/>
      <c r="F115" s="2424"/>
      <c r="G115" s="2318" t="s">
        <v>134</v>
      </c>
      <c r="H115" s="2318"/>
      <c r="I115" s="2318"/>
      <c r="J115" s="2318"/>
      <c r="K115" s="2425"/>
      <c r="L115" s="2318" t="s">
        <v>314</v>
      </c>
      <c r="M115" s="2319"/>
      <c r="N115" s="2319"/>
      <c r="O115" s="2318" t="s">
        <v>125</v>
      </c>
      <c r="P115" s="2425"/>
      <c r="Q115" s="2479"/>
      <c r="S115" s="81"/>
      <c r="T115" s="1"/>
      <c r="U115" s="1"/>
      <c r="V115" s="1"/>
    </row>
    <row r="116" spans="1:30" ht="93" customHeight="1" x14ac:dyDescent="0.25">
      <c r="A116" s="593" t="s">
        <v>1299</v>
      </c>
      <c r="B116" s="1493" t="s">
        <v>1888</v>
      </c>
      <c r="C116" s="2323" t="s">
        <v>1733</v>
      </c>
      <c r="D116" s="2323"/>
      <c r="E116" s="2323"/>
      <c r="F116" s="2323"/>
      <c r="G116" s="2323" t="s">
        <v>1734</v>
      </c>
      <c r="H116" s="2323"/>
      <c r="I116" s="2323"/>
      <c r="J116" s="2323"/>
      <c r="K116" s="2138"/>
      <c r="L116" s="2397"/>
      <c r="M116" s="2138"/>
      <c r="N116" s="2138"/>
      <c r="O116" s="2323" t="s">
        <v>1735</v>
      </c>
      <c r="P116" s="2138"/>
      <c r="Q116" s="2324"/>
      <c r="S116" s="81"/>
      <c r="T116" s="1"/>
      <c r="U116" s="1"/>
      <c r="V116" s="1"/>
    </row>
    <row r="117" spans="1:30" ht="30.6" hidden="1" x14ac:dyDescent="0.3">
      <c r="A117" s="593" t="s">
        <v>1299</v>
      </c>
      <c r="B117" s="1502" t="str">
        <f>B115</f>
        <v>Building ID</v>
      </c>
      <c r="C117" s="1490" t="str">
        <f>C115</f>
        <v>Description</v>
      </c>
      <c r="D117" s="1491"/>
      <c r="E117" s="1491"/>
      <c r="F117" s="1491"/>
      <c r="G117" s="1490" t="str">
        <f>G115</f>
        <v>Section 9.2.2.3 Exemption</v>
      </c>
      <c r="H117" s="1491"/>
      <c r="I117" s="1491"/>
      <c r="J117" s="1491"/>
      <c r="K117" s="1492"/>
      <c r="L117" s="1490" t="str">
        <f>L115</f>
        <v>Total Process Lighting Power (W)</v>
      </c>
      <c r="M117" s="1492"/>
      <c r="N117" s="1492"/>
      <c r="O117" s="1490" t="str">
        <f>O115</f>
        <v>Modeled Identically In Baseline?</v>
      </c>
      <c r="P117" s="1492"/>
      <c r="Q117" s="1503"/>
      <c r="S117" s="81"/>
      <c r="T117" s="1"/>
      <c r="U117" s="1"/>
      <c r="V117" s="1"/>
    </row>
    <row r="118" spans="1:30" ht="15" customHeight="1" x14ac:dyDescent="0.3">
      <c r="A118" s="593" t="s">
        <v>1299</v>
      </c>
      <c r="B118" s="1504" t="str">
        <f>GI_Project_Name</f>
        <v>Saudi Aramco Corporate Academy - Dhahran</v>
      </c>
      <c r="C118" s="2470"/>
      <c r="D118" s="2470"/>
      <c r="E118" s="2470"/>
      <c r="F118" s="2470"/>
      <c r="G118" s="2320"/>
      <c r="H118" s="2320"/>
      <c r="I118" s="2320"/>
      <c r="J118" s="2320"/>
      <c r="K118" s="2321"/>
      <c r="L118" s="2472"/>
      <c r="M118" s="2321"/>
      <c r="N118" s="2321"/>
      <c r="O118" s="2320"/>
      <c r="P118" s="2321"/>
      <c r="Q118" s="2322"/>
      <c r="S118" s="81"/>
      <c r="T118" s="1"/>
      <c r="U118" s="1"/>
      <c r="V118" s="1"/>
      <c r="AD118" s="1894"/>
    </row>
    <row r="119" spans="1:30" ht="15" customHeight="1" x14ac:dyDescent="0.3">
      <c r="A119" s="593" t="s">
        <v>1299</v>
      </c>
      <c r="B119" s="1504" t="str">
        <f>GI_Project_Name</f>
        <v>Saudi Aramco Corporate Academy - Dhahran</v>
      </c>
      <c r="C119" s="2470"/>
      <c r="D119" s="2470"/>
      <c r="E119" s="2470"/>
      <c r="F119" s="2470"/>
      <c r="G119" s="2320"/>
      <c r="H119" s="2320"/>
      <c r="I119" s="2320"/>
      <c r="J119" s="2320"/>
      <c r="K119" s="2321"/>
      <c r="L119" s="2472"/>
      <c r="M119" s="2321"/>
      <c r="N119" s="2321"/>
      <c r="O119" s="2320"/>
      <c r="P119" s="2321"/>
      <c r="Q119" s="2322"/>
      <c r="S119" s="81"/>
      <c r="T119" s="1"/>
      <c r="U119" s="1"/>
      <c r="V119" s="1"/>
      <c r="AD119" s="1894"/>
    </row>
    <row r="120" spans="1:30" ht="15" customHeight="1" x14ac:dyDescent="0.3">
      <c r="A120" s="593" t="s">
        <v>1299</v>
      </c>
      <c r="B120" s="1505" t="str">
        <f>GI_Project_Name</f>
        <v>Saudi Aramco Corporate Academy - Dhahran</v>
      </c>
      <c r="C120" s="2331"/>
      <c r="D120" s="2331"/>
      <c r="E120" s="2331"/>
      <c r="F120" s="2331"/>
      <c r="G120" s="2329"/>
      <c r="H120" s="2329"/>
      <c r="I120" s="2329"/>
      <c r="J120" s="2329"/>
      <c r="K120" s="2330"/>
      <c r="L120" s="2473"/>
      <c r="M120" s="2330"/>
      <c r="N120" s="2330"/>
      <c r="O120" s="2329"/>
      <c r="P120" s="2330"/>
      <c r="Q120" s="2476"/>
      <c r="S120" s="81"/>
      <c r="T120" s="1"/>
      <c r="U120" s="1"/>
      <c r="V120" s="1"/>
      <c r="AD120" s="1894"/>
    </row>
    <row r="121" spans="1:30" ht="20.25" customHeight="1" x14ac:dyDescent="0.25">
      <c r="A121" s="593" t="s">
        <v>1299</v>
      </c>
      <c r="M121" s="31"/>
      <c r="S121" s="81"/>
      <c r="T121" s="1"/>
      <c r="U121" s="1"/>
      <c r="V121" s="1"/>
    </row>
    <row r="122" spans="1:30" s="24" customFormat="1" ht="30" customHeight="1" x14ac:dyDescent="0.25">
      <c r="A122" s="593" t="s">
        <v>1299</v>
      </c>
      <c r="B122" s="26" t="s">
        <v>282</v>
      </c>
      <c r="C122" s="31"/>
      <c r="D122" s="31"/>
      <c r="E122" s="31"/>
      <c r="F122" s="31"/>
      <c r="G122" s="31"/>
      <c r="H122" s="31"/>
      <c r="I122" s="31"/>
      <c r="J122" s="31"/>
      <c r="K122" s="31"/>
      <c r="L122" s="31"/>
      <c r="M122" s="31"/>
      <c r="S122" s="100"/>
      <c r="T122" s="100"/>
      <c r="U122" s="100"/>
      <c r="V122" s="100"/>
    </row>
    <row r="123" spans="1:30" ht="40.5" customHeight="1" x14ac:dyDescent="0.3">
      <c r="A123" s="593" t="s">
        <v>1299</v>
      </c>
      <c r="B123" s="2345" t="s">
        <v>312</v>
      </c>
      <c r="C123" s="2345"/>
      <c r="D123" s="2345"/>
      <c r="E123" s="2345"/>
      <c r="F123" s="2345"/>
      <c r="G123" s="2345"/>
      <c r="H123" s="2345"/>
      <c r="I123" s="2345"/>
      <c r="J123" s="2345"/>
      <c r="K123" s="2345"/>
      <c r="L123" s="2345"/>
      <c r="M123" s="2346"/>
      <c r="N123" s="2346"/>
      <c r="O123" s="2346"/>
      <c r="P123" s="2346"/>
      <c r="Q123" s="2346"/>
      <c r="S123" s="81"/>
      <c r="T123" s="1"/>
      <c r="U123" s="1"/>
      <c r="V123" s="1"/>
    </row>
    <row r="124" spans="1:30" s="24" customFormat="1" ht="26.25" customHeight="1" x14ac:dyDescent="0.25">
      <c r="A124" s="593" t="s">
        <v>1299</v>
      </c>
      <c r="B124" s="105" t="s">
        <v>181</v>
      </c>
      <c r="C124" s="31"/>
      <c r="D124" s="31"/>
      <c r="E124" s="31"/>
      <c r="F124" s="31"/>
      <c r="G124" s="31"/>
      <c r="H124" s="31"/>
      <c r="I124" s="31"/>
      <c r="J124" s="31"/>
      <c r="K124" s="31"/>
      <c r="L124" s="31"/>
      <c r="M124" s="31"/>
      <c r="S124" s="100"/>
      <c r="T124" s="100"/>
      <c r="U124" s="100"/>
      <c r="V124" s="100"/>
    </row>
    <row r="125" spans="1:30" ht="33.75" customHeight="1" x14ac:dyDescent="0.3">
      <c r="A125" s="593" t="s">
        <v>1299</v>
      </c>
      <c r="B125" s="2342" t="s">
        <v>1177</v>
      </c>
      <c r="C125" s="2343"/>
      <c r="D125" s="2343"/>
      <c r="E125" s="2343"/>
      <c r="F125" s="2343"/>
      <c r="G125" s="2343"/>
      <c r="H125" s="2343"/>
      <c r="I125" s="2343"/>
      <c r="J125" s="2343"/>
      <c r="K125" s="2343"/>
      <c r="L125" s="2344"/>
      <c r="M125" s="2344"/>
      <c r="N125" s="2344"/>
      <c r="O125" s="2344"/>
      <c r="P125" s="2403" t="s">
        <v>25</v>
      </c>
      <c r="Q125" s="2404"/>
      <c r="S125" s="81"/>
      <c r="T125" s="1"/>
      <c r="U125" s="1"/>
      <c r="V125" s="1"/>
      <c r="AD125" s="1894"/>
    </row>
    <row r="126" spans="1:30" ht="20.25" customHeight="1" x14ac:dyDescent="0.25">
      <c r="A126" s="593" t="s">
        <v>1299</v>
      </c>
      <c r="B126" s="36"/>
      <c r="C126" s="36"/>
      <c r="D126" s="36"/>
      <c r="E126" s="36"/>
      <c r="F126" s="36"/>
      <c r="G126" s="36"/>
      <c r="H126" s="36"/>
      <c r="I126" s="36"/>
      <c r="J126" s="35"/>
      <c r="K126" s="35"/>
      <c r="L126" s="35"/>
      <c r="S126" s="81"/>
      <c r="T126" s="1"/>
      <c r="U126" s="1"/>
      <c r="V126" s="1"/>
    </row>
    <row r="127" spans="1:30" s="24" customFormat="1" ht="26.25" customHeight="1" x14ac:dyDescent="0.25">
      <c r="A127" s="593" t="s">
        <v>1299</v>
      </c>
      <c r="B127" s="105" t="s">
        <v>286</v>
      </c>
      <c r="C127" s="31"/>
      <c r="D127" s="31"/>
      <c r="E127" s="31"/>
      <c r="F127" s="31"/>
      <c r="G127" s="31"/>
      <c r="H127" s="31"/>
      <c r="I127" s="31"/>
      <c r="J127" s="31"/>
      <c r="K127" s="31"/>
      <c r="L127" s="31"/>
      <c r="M127" s="31"/>
      <c r="S127" s="100"/>
      <c r="T127" s="100"/>
      <c r="U127" s="100"/>
      <c r="V127" s="100"/>
    </row>
    <row r="128" spans="1:30" ht="48" customHeight="1" x14ac:dyDescent="0.3">
      <c r="A128" s="593" t="s">
        <v>1299</v>
      </c>
      <c r="B128" s="50" t="s">
        <v>296</v>
      </c>
      <c r="C128" s="2418" t="s">
        <v>287</v>
      </c>
      <c r="D128" s="2418"/>
      <c r="E128" s="2418"/>
      <c r="F128" s="2418"/>
      <c r="G128" s="2418"/>
      <c r="H128" s="2418"/>
      <c r="I128" s="2418"/>
      <c r="J128" s="2418"/>
      <c r="K128" s="2418"/>
      <c r="L128" s="2344"/>
      <c r="M128" s="2418" t="s">
        <v>313</v>
      </c>
      <c r="N128" s="2344"/>
      <c r="O128" s="2344"/>
      <c r="P128" s="2344"/>
      <c r="Q128" s="2419"/>
      <c r="S128" s="81"/>
      <c r="T128" s="1"/>
      <c r="U128" s="1"/>
      <c r="V128" s="1"/>
    </row>
    <row r="129" spans="1:30" ht="48" hidden="1" customHeight="1" x14ac:dyDescent="0.3">
      <c r="B129" s="1549" t="s">
        <v>1867</v>
      </c>
      <c r="C129" s="1550" t="s">
        <v>3</v>
      </c>
      <c r="D129" s="1550"/>
      <c r="E129" s="1550"/>
      <c r="F129" s="1550"/>
      <c r="G129" s="1550"/>
      <c r="H129" s="1550"/>
      <c r="I129" s="1550"/>
      <c r="J129" s="1550"/>
      <c r="K129" s="1550"/>
      <c r="L129" s="1551"/>
      <c r="M129" s="1550" t="s">
        <v>1868</v>
      </c>
      <c r="N129" s="1551"/>
      <c r="O129" s="1551"/>
      <c r="P129" s="1551"/>
      <c r="Q129" s="1552"/>
      <c r="S129" s="81"/>
      <c r="T129" s="1"/>
      <c r="U129" s="1"/>
      <c r="V129" s="1"/>
    </row>
    <row r="130" spans="1:30" ht="33" customHeight="1" x14ac:dyDescent="0.3">
      <c r="A130" s="593" t="s">
        <v>1299</v>
      </c>
      <c r="B130" s="1544" t="s">
        <v>290</v>
      </c>
      <c r="C130" s="2474" t="str">
        <f>IFERROR(VLOOKUP($B130,'Lighting Assumptions'!V3:X7,2,FALSE),"")</f>
        <v>All other areas</v>
      </c>
      <c r="D130" s="2474"/>
      <c r="E130" s="2474"/>
      <c r="F130" s="2474"/>
      <c r="G130" s="2474"/>
      <c r="H130" s="2474"/>
      <c r="I130" s="2474"/>
      <c r="J130" s="2474"/>
      <c r="K130" s="2474"/>
      <c r="L130" s="2475"/>
      <c r="M130" s="2420">
        <f>IFERROR(VLOOKUP($B130,'Lighting Assumptions'!V3:X7,3,FALSE),"")</f>
        <v>750</v>
      </c>
      <c r="N130" s="2421"/>
      <c r="O130" s="2421"/>
      <c r="P130" s="2421"/>
      <c r="Q130" s="2422"/>
      <c r="S130" s="81"/>
      <c r="T130" s="1"/>
      <c r="U130" s="1"/>
      <c r="V130" s="1"/>
      <c r="AD130" s="1894"/>
    </row>
    <row r="131" spans="1:30" ht="20.25" customHeight="1" x14ac:dyDescent="0.25">
      <c r="A131" s="593" t="s">
        <v>1299</v>
      </c>
      <c r="B131" s="36"/>
      <c r="C131" s="36"/>
      <c r="D131" s="36"/>
      <c r="E131" s="36"/>
      <c r="F131" s="36"/>
      <c r="G131" s="36"/>
      <c r="H131" s="36"/>
      <c r="I131" s="36"/>
      <c r="J131" s="35"/>
      <c r="K131" s="35"/>
      <c r="L131" s="35"/>
      <c r="S131" s="81"/>
      <c r="T131" s="1"/>
      <c r="U131" s="1"/>
      <c r="V131" s="1"/>
    </row>
    <row r="132" spans="1:30" s="24" customFormat="1" ht="26.25" customHeight="1" x14ac:dyDescent="0.25">
      <c r="A132" s="593" t="s">
        <v>1299</v>
      </c>
      <c r="B132" s="105" t="s">
        <v>113</v>
      </c>
      <c r="C132" s="31"/>
      <c r="D132" s="31"/>
      <c r="E132" s="31"/>
      <c r="F132" s="31"/>
      <c r="G132" s="31"/>
      <c r="H132" s="31"/>
      <c r="I132" s="31"/>
      <c r="J132" s="31"/>
      <c r="K132" s="31"/>
      <c r="L132" s="31"/>
      <c r="M132" s="31"/>
      <c r="S132" s="100"/>
      <c r="T132" s="100"/>
      <c r="U132" s="100"/>
      <c r="V132" s="100"/>
    </row>
    <row r="133" spans="1:30" s="24" customFormat="1" ht="21" customHeight="1" x14ac:dyDescent="0.25">
      <c r="A133" s="593" t="s">
        <v>1299</v>
      </c>
      <c r="B133" s="66" t="s">
        <v>435</v>
      </c>
      <c r="C133" s="31"/>
      <c r="D133" s="31"/>
      <c r="E133" s="31"/>
      <c r="F133" s="31"/>
      <c r="G133" s="31"/>
      <c r="H133" s="31"/>
      <c r="I133" s="31"/>
      <c r="J133" s="31"/>
      <c r="K133" s="31"/>
      <c r="L133" s="31"/>
      <c r="M133" s="31"/>
      <c r="S133" s="100"/>
      <c r="T133" s="100"/>
      <c r="U133" s="100"/>
      <c r="V133" s="100"/>
    </row>
    <row r="134" spans="1:30" ht="26.25" customHeight="1" x14ac:dyDescent="0.3">
      <c r="A134" s="593" t="s">
        <v>1299</v>
      </c>
      <c r="B134" s="2268" t="s">
        <v>305</v>
      </c>
      <c r="C134" s="2261"/>
      <c r="D134" s="2261"/>
      <c r="E134" s="2261"/>
      <c r="F134" s="2261"/>
      <c r="G134" s="2261"/>
      <c r="H134" s="2262"/>
      <c r="I134" s="2268" t="s">
        <v>347</v>
      </c>
      <c r="J134" s="2261"/>
      <c r="K134" s="2261"/>
      <c r="L134" s="2312"/>
      <c r="M134" s="2365" t="s">
        <v>348</v>
      </c>
      <c r="N134" s="2366"/>
      <c r="O134" s="2366"/>
      <c r="P134" s="2366"/>
      <c r="Q134" s="2367"/>
      <c r="S134" s="1"/>
      <c r="T134" s="1"/>
      <c r="U134" s="1"/>
      <c r="V134" s="1"/>
    </row>
    <row r="135" spans="1:30" ht="68.25" customHeight="1" x14ac:dyDescent="0.3">
      <c r="A135" s="593" t="s">
        <v>1299</v>
      </c>
      <c r="B135" s="2372" t="s">
        <v>122</v>
      </c>
      <c r="C135" s="2190"/>
      <c r="D135" s="2190"/>
      <c r="E135" s="2190"/>
      <c r="F135" s="2190" t="s">
        <v>112</v>
      </c>
      <c r="G135" s="2190"/>
      <c r="H135" s="280" t="str">
        <f>IF(SI_IP_Units="IP","Total Area 
(sq ft) 
or Length 
(ft)","Total Area 
(sq m) 
or Length 
(m)")</f>
        <v>Total Area 
(sq m) 
or Length 
(m)</v>
      </c>
      <c r="I135" s="653" t="s">
        <v>135</v>
      </c>
      <c r="J135" s="2190" t="s">
        <v>316</v>
      </c>
      <c r="K135" s="2190"/>
      <c r="L135" s="2336"/>
      <c r="M135" s="2368" t="s">
        <v>317</v>
      </c>
      <c r="N135" s="2369"/>
      <c r="O135" s="2369"/>
      <c r="P135" s="2369"/>
      <c r="Q135" s="2370"/>
      <c r="S135" s="1"/>
      <c r="T135" s="1"/>
      <c r="U135" s="1"/>
      <c r="V135" s="1"/>
    </row>
    <row r="136" spans="1:30" ht="66" x14ac:dyDescent="0.3">
      <c r="A136" s="593" t="s">
        <v>1299</v>
      </c>
      <c r="B136" s="1547" t="s">
        <v>122</v>
      </c>
      <c r="C136" s="1018"/>
      <c r="D136" s="1018"/>
      <c r="E136" s="1018"/>
      <c r="F136" s="1018" t="s">
        <v>112</v>
      </c>
      <c r="G136" s="1018"/>
      <c r="H136" s="1018" t="str">
        <f>IF(SI_IP_Units="IP","Total Area 
(sq ft) 
or Length 
(ft)","Total Area 
(sq m) 
or Length 
(m)")</f>
        <v>Total Area 
(sq m) 
or Length 
(m)</v>
      </c>
      <c r="I136" s="1018" t="s">
        <v>135</v>
      </c>
      <c r="J136" s="1018" t="s">
        <v>316</v>
      </c>
      <c r="K136" s="1018"/>
      <c r="L136" s="1545"/>
      <c r="M136" s="1018" t="s">
        <v>317</v>
      </c>
      <c r="N136" s="1546"/>
      <c r="O136" s="1546"/>
      <c r="P136" s="1546"/>
      <c r="Q136" s="1548"/>
      <c r="S136" s="1"/>
      <c r="T136" s="1"/>
      <c r="U136" s="1"/>
      <c r="V136" s="1"/>
    </row>
    <row r="137" spans="1:30" ht="83.25" customHeight="1" x14ac:dyDescent="0.3">
      <c r="B137" s="1499" t="s">
        <v>1888</v>
      </c>
      <c r="C137" s="2332" t="s">
        <v>1736</v>
      </c>
      <c r="D137" s="2332"/>
      <c r="E137" s="2332"/>
      <c r="F137" s="2332"/>
      <c r="G137" s="2423"/>
      <c r="H137" s="1500" t="s">
        <v>1737</v>
      </c>
      <c r="I137" s="1500" t="s">
        <v>1738</v>
      </c>
      <c r="J137" s="2332"/>
      <c r="K137" s="2332"/>
      <c r="L137" s="2333"/>
      <c r="M137" s="2332" t="s">
        <v>1739</v>
      </c>
      <c r="N137" s="2333"/>
      <c r="O137" s="2333"/>
      <c r="P137" s="2333"/>
      <c r="Q137" s="2364"/>
      <c r="S137" s="1"/>
      <c r="T137" s="1"/>
      <c r="U137" s="1"/>
      <c r="V137" s="1"/>
    </row>
    <row r="138" spans="1:30" ht="15" hidden="1" customHeight="1" x14ac:dyDescent="0.25">
      <c r="A138" s="593" t="s">
        <v>918</v>
      </c>
      <c r="B138" s="2339"/>
      <c r="C138" s="2340"/>
      <c r="D138" s="2340"/>
      <c r="E138" s="2340"/>
      <c r="F138" s="2341" t="str">
        <f>IFERROR(VLOOKUP(B138,'Lighting Assumptions'!$I$4:$J$17,2,FALSE),"")</f>
        <v/>
      </c>
      <c r="G138" s="2341"/>
      <c r="H138" s="1497"/>
      <c r="I138" s="1498" t="str">
        <f>IFERROR(INDEX(ZoneTable,MATCH(B138,INDEX(ZoneTable,,1),0),MATCH($B$130&amp;" "&amp;SI_IP_Units,INDEX(ZoneTable,3,),0)),"")</f>
        <v/>
      </c>
      <c r="J138" s="2489" t="str">
        <f t="shared" ref="J138" si="10">IFERROR(H138*I138,"")</f>
        <v/>
      </c>
      <c r="K138" s="2490"/>
      <c r="L138" s="2491"/>
      <c r="M138" s="2413"/>
      <c r="N138" s="2414"/>
      <c r="O138" s="2414"/>
      <c r="P138" s="2414"/>
      <c r="Q138" s="2415"/>
      <c r="S138" s="1"/>
      <c r="T138" s="1"/>
      <c r="U138" s="1"/>
      <c r="V138" s="1"/>
      <c r="AD138" s="1894"/>
    </row>
    <row r="139" spans="1:30" ht="15" customHeight="1" x14ac:dyDescent="0.3">
      <c r="B139" s="2337" t="s">
        <v>318</v>
      </c>
      <c r="C139" s="2338"/>
      <c r="D139" s="2338"/>
      <c r="E139" s="2338"/>
      <c r="F139" s="2328" t="str">
        <f>IFERROR(VLOOKUP(B139,'Lighting Assumptions'!$I$4:$J$17,2,FALSE),"")</f>
        <v>Area</v>
      </c>
      <c r="G139" s="2328"/>
      <c r="H139" s="1006">
        <v>46797</v>
      </c>
      <c r="I139" s="1031">
        <f>IFERROR(INDEX(ZoneTable,MATCH(B139,INDEX(ZoneTable,,1),0),MATCH($B$130&amp;" "&amp;SI_IP_Units,INDEX(ZoneTable,3,),0)),"")</f>
        <v>1.1000000000000001</v>
      </c>
      <c r="J139" s="2334">
        <f t="shared" ref="J139" si="11">IFERROR(H139*I139,"")</f>
        <v>51476.700000000004</v>
      </c>
      <c r="K139" s="2334"/>
      <c r="L139" s="2335"/>
      <c r="M139" s="2325">
        <v>20156</v>
      </c>
      <c r="N139" s="2326"/>
      <c r="O139" s="2326"/>
      <c r="P139" s="2326"/>
      <c r="Q139" s="2327"/>
      <c r="S139" s="1"/>
      <c r="T139" s="1"/>
      <c r="U139" s="1"/>
      <c r="V139" s="1"/>
      <c r="AD139" s="1894"/>
    </row>
    <row r="140" spans="1:30" ht="15" customHeight="1" x14ac:dyDescent="0.3">
      <c r="B140" s="2337" t="s">
        <v>1183</v>
      </c>
      <c r="C140" s="2338"/>
      <c r="D140" s="2338"/>
      <c r="E140" s="2338"/>
      <c r="F140" s="2328" t="str">
        <f>IFERROR(VLOOKUP(B140,'Lighting Assumptions'!$I$4:$J$17,2,FALSE),"")</f>
        <v>Area</v>
      </c>
      <c r="G140" s="2328"/>
      <c r="H140" s="1006">
        <v>18513</v>
      </c>
      <c r="I140" s="1031">
        <f>IFERROR(INDEX(ZoneTable,MATCH(B140,INDEX(ZoneTable,,1),0),MATCH($B$130&amp;" "&amp;SI_IP_Units,INDEX(ZoneTable,3,),0)),"")</f>
        <v>0.54</v>
      </c>
      <c r="J140" s="2334">
        <f t="shared" ref="J140" si="12">IFERROR(H140*I140,"")</f>
        <v>9997.02</v>
      </c>
      <c r="K140" s="2334"/>
      <c r="L140" s="2335"/>
      <c r="M140" s="2325">
        <v>5872</v>
      </c>
      <c r="N140" s="2326"/>
      <c r="O140" s="2326"/>
      <c r="P140" s="2326"/>
      <c r="Q140" s="2327"/>
      <c r="S140" s="1"/>
      <c r="T140" s="1"/>
      <c r="U140" s="1"/>
      <c r="V140" s="1"/>
      <c r="AD140" s="1894"/>
    </row>
    <row r="141" spans="1:30" ht="20.25" customHeight="1" x14ac:dyDescent="0.3">
      <c r="A141" s="593" t="s">
        <v>1299</v>
      </c>
      <c r="B141" s="2360" t="s">
        <v>315</v>
      </c>
      <c r="C141" s="2361"/>
      <c r="D141" s="2361"/>
      <c r="E141" s="2361"/>
      <c r="F141" s="2361"/>
      <c r="G141" s="2361"/>
      <c r="H141" s="2361"/>
      <c r="I141" s="2361"/>
      <c r="J141" s="2362">
        <f>IFERROR(SUM(J138:J140),"")</f>
        <v>61473.72</v>
      </c>
      <c r="K141" s="2362"/>
      <c r="L141" s="2363"/>
      <c r="M141" s="2362">
        <f>IFERROR(SUM(M138:M140),"")</f>
        <v>26028</v>
      </c>
      <c r="N141" s="2363"/>
      <c r="O141" s="2363"/>
      <c r="P141" s="2363"/>
      <c r="Q141" s="2371"/>
      <c r="S141" s="1"/>
      <c r="T141" s="1"/>
      <c r="U141" s="1"/>
      <c r="V141" s="1"/>
      <c r="AD141" s="1894"/>
    </row>
    <row r="142" spans="1:30" ht="39" customHeight="1" x14ac:dyDescent="0.25">
      <c r="A142" s="593" t="s">
        <v>1299</v>
      </c>
      <c r="S142" s="81"/>
      <c r="T142" s="1"/>
      <c r="U142" s="1"/>
      <c r="V142" s="1"/>
    </row>
    <row r="143" spans="1:30" ht="20.25" customHeight="1" x14ac:dyDescent="0.25">
      <c r="A143" s="593" t="s">
        <v>1299</v>
      </c>
      <c r="B143" s="36"/>
      <c r="C143" s="36"/>
      <c r="D143" s="36"/>
      <c r="E143" s="36"/>
      <c r="F143" s="36"/>
      <c r="G143" s="36"/>
      <c r="H143" s="36"/>
      <c r="I143" s="36"/>
      <c r="J143" s="35"/>
      <c r="K143" s="35"/>
      <c r="L143" s="35"/>
      <c r="S143" s="81"/>
      <c r="T143" s="1"/>
      <c r="U143" s="1"/>
      <c r="V143" s="1"/>
    </row>
    <row r="144" spans="1:30" s="24" customFormat="1" ht="26.25" customHeight="1" x14ac:dyDescent="0.25">
      <c r="A144" s="593" t="s">
        <v>1299</v>
      </c>
      <c r="B144" s="105" t="s">
        <v>114</v>
      </c>
      <c r="C144" s="31"/>
      <c r="D144" s="31"/>
      <c r="E144" s="31"/>
      <c r="F144" s="31"/>
      <c r="G144" s="31"/>
      <c r="H144" s="31"/>
      <c r="I144" s="31"/>
      <c r="J144" s="31"/>
      <c r="K144" s="31"/>
      <c r="L144" s="31"/>
      <c r="M144" s="31"/>
      <c r="S144" s="100"/>
      <c r="T144" s="100"/>
      <c r="U144" s="100"/>
      <c r="V144" s="100"/>
    </row>
    <row r="145" spans="1:30" s="24" customFormat="1" ht="21" customHeight="1" x14ac:dyDescent="0.25">
      <c r="A145" s="593" t="s">
        <v>1299</v>
      </c>
      <c r="B145" s="66" t="s">
        <v>436</v>
      </c>
      <c r="C145" s="31"/>
      <c r="D145" s="31"/>
      <c r="E145" s="31"/>
      <c r="F145" s="31"/>
      <c r="G145" s="31"/>
      <c r="H145" s="31"/>
      <c r="I145" s="31"/>
      <c r="J145" s="31"/>
      <c r="K145" s="31"/>
      <c r="L145" s="31"/>
      <c r="M145" s="31"/>
      <c r="S145" s="100"/>
      <c r="T145" s="100"/>
      <c r="U145" s="100"/>
      <c r="V145" s="100"/>
    </row>
    <row r="146" spans="1:30" ht="26.25" customHeight="1" x14ac:dyDescent="0.3">
      <c r="A146" s="593" t="s">
        <v>1299</v>
      </c>
      <c r="B146" s="2268" t="s">
        <v>305</v>
      </c>
      <c r="C146" s="2261"/>
      <c r="D146" s="2261"/>
      <c r="E146" s="2261"/>
      <c r="F146" s="2261"/>
      <c r="G146" s="2261"/>
      <c r="H146" s="2262"/>
      <c r="I146" s="2268" t="s">
        <v>347</v>
      </c>
      <c r="J146" s="2261"/>
      <c r="K146" s="2261"/>
      <c r="L146" s="2312"/>
      <c r="M146" s="2365" t="s">
        <v>348</v>
      </c>
      <c r="N146" s="2366"/>
      <c r="O146" s="2366"/>
      <c r="P146" s="2366"/>
      <c r="Q146" s="2367"/>
      <c r="S146" s="1"/>
      <c r="T146" s="1"/>
      <c r="U146" s="1"/>
      <c r="V146" s="1"/>
    </row>
    <row r="147" spans="1:30" ht="66" customHeight="1" x14ac:dyDescent="0.3">
      <c r="A147" s="593" t="s">
        <v>1299</v>
      </c>
      <c r="B147" s="2372" t="s">
        <v>123</v>
      </c>
      <c r="C147" s="2190"/>
      <c r="D147" s="2190"/>
      <c r="E147" s="2190"/>
      <c r="F147" s="2190" t="s">
        <v>115</v>
      </c>
      <c r="G147" s="2190"/>
      <c r="H147" s="280" t="s">
        <v>118</v>
      </c>
      <c r="I147" s="653" t="s">
        <v>135</v>
      </c>
      <c r="J147" s="2190" t="s">
        <v>316</v>
      </c>
      <c r="K147" s="2190"/>
      <c r="L147" s="2336"/>
      <c r="M147" s="2368" t="s">
        <v>317</v>
      </c>
      <c r="N147" s="2369"/>
      <c r="O147" s="2369"/>
      <c r="P147" s="2369"/>
      <c r="Q147" s="2370"/>
      <c r="S147" s="1"/>
      <c r="T147" s="1"/>
      <c r="U147" s="1"/>
      <c r="V147" s="1"/>
      <c r="W147" s="1279" t="s">
        <v>1204</v>
      </c>
      <c r="X147" s="1279" t="s">
        <v>348</v>
      </c>
    </row>
    <row r="148" spans="1:30" ht="49.5" customHeight="1" x14ac:dyDescent="0.3">
      <c r="B148" s="1499" t="s">
        <v>1888</v>
      </c>
      <c r="C148" s="2332" t="s">
        <v>1740</v>
      </c>
      <c r="D148" s="2332"/>
      <c r="E148" s="2332"/>
      <c r="F148" s="2332"/>
      <c r="G148" s="2332"/>
      <c r="H148" s="2332"/>
      <c r="I148" s="2332" t="s">
        <v>1741</v>
      </c>
      <c r="J148" s="2332"/>
      <c r="K148" s="2332"/>
      <c r="L148" s="2333"/>
      <c r="M148" s="2332" t="s">
        <v>1739</v>
      </c>
      <c r="N148" s="2333"/>
      <c r="O148" s="2333"/>
      <c r="P148" s="2333"/>
      <c r="Q148" s="2364"/>
      <c r="S148" s="1"/>
      <c r="T148" s="1"/>
      <c r="U148" s="1"/>
      <c r="V148" s="1"/>
      <c r="W148" s="392"/>
      <c r="X148" s="392"/>
    </row>
    <row r="149" spans="1:30" ht="49.5" hidden="1" customHeight="1" x14ac:dyDescent="0.3">
      <c r="B149" s="1502" t="s">
        <v>1865</v>
      </c>
      <c r="C149" s="1496"/>
      <c r="D149" s="1496"/>
      <c r="E149" s="1496"/>
      <c r="F149" s="1496" t="str">
        <f>F147</f>
        <v>Required Input</v>
      </c>
      <c r="G149" s="1496"/>
      <c r="H149" s="1496" t="str">
        <f>H147</f>
        <v>Quantity of Required Input for Project</v>
      </c>
      <c r="I149" s="1496" t="str">
        <f>I147</f>
        <v>Allowed LPD</v>
      </c>
      <c r="J149" s="1496" t="str">
        <f>J147</f>
        <v>Lighting Power Allowance 
(W)</v>
      </c>
      <c r="K149" s="1496"/>
      <c r="L149" s="1492"/>
      <c r="M149" s="1496" t="str">
        <f>M147</f>
        <v>Design Lighting Power 
(W)</v>
      </c>
      <c r="N149" s="1492"/>
      <c r="O149" s="1492"/>
      <c r="P149" s="1492"/>
      <c r="Q149" s="1503"/>
      <c r="S149" s="1"/>
      <c r="T149" s="1"/>
      <c r="U149" s="1"/>
      <c r="V149" s="1"/>
      <c r="W149" s="392"/>
      <c r="X149" s="392"/>
    </row>
    <row r="150" spans="1:30" ht="21" customHeight="1" x14ac:dyDescent="0.3">
      <c r="A150" s="593" t="s">
        <v>1299</v>
      </c>
      <c r="B150" s="2355" t="s">
        <v>105</v>
      </c>
      <c r="C150" s="2356"/>
      <c r="D150" s="2356"/>
      <c r="E150" s="2356"/>
      <c r="F150" s="2381" t="s">
        <v>110</v>
      </c>
      <c r="G150" s="2381"/>
      <c r="H150" s="1006"/>
      <c r="I150" s="1017">
        <f>IF(SI_IP_Units="IP",
IF(ISBLANK(F150),0,IF(OR(B130="Zone 0",B130="Zone 1"),0,IF(B130="Zone 2",IF(F150="Area",0.1,2.5),IF(B130="Zone 3",IF(F150="Area",0.15,3.75),IF(B130="Zone 4",IF(F150="Area",0.2,5),""))))),IF(ISBLANK(F150),0,IF(OR(B130="Zone 0",B130="Zone 1"),0,IF(B130="Zone 2",IF(F150="Area",1.1,6),IF(B130="Zone 3",IF(F150="Area",1.6,12.3),IF(B130="Zone 4",IF(F150="Area",2.2,16.4),"")))))
)</f>
        <v>1.6</v>
      </c>
      <c r="J150" s="2347">
        <f>IFERROR(H150*I150,"")</f>
        <v>0</v>
      </c>
      <c r="K150" s="2347"/>
      <c r="L150" s="2348"/>
      <c r="M150" s="2383"/>
      <c r="N150" s="2321"/>
      <c r="O150" s="2321"/>
      <c r="P150" s="2321"/>
      <c r="Q150" s="2322"/>
      <c r="S150" s="81"/>
      <c r="T150" s="1"/>
      <c r="U150" s="1"/>
      <c r="V150" s="1"/>
      <c r="W150" s="1280">
        <f t="shared" ref="W150:W155" si="13">IF(ISERROR(1/M150),0,MIN(J150,M150))</f>
        <v>0</v>
      </c>
      <c r="X150" s="1281">
        <f t="shared" ref="X150:X155" si="14">M150</f>
        <v>0</v>
      </c>
      <c r="Y150" s="1282" t="b">
        <f t="shared" ref="Y150:Y155" si="15">IF(M150&gt;J150,TRUE,FALSE)</f>
        <v>0</v>
      </c>
      <c r="AD150" s="1894"/>
    </row>
    <row r="151" spans="1:30" ht="33" customHeight="1" x14ac:dyDescent="0.3">
      <c r="A151" s="593" t="s">
        <v>1299</v>
      </c>
      <c r="B151" s="2355" t="s">
        <v>126</v>
      </c>
      <c r="C151" s="2356"/>
      <c r="D151" s="2356"/>
      <c r="E151" s="2356"/>
      <c r="F151" s="2351" t="s">
        <v>117</v>
      </c>
      <c r="G151" s="2351"/>
      <c r="H151" s="1006"/>
      <c r="I151" s="1017" t="s">
        <v>319</v>
      </c>
      <c r="J151" s="2347" t="str">
        <f>IFERROR(IF(H151&gt;0,IF(H151=1,270,(270+(H151-1)*90)),""),"")</f>
        <v/>
      </c>
      <c r="K151" s="2347"/>
      <c r="L151" s="2348"/>
      <c r="M151" s="2383"/>
      <c r="N151" s="2321"/>
      <c r="O151" s="2321"/>
      <c r="P151" s="2321"/>
      <c r="Q151" s="2322"/>
      <c r="S151" s="81"/>
      <c r="T151" s="1"/>
      <c r="U151" s="1"/>
      <c r="V151" s="1"/>
      <c r="W151" s="1280">
        <f t="shared" si="13"/>
        <v>0</v>
      </c>
      <c r="X151" s="1281">
        <f t="shared" si="14"/>
        <v>0</v>
      </c>
      <c r="Y151" s="1282" t="b">
        <f t="shared" si="15"/>
        <v>0</v>
      </c>
      <c r="AD151" s="1894"/>
    </row>
    <row r="152" spans="1:30" ht="21" customHeight="1" x14ac:dyDescent="0.3">
      <c r="A152" s="593" t="s">
        <v>1299</v>
      </c>
      <c r="B152" s="2355" t="s">
        <v>106</v>
      </c>
      <c r="C152" s="2356"/>
      <c r="D152" s="2356"/>
      <c r="E152" s="2356"/>
      <c r="F152" s="2351" t="s">
        <v>116</v>
      </c>
      <c r="G152" s="2351"/>
      <c r="H152" s="1006"/>
      <c r="I152" s="1017">
        <f>IF(SI_IP_Units="IP",0.75,8.1)</f>
        <v>8.1</v>
      </c>
      <c r="J152" s="2347">
        <f>IFERROR(H152*I152,"")</f>
        <v>0</v>
      </c>
      <c r="K152" s="2347"/>
      <c r="L152" s="2348"/>
      <c r="M152" s="2383"/>
      <c r="N152" s="2321"/>
      <c r="O152" s="2321"/>
      <c r="P152" s="2321"/>
      <c r="Q152" s="2322"/>
      <c r="S152" s="81"/>
      <c r="T152" s="1"/>
      <c r="U152" s="1"/>
      <c r="V152" s="1"/>
      <c r="W152" s="1280">
        <f t="shared" si="13"/>
        <v>0</v>
      </c>
      <c r="X152" s="1281">
        <f t="shared" si="14"/>
        <v>0</v>
      </c>
      <c r="Y152" s="1282" t="b">
        <f t="shared" si="15"/>
        <v>0</v>
      </c>
      <c r="AD152" s="1894"/>
    </row>
    <row r="153" spans="1:30" ht="33" customHeight="1" x14ac:dyDescent="0.3">
      <c r="A153" s="593" t="s">
        <v>1299</v>
      </c>
      <c r="B153" s="2355" t="s">
        <v>107</v>
      </c>
      <c r="C153" s="2356"/>
      <c r="D153" s="2356"/>
      <c r="E153" s="2356"/>
      <c r="F153" s="2351" t="s">
        <v>116</v>
      </c>
      <c r="G153" s="2351"/>
      <c r="H153" s="1006"/>
      <c r="I153" s="1032">
        <f>IF(SI_IP_Units="IP",0.5,5.4)</f>
        <v>5.4</v>
      </c>
      <c r="J153" s="2347">
        <f>IFERROR(H153*I153,"")</f>
        <v>0</v>
      </c>
      <c r="K153" s="2347"/>
      <c r="L153" s="2348"/>
      <c r="M153" s="2383"/>
      <c r="N153" s="2321"/>
      <c r="O153" s="2321"/>
      <c r="P153" s="2321"/>
      <c r="Q153" s="2322"/>
      <c r="S153" s="81"/>
      <c r="T153" s="1"/>
      <c r="U153" s="1"/>
      <c r="V153" s="1"/>
      <c r="W153" s="1280">
        <f t="shared" si="13"/>
        <v>0</v>
      </c>
      <c r="X153" s="1281">
        <f t="shared" si="14"/>
        <v>0</v>
      </c>
      <c r="Y153" s="1282" t="b">
        <f t="shared" si="15"/>
        <v>0</v>
      </c>
      <c r="AD153" s="1894"/>
    </row>
    <row r="154" spans="1:30" ht="21" customHeight="1" x14ac:dyDescent="0.3">
      <c r="A154" s="593" t="s">
        <v>1299</v>
      </c>
      <c r="B154" s="2355" t="s">
        <v>108</v>
      </c>
      <c r="C154" s="2356"/>
      <c r="D154" s="2356"/>
      <c r="E154" s="2356"/>
      <c r="F154" s="2351" t="s">
        <v>119</v>
      </c>
      <c r="G154" s="2351"/>
      <c r="H154" s="1006"/>
      <c r="I154" s="1033">
        <v>400</v>
      </c>
      <c r="J154" s="2347">
        <f>IFERROR(H154*I154,"")</f>
        <v>0</v>
      </c>
      <c r="K154" s="2347"/>
      <c r="L154" s="2348"/>
      <c r="M154" s="2383"/>
      <c r="N154" s="2321"/>
      <c r="O154" s="2321"/>
      <c r="P154" s="2321"/>
      <c r="Q154" s="2322"/>
      <c r="S154" s="81"/>
      <c r="T154" s="1"/>
      <c r="U154" s="1"/>
      <c r="V154" s="1"/>
      <c r="W154" s="1280">
        <f t="shared" si="13"/>
        <v>0</v>
      </c>
      <c r="X154" s="1281">
        <f t="shared" si="14"/>
        <v>0</v>
      </c>
      <c r="Y154" s="1282" t="b">
        <f t="shared" si="15"/>
        <v>0</v>
      </c>
      <c r="AD154" s="1894"/>
    </row>
    <row r="155" spans="1:30" ht="21" customHeight="1" x14ac:dyDescent="0.3">
      <c r="A155" s="593" t="s">
        <v>1299</v>
      </c>
      <c r="B155" s="2352" t="s">
        <v>109</v>
      </c>
      <c r="C155" s="2353"/>
      <c r="D155" s="2353"/>
      <c r="E155" s="2353"/>
      <c r="F155" s="2354" t="s">
        <v>120</v>
      </c>
      <c r="G155" s="2354"/>
      <c r="H155" s="1527"/>
      <c r="I155" s="1553">
        <v>800</v>
      </c>
      <c r="J155" s="2349">
        <f>IFERROR(H155*I155,"")</f>
        <v>0</v>
      </c>
      <c r="K155" s="2349"/>
      <c r="L155" s="2350"/>
      <c r="M155" s="2357"/>
      <c r="N155" s="2358"/>
      <c r="O155" s="2358"/>
      <c r="P155" s="2358"/>
      <c r="Q155" s="2359"/>
      <c r="S155" s="81"/>
      <c r="T155" s="1"/>
      <c r="U155" s="1"/>
      <c r="V155" s="1"/>
      <c r="W155" s="1280">
        <f t="shared" si="13"/>
        <v>0</v>
      </c>
      <c r="X155" s="1281">
        <f t="shared" si="14"/>
        <v>0</v>
      </c>
      <c r="Y155" s="1282" t="b">
        <f t="shared" si="15"/>
        <v>0</v>
      </c>
      <c r="AD155" s="1894"/>
    </row>
    <row r="156" spans="1:30" ht="20.25" customHeight="1" x14ac:dyDescent="0.3">
      <c r="A156" s="593" t="s">
        <v>1299</v>
      </c>
      <c r="B156" s="2385" t="s">
        <v>320</v>
      </c>
      <c r="C156" s="2386"/>
      <c r="D156" s="2386"/>
      <c r="E156" s="2386"/>
      <c r="F156" s="2386"/>
      <c r="G156" s="2386"/>
      <c r="H156" s="2386"/>
      <c r="I156" s="2386"/>
      <c r="J156" s="2382">
        <f>IFERROR(SUM(W150:W155),"")</f>
        <v>0</v>
      </c>
      <c r="K156" s="2382"/>
      <c r="L156" s="2376"/>
      <c r="M156" s="2388">
        <f>IFERROR(SUM(M150:M155),"")</f>
        <v>0</v>
      </c>
      <c r="N156" s="2376"/>
      <c r="O156" s="2376"/>
      <c r="P156" s="2376"/>
      <c r="Q156" s="2379"/>
      <c r="S156" s="1"/>
      <c r="T156" s="1"/>
      <c r="U156" s="1"/>
      <c r="V156" s="1"/>
      <c r="W156" s="1283">
        <f>SUM(W150:W155)+$M$130</f>
        <v>750</v>
      </c>
      <c r="X156" s="1284">
        <f>SUM(X150:X155)</f>
        <v>0</v>
      </c>
      <c r="Y156" s="1285" t="b">
        <f>IF(X156&gt;W156,TRUE,FALSE)</f>
        <v>0</v>
      </c>
      <c r="Z156" s="1279" t="s">
        <v>1205</v>
      </c>
      <c r="AD156" s="1894"/>
    </row>
    <row r="157" spans="1:30" ht="20.25" customHeight="1" x14ac:dyDescent="0.25">
      <c r="A157" s="593" t="s">
        <v>1299</v>
      </c>
      <c r="B157" s="36"/>
      <c r="C157" s="36"/>
      <c r="D157" s="36"/>
      <c r="E157" s="36"/>
      <c r="F157" s="36"/>
      <c r="G157" s="36"/>
      <c r="H157" s="36"/>
      <c r="I157" s="36"/>
      <c r="J157" s="35"/>
      <c r="K157" s="35"/>
      <c r="L157" s="35"/>
      <c r="S157" s="81"/>
      <c r="T157" s="1"/>
      <c r="U157" s="1"/>
      <c r="V157" s="1"/>
    </row>
    <row r="158" spans="1:30" s="24" customFormat="1" ht="26.25" customHeight="1" x14ac:dyDescent="0.25">
      <c r="A158" s="593" t="s">
        <v>1299</v>
      </c>
      <c r="B158" s="105" t="s">
        <v>321</v>
      </c>
      <c r="C158" s="31"/>
      <c r="D158" s="31"/>
      <c r="E158" s="31"/>
      <c r="F158" s="31"/>
      <c r="G158" s="31"/>
      <c r="H158" s="31"/>
      <c r="I158" s="31"/>
      <c r="J158" s="31"/>
      <c r="K158" s="31"/>
      <c r="L158" s="31"/>
      <c r="M158" s="31"/>
      <c r="S158" s="100"/>
      <c r="T158" s="100"/>
      <c r="U158" s="100"/>
      <c r="V158" s="100"/>
    </row>
    <row r="159" spans="1:30" ht="26.25" customHeight="1" x14ac:dyDescent="0.3">
      <c r="A159" s="593" t="s">
        <v>1299</v>
      </c>
      <c r="B159" s="2387" t="s">
        <v>121</v>
      </c>
      <c r="C159" s="2375"/>
      <c r="D159" s="2375"/>
      <c r="E159" s="2375"/>
      <c r="F159" s="2375"/>
      <c r="G159" s="2375"/>
      <c r="H159" s="2375"/>
      <c r="I159" s="2375"/>
      <c r="J159" s="2375" t="s">
        <v>347</v>
      </c>
      <c r="K159" s="2375"/>
      <c r="L159" s="2376"/>
      <c r="M159" s="2375" t="s">
        <v>348</v>
      </c>
      <c r="N159" s="2376"/>
      <c r="O159" s="2376"/>
      <c r="P159" s="2376"/>
      <c r="Q159" s="2379"/>
      <c r="S159" s="81"/>
      <c r="T159" s="1"/>
      <c r="U159" s="1"/>
      <c r="V159" s="1"/>
    </row>
    <row r="160" spans="1:30" ht="26.25" hidden="1" customHeight="1" x14ac:dyDescent="0.3">
      <c r="B160" s="1556" t="s">
        <v>1865</v>
      </c>
      <c r="C160" s="1554"/>
      <c r="D160" s="1554"/>
      <c r="E160" s="1554"/>
      <c r="F160" s="1554"/>
      <c r="G160" s="1554"/>
      <c r="H160" s="1554"/>
      <c r="I160" s="1554"/>
      <c r="J160" s="1554" t="s">
        <v>1554</v>
      </c>
      <c r="K160" s="1554"/>
      <c r="L160" s="1555"/>
      <c r="M160" s="1554" t="s">
        <v>1866</v>
      </c>
      <c r="N160" s="1555"/>
      <c r="O160" s="1555"/>
      <c r="P160" s="1555"/>
      <c r="Q160" s="1557"/>
      <c r="S160" s="81"/>
      <c r="T160" s="1"/>
      <c r="U160" s="1"/>
      <c r="V160" s="1"/>
    </row>
    <row r="161" spans="1:30" ht="21" customHeight="1" x14ac:dyDescent="0.3">
      <c r="A161" s="593" t="s">
        <v>1299</v>
      </c>
      <c r="B161" s="2389" t="s">
        <v>1110</v>
      </c>
      <c r="C161" s="2390"/>
      <c r="D161" s="2390"/>
      <c r="E161" s="2390"/>
      <c r="F161" s="2390"/>
      <c r="G161" s="2390"/>
      <c r="H161" s="2390"/>
      <c r="I161" s="2390"/>
      <c r="J161" s="2377">
        <f>IFERROR(($J$141+$J$156+$M$130)/1000,0)</f>
        <v>62.22372</v>
      </c>
      <c r="K161" s="2377"/>
      <c r="L161" s="2378"/>
      <c r="M161" s="2377">
        <f>IFERROR(($M$141+$M$156)/1000,0)</f>
        <v>26.027999999999999</v>
      </c>
      <c r="N161" s="2378"/>
      <c r="O161" s="2378"/>
      <c r="P161" s="2378"/>
      <c r="Q161" s="2380"/>
      <c r="S161" s="81"/>
      <c r="T161" s="1"/>
      <c r="U161" s="1"/>
      <c r="V161" s="1"/>
      <c r="Y161" s="1286" t="b">
        <f>IF(M161&gt;J161,TRUE,FALSE)</f>
        <v>0</v>
      </c>
      <c r="AD161" s="1897"/>
    </row>
    <row r="162" spans="1:30" ht="48.75" customHeight="1" x14ac:dyDescent="0.25">
      <c r="A162" s="593" t="s">
        <v>1299</v>
      </c>
      <c r="S162" s="81"/>
      <c r="T162" s="1"/>
      <c r="U162" s="1"/>
      <c r="V162" s="1"/>
    </row>
    <row r="163" spans="1:30" s="24" customFormat="1" ht="39.9" customHeight="1" x14ac:dyDescent="0.25">
      <c r="A163" s="593" t="s">
        <v>1299</v>
      </c>
      <c r="B163" s="2384" t="s">
        <v>23</v>
      </c>
      <c r="C163" s="2384"/>
      <c r="D163" s="2384"/>
      <c r="E163" s="2384"/>
      <c r="F163" s="2384"/>
      <c r="G163" s="2384"/>
      <c r="H163" s="2384"/>
      <c r="I163" s="2384"/>
      <c r="J163" s="2384"/>
      <c r="K163" s="2384"/>
      <c r="L163" s="2384"/>
      <c r="S163" s="100"/>
      <c r="T163" s="100"/>
      <c r="U163" s="100"/>
      <c r="V163" s="100"/>
    </row>
    <row r="164" spans="1:30" s="24" customFormat="1" ht="21" customHeight="1" x14ac:dyDescent="0.25">
      <c r="A164" s="593" t="s">
        <v>1299</v>
      </c>
      <c r="B164" s="2235"/>
      <c r="C164" s="2236"/>
      <c r="D164" s="2236"/>
      <c r="E164" s="2236"/>
      <c r="F164" s="2236"/>
      <c r="G164" s="2236"/>
      <c r="H164" s="2236"/>
      <c r="I164" s="2236"/>
      <c r="J164" s="2236"/>
      <c r="K164" s="2236"/>
      <c r="L164" s="2236"/>
      <c r="M164" s="2373"/>
      <c r="N164" s="2373"/>
      <c r="O164" s="2373"/>
      <c r="P164" s="2373"/>
      <c r="Q164" s="2374"/>
      <c r="S164" s="100"/>
      <c r="T164" s="100"/>
      <c r="U164" s="100"/>
      <c r="V164" s="100"/>
      <c r="AD164" s="1895"/>
    </row>
  </sheetData>
  <sheetProtection algorithmName="SHA-512" hashValue="6BWfedy73U0AujMBfXkn12HSVGM+x8IkTHW7HR+lSJ/wgFoow3LkihKUMyZOy7n3IYJQPdJIYzx9913yKTH3cA==" saltValue="xuskvRYma/soL/BAm2/c3w==" spinCount="100000" sheet="1" objects="1" scenarios="1"/>
  <customSheetViews>
    <customSheetView guid="{75D6F8CE-A4F4-4FDD-BA92-7996F9E19FA9}" scale="90" showGridLines="0" hiddenRows="1">
      <selection activeCell="N112" sqref="N112"/>
      <pageMargins left="0.25" right="0.25" top="0.75" bottom="0.75" header="0.3" footer="0.3"/>
      <pageSetup scale="75" orientation="portrait" verticalDpi="1200" r:id="rId1"/>
    </customSheetView>
  </customSheetViews>
  <mergeCells count="252">
    <mergeCell ref="B49:O49"/>
    <mergeCell ref="C104:F104"/>
    <mergeCell ref="J138:L138"/>
    <mergeCell ref="H28:Q28"/>
    <mergeCell ref="L35:Q35"/>
    <mergeCell ref="L36:Q36"/>
    <mergeCell ref="F29:G29"/>
    <mergeCell ref="G43:I43"/>
    <mergeCell ref="F34:G34"/>
    <mergeCell ref="F32:G32"/>
    <mergeCell ref="O41:Q41"/>
    <mergeCell ref="L40:Q40"/>
    <mergeCell ref="O43:Q43"/>
    <mergeCell ref="C40:F41"/>
    <mergeCell ref="F35:G35"/>
    <mergeCell ref="L29:Q29"/>
    <mergeCell ref="C43:F43"/>
    <mergeCell ref="J41:K41"/>
    <mergeCell ref="F33:G33"/>
    <mergeCell ref="F28:G28"/>
    <mergeCell ref="B28:D28"/>
    <mergeCell ref="L43:N43"/>
    <mergeCell ref="P47:Q47"/>
    <mergeCell ref="P49:Q49"/>
    <mergeCell ref="M52:Q52"/>
    <mergeCell ref="M135:Q135"/>
    <mergeCell ref="I134:L134"/>
    <mergeCell ref="C118:F118"/>
    <mergeCell ref="C119:F119"/>
    <mergeCell ref="L104:Q104"/>
    <mergeCell ref="L118:N118"/>
    <mergeCell ref="L119:N119"/>
    <mergeCell ref="L120:N120"/>
    <mergeCell ref="G109:K109"/>
    <mergeCell ref="C128:L128"/>
    <mergeCell ref="C130:L130"/>
    <mergeCell ref="B135:E135"/>
    <mergeCell ref="F135:G135"/>
    <mergeCell ref="B134:H134"/>
    <mergeCell ref="O120:Q120"/>
    <mergeCell ref="B112:F112"/>
    <mergeCell ref="O110:Q110"/>
    <mergeCell ref="O115:Q115"/>
    <mergeCell ref="B97:O97"/>
    <mergeCell ref="J112:K112"/>
    <mergeCell ref="L110:N110"/>
    <mergeCell ref="C94:D94"/>
    <mergeCell ref="C88:D88"/>
    <mergeCell ref="B12:O12"/>
    <mergeCell ref="B14:O14"/>
    <mergeCell ref="B16:O16"/>
    <mergeCell ref="B18:O18"/>
    <mergeCell ref="F36:G36"/>
    <mergeCell ref="L41:N41"/>
    <mergeCell ref="J43:K43"/>
    <mergeCell ref="J81:K81"/>
    <mergeCell ref="I86:Q87"/>
    <mergeCell ref="G41:I41"/>
    <mergeCell ref="G40:K40"/>
    <mergeCell ref="F52:L52"/>
    <mergeCell ref="G54:H54"/>
    <mergeCell ref="B86:B87"/>
    <mergeCell ref="F86:G86"/>
    <mergeCell ref="C86:D87"/>
    <mergeCell ref="B48:L48"/>
    <mergeCell ref="B52:D52"/>
    <mergeCell ref="L53:L54"/>
    <mergeCell ref="G80:K80"/>
    <mergeCell ref="B47:O47"/>
    <mergeCell ref="L80:Q80"/>
    <mergeCell ref="B50:L50"/>
    <mergeCell ref="G53:K53"/>
    <mergeCell ref="F88:G88"/>
    <mergeCell ref="G106:H106"/>
    <mergeCell ref="B98:O98"/>
    <mergeCell ref="J83:K83"/>
    <mergeCell ref="P99:Q99"/>
    <mergeCell ref="B99:O99"/>
    <mergeCell ref="G102:K102"/>
    <mergeCell ref="L102:Q102"/>
    <mergeCell ref="C102:F102"/>
    <mergeCell ref="I90:Q90"/>
    <mergeCell ref="I94:Q94"/>
    <mergeCell ref="C90:D90"/>
    <mergeCell ref="I91:Q91"/>
    <mergeCell ref="P98:Q98"/>
    <mergeCell ref="C92:D92"/>
    <mergeCell ref="C91:D91"/>
    <mergeCell ref="I95:Q95"/>
    <mergeCell ref="C83:F83"/>
    <mergeCell ref="G83:I83"/>
    <mergeCell ref="I88:Q88"/>
    <mergeCell ref="L83:N83"/>
    <mergeCell ref="G76:H76"/>
    <mergeCell ref="F53:F54"/>
    <mergeCell ref="C53:C54"/>
    <mergeCell ref="M53:M54"/>
    <mergeCell ref="G75:H75"/>
    <mergeCell ref="G58:H58"/>
    <mergeCell ref="G57:H57"/>
    <mergeCell ref="G56:H56"/>
    <mergeCell ref="O81:Q81"/>
    <mergeCell ref="M55:Q55"/>
    <mergeCell ref="N53:N54"/>
    <mergeCell ref="O53:P53"/>
    <mergeCell ref="Q53:Q54"/>
    <mergeCell ref="G74:H74"/>
    <mergeCell ref="C80:F81"/>
    <mergeCell ref="D53:D54"/>
    <mergeCell ref="B77:C77"/>
    <mergeCell ref="B80:B81"/>
    <mergeCell ref="B53:B54"/>
    <mergeCell ref="G73:H73"/>
    <mergeCell ref="G59:H59"/>
    <mergeCell ref="G60:H60"/>
    <mergeCell ref="G61:H61"/>
    <mergeCell ref="G62:H62"/>
    <mergeCell ref="B10:O10"/>
    <mergeCell ref="F139:G139"/>
    <mergeCell ref="L81:N81"/>
    <mergeCell ref="G81:I81"/>
    <mergeCell ref="O83:Q83"/>
    <mergeCell ref="C95:D95"/>
    <mergeCell ref="M138:Q138"/>
    <mergeCell ref="M137:Q137"/>
    <mergeCell ref="P125:Q125"/>
    <mergeCell ref="I93:Q93"/>
    <mergeCell ref="C93:D93"/>
    <mergeCell ref="M128:Q128"/>
    <mergeCell ref="M130:Q130"/>
    <mergeCell ref="M134:Q134"/>
    <mergeCell ref="F137:G137"/>
    <mergeCell ref="L116:N116"/>
    <mergeCell ref="C115:F115"/>
    <mergeCell ref="G115:K115"/>
    <mergeCell ref="G104:K104"/>
    <mergeCell ref="P97:Q97"/>
    <mergeCell ref="I92:Q92"/>
    <mergeCell ref="B96:D96"/>
    <mergeCell ref="I96:Q96"/>
    <mergeCell ref="O118:Q118"/>
    <mergeCell ref="B161:I161"/>
    <mergeCell ref="B6:Q6"/>
    <mergeCell ref="B21:Q21"/>
    <mergeCell ref="B20:Q20"/>
    <mergeCell ref="O24:Q24"/>
    <mergeCell ref="C30:D30"/>
    <mergeCell ref="F30:G30"/>
    <mergeCell ref="J30:K30"/>
    <mergeCell ref="B55:D55"/>
    <mergeCell ref="F55:L55"/>
    <mergeCell ref="B24:N24"/>
    <mergeCell ref="B46:Q46"/>
    <mergeCell ref="L30:Q30"/>
    <mergeCell ref="L32:Q32"/>
    <mergeCell ref="L33:Q33"/>
    <mergeCell ref="L34:Q34"/>
    <mergeCell ref="B40:B41"/>
    <mergeCell ref="P8:Q8"/>
    <mergeCell ref="P10:Q10"/>
    <mergeCell ref="P12:Q12"/>
    <mergeCell ref="P14:Q14"/>
    <mergeCell ref="P16:Q16"/>
    <mergeCell ref="P18:Q18"/>
    <mergeCell ref="B8:O8"/>
    <mergeCell ref="B164:Q164"/>
    <mergeCell ref="J159:L159"/>
    <mergeCell ref="J161:L161"/>
    <mergeCell ref="M159:Q159"/>
    <mergeCell ref="M161:Q161"/>
    <mergeCell ref="F151:G151"/>
    <mergeCell ref="F152:G152"/>
    <mergeCell ref="F153:G153"/>
    <mergeCell ref="B150:E150"/>
    <mergeCell ref="B151:E151"/>
    <mergeCell ref="F150:G150"/>
    <mergeCell ref="B152:E152"/>
    <mergeCell ref="B153:E153"/>
    <mergeCell ref="J156:L156"/>
    <mergeCell ref="M150:Q150"/>
    <mergeCell ref="M151:Q151"/>
    <mergeCell ref="M152:Q152"/>
    <mergeCell ref="M153:Q153"/>
    <mergeCell ref="M154:Q154"/>
    <mergeCell ref="B163:L163"/>
    <mergeCell ref="B156:I156"/>
    <mergeCell ref="B159:I159"/>
    <mergeCell ref="M156:Q156"/>
    <mergeCell ref="J150:L150"/>
    <mergeCell ref="J154:L154"/>
    <mergeCell ref="J155:L155"/>
    <mergeCell ref="F154:G154"/>
    <mergeCell ref="B155:E155"/>
    <mergeCell ref="F155:G155"/>
    <mergeCell ref="B154:E154"/>
    <mergeCell ref="M155:Q155"/>
    <mergeCell ref="B146:H146"/>
    <mergeCell ref="B141:I141"/>
    <mergeCell ref="J151:L151"/>
    <mergeCell ref="J141:L141"/>
    <mergeCell ref="M148:Q148"/>
    <mergeCell ref="I148:L148"/>
    <mergeCell ref="M146:Q146"/>
    <mergeCell ref="M147:Q147"/>
    <mergeCell ref="M141:Q141"/>
    <mergeCell ref="J152:L152"/>
    <mergeCell ref="J153:L153"/>
    <mergeCell ref="C148:E148"/>
    <mergeCell ref="I146:L146"/>
    <mergeCell ref="J147:L147"/>
    <mergeCell ref="F148:H148"/>
    <mergeCell ref="B147:E147"/>
    <mergeCell ref="F147:G147"/>
    <mergeCell ref="M139:Q139"/>
    <mergeCell ref="M140:Q140"/>
    <mergeCell ref="F140:G140"/>
    <mergeCell ref="G119:K119"/>
    <mergeCell ref="G120:K120"/>
    <mergeCell ref="G118:K118"/>
    <mergeCell ref="C120:F120"/>
    <mergeCell ref="G116:K116"/>
    <mergeCell ref="J137:L137"/>
    <mergeCell ref="J139:L139"/>
    <mergeCell ref="J135:L135"/>
    <mergeCell ref="B140:E140"/>
    <mergeCell ref="J140:L140"/>
    <mergeCell ref="B139:E139"/>
    <mergeCell ref="C137:E137"/>
    <mergeCell ref="B138:E138"/>
    <mergeCell ref="F138:G138"/>
    <mergeCell ref="B125:O125"/>
    <mergeCell ref="B123:Q123"/>
    <mergeCell ref="B109:F110"/>
    <mergeCell ref="G110:I110"/>
    <mergeCell ref="L109:Q109"/>
    <mergeCell ref="L112:N112"/>
    <mergeCell ref="O112:Q112"/>
    <mergeCell ref="G112:I112"/>
    <mergeCell ref="L115:N115"/>
    <mergeCell ref="O119:Q119"/>
    <mergeCell ref="C116:F116"/>
    <mergeCell ref="O116:Q116"/>
    <mergeCell ref="G72:H72"/>
    <mergeCell ref="G63:H63"/>
    <mergeCell ref="G64:H64"/>
    <mergeCell ref="G65:H65"/>
    <mergeCell ref="G66:H66"/>
    <mergeCell ref="G67:H67"/>
    <mergeCell ref="G68:H68"/>
    <mergeCell ref="G69:H69"/>
    <mergeCell ref="G70:H70"/>
    <mergeCell ref="G71:H71"/>
  </mergeCells>
  <conditionalFormatting sqref="G53:K54">
    <cfRule type="expression" dxfId="99" priority="1287">
      <formula>IF($P$47="NO",TRUE,FALSE)</formula>
    </cfRule>
  </conditionalFormatting>
  <conditionalFormatting sqref="N56:P76">
    <cfRule type="expression" dxfId="98" priority="276">
      <formula>IF($L$51="No",TRUE,FALSE)</formula>
    </cfRule>
    <cfRule type="expression" dxfId="97" priority="1289">
      <formula>IF($P$49="No",TRUE,FALSE)</formula>
    </cfRule>
  </conditionalFormatting>
  <conditionalFormatting sqref="O56:P76">
    <cfRule type="expression" dxfId="96" priority="275">
      <formula>IF($L$51="Yes via the software program",TRUE,IF($L$51="Yes via schedule adjustments",TRUE,FALSE))</formula>
    </cfRule>
    <cfRule type="expression" dxfId="95" priority="1291">
      <formula>IF($P$49="Yes via the software program",TRUE,IF($P$49="Yes via schedule adjustments",TRUE,FALSE))</formula>
    </cfRule>
  </conditionalFormatting>
  <conditionalFormatting sqref="G56:G76">
    <cfRule type="expression" dxfId="94" priority="1295">
      <formula>IF($P$49="NO",TRUE,FALSE)</formula>
    </cfRule>
  </conditionalFormatting>
  <conditionalFormatting sqref="G56:K76">
    <cfRule type="expression" dxfId="93" priority="23">
      <formula>IF($P$47="NO",TRUE,FALSE)</formula>
    </cfRule>
  </conditionalFormatting>
  <conditionalFormatting sqref="N53:P54">
    <cfRule type="expression" dxfId="92" priority="22">
      <formula>IF($P$49="No",TRUE,FALSE)</formula>
    </cfRule>
  </conditionalFormatting>
  <conditionalFormatting sqref="O53:P54">
    <cfRule type="expression" dxfId="91" priority="21">
      <formula>IF($P$49="Yes via the software program",TRUE,IF($P$49="Yes via schedule adjustments",TRUE,FALSE))</formula>
    </cfRule>
  </conditionalFormatting>
  <conditionalFormatting sqref="N56:N76">
    <cfRule type="expression" dxfId="90" priority="20">
      <formula>IF($P$49="Yes via control factors",TRUE,FALSE)</formula>
    </cfRule>
    <cfRule type="expression" dxfId="89" priority="274">
      <formula>IF($L$51="Yes via control factors",TRUE,FALSE)</formula>
    </cfRule>
  </conditionalFormatting>
  <conditionalFormatting sqref="I56:K76">
    <cfRule type="expression" dxfId="88" priority="19">
      <formula>IF($P$49="NO",TRUE,FALSE)</formula>
    </cfRule>
  </conditionalFormatting>
  <dataValidations count="15">
    <dataValidation type="list" allowBlank="1" showInputMessage="1" showErrorMessage="1" sqref="P125 O118:O120 P8:P18 P47 M48" xr:uid="{00000000-0002-0000-0A00-000000000000}">
      <formula1>"Yes,No"</formula1>
    </dataValidation>
    <dataValidation type="list" allowBlank="1" showInputMessage="1" showErrorMessage="1" sqref="B130" xr:uid="{00000000-0002-0000-0A00-000001000000}">
      <formula1>Zone</formula1>
    </dataValidation>
    <dataValidation type="list" allowBlank="1" showInputMessage="1" showErrorMessage="1" sqref="F150:G150" xr:uid="{00000000-0002-0000-0A00-000002000000}">
      <formula1>"Area,Length"</formula1>
    </dataValidation>
    <dataValidation allowBlank="1" showErrorMessage="1" sqref="H151:H155" xr:uid="{00000000-0002-0000-0A00-000003000000}"/>
    <dataValidation type="decimal" operator="greaterThanOrEqual" allowBlank="1" showInputMessage="1" showErrorMessage="1" error="Please enter the value only (without any labels)" sqref="E33:E35 H33:H35 K33:K35 M57:M76 E58:E76" xr:uid="{00000000-0002-0000-0A00-000004000000}">
      <formula1>0</formula1>
    </dataValidation>
    <dataValidation type="list" allowBlank="1" showInputMessage="1" showErrorMessage="1" sqref="P49" xr:uid="{00000000-0002-0000-0A00-000005000000}">
      <formula1>"No, Yes via the software program, Yes via schedule adjustments, Yes via control factors"</formula1>
    </dataValidation>
    <dataValidation type="list" allowBlank="1" showInputMessage="1" showErrorMessage="1" sqref="B138:E140" xr:uid="{00000000-0002-0000-0A00-000006000000}">
      <formula1>TradableSurfaces</formula1>
    </dataValidation>
    <dataValidation type="list" allowBlank="1" showInputMessage="1" showErrorMessage="1" sqref="B90:B95 B118:B120 B33:B35 B58:B76" xr:uid="{00000000-0002-0000-0A00-000007000000}">
      <formula1>BuildingIDLookupAlt</formula1>
    </dataValidation>
    <dataValidation type="list" allowBlank="1" showInputMessage="1" showErrorMessage="1" sqref="P58:P76" xr:uid="{00000000-0002-0000-0A00-000008000000}">
      <formula1>"N/A, 0%, 5%, 10%, 20%, 25%, 30%"</formula1>
    </dataValidation>
    <dataValidation type="list" allowBlank="1" showErrorMessage="1" sqref="C58:C76" xr:uid="{00000000-0002-0000-0A00-000009000000}">
      <formula1>SxSCategories</formula1>
    </dataValidation>
    <dataValidation type="list" allowBlank="1" showErrorMessage="1" sqref="J33:J35" xr:uid="{00000000-0002-0000-0A00-00000A000000}">
      <formula1>"N/A,0%,10%,15%"</formula1>
    </dataValidation>
    <dataValidation type="list" allowBlank="1" showErrorMessage="1" sqref="C33:C35" xr:uid="{00000000-0002-0000-0A00-00000B000000}">
      <formula1>BAMCategories</formula1>
    </dataValidation>
    <dataValidation type="list" allowBlank="1" showInputMessage="1" sqref="L100 P97:P99" xr:uid="{00000000-0002-0000-0A00-00000C000000}">
      <formula1>"Yes,No"</formula1>
    </dataValidation>
    <dataValidation allowBlank="1" sqref="I90:I95" xr:uid="{00000000-0002-0000-0A00-00000D000000}"/>
    <dataValidation type="list" allowBlank="1" showInputMessage="1" showErrorMessage="1" sqref="C90:D95" xr:uid="{00000000-0002-0000-0A00-00000E000000}">
      <formula1>SelectedSxS</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123" r:id="rId5" name="Button 3">
              <controlPr defaultSize="0" print="0" autoFill="0" autoPict="0" macro="[0]!addA">
                <anchor moveWithCells="1">
                  <from>
                    <xdr:col>1</xdr:col>
                    <xdr:colOff>0</xdr:colOff>
                    <xdr:row>37</xdr:row>
                    <xdr:rowOff>0</xdr:rowOff>
                  </from>
                  <to>
                    <xdr:col>2</xdr:col>
                    <xdr:colOff>441960</xdr:colOff>
                    <xdr:row>44</xdr:row>
                    <xdr:rowOff>266700</xdr:rowOff>
                  </to>
                </anchor>
              </controlPr>
            </control>
          </mc:Choice>
        </mc:AlternateContent>
        <mc:AlternateContent xmlns:mc="http://schemas.openxmlformats.org/markup-compatibility/2006">
          <mc:Choice Requires="x14">
            <control shapeId="5152" r:id="rId6" name="Button 32">
              <controlPr defaultSize="0" print="0" autoFill="0" autoPict="0" macro="[0]!addC">
                <anchor moveWithCells="1">
                  <from>
                    <xdr:col>1</xdr:col>
                    <xdr:colOff>22860</xdr:colOff>
                    <xdr:row>141</xdr:row>
                    <xdr:rowOff>114300</xdr:rowOff>
                  </from>
                  <to>
                    <xdr:col>2</xdr:col>
                    <xdr:colOff>449580</xdr:colOff>
                    <xdr:row>141</xdr:row>
                    <xdr:rowOff>403860</xdr:rowOff>
                  </to>
                </anchor>
              </controlPr>
            </control>
          </mc:Choice>
        </mc:AlternateContent>
        <mc:AlternateContent xmlns:mc="http://schemas.openxmlformats.org/markup-compatibility/2006">
          <mc:Choice Requires="x14">
            <control shapeId="5336" r:id="rId7" name="Button 216">
              <controlPr defaultSize="0" print="0" autoFill="0" autoPict="0" macro="[0]!addB">
                <anchor moveWithCells="1">
                  <from>
                    <xdr:col>1</xdr:col>
                    <xdr:colOff>22860</xdr:colOff>
                    <xdr:row>78</xdr:row>
                    <xdr:rowOff>0</xdr:rowOff>
                  </from>
                  <to>
                    <xdr:col>2</xdr:col>
                    <xdr:colOff>457200</xdr:colOff>
                    <xdr:row>78</xdr:row>
                    <xdr:rowOff>243840</xdr:rowOff>
                  </to>
                </anchor>
              </controlPr>
            </control>
          </mc:Choice>
        </mc:AlternateContent>
        <mc:AlternateContent xmlns:mc="http://schemas.openxmlformats.org/markup-compatibility/2006">
          <mc:Choice Requires="x14">
            <control shapeId="5374" r:id="rId8" name="Button 254">
              <controlPr defaultSize="0" print="0" autoFill="0" autoPict="0" macro="[0]!DeleteSome">
                <anchor moveWithCells="1">
                  <from>
                    <xdr:col>2</xdr:col>
                    <xdr:colOff>487680</xdr:colOff>
                    <xdr:row>141</xdr:row>
                    <xdr:rowOff>121920</xdr:rowOff>
                  </from>
                  <to>
                    <xdr:col>2</xdr:col>
                    <xdr:colOff>1828800</xdr:colOff>
                    <xdr:row>141</xdr:row>
                    <xdr:rowOff>403860</xdr:rowOff>
                  </to>
                </anchor>
              </controlPr>
            </control>
          </mc:Choice>
        </mc:AlternateContent>
        <mc:AlternateContent xmlns:mc="http://schemas.openxmlformats.org/markup-compatibility/2006">
          <mc:Choice Requires="x14">
            <control shapeId="5375" r:id="rId9" name="Button 255">
              <controlPr defaultSize="0" print="0" autoFill="0" autoPict="0" macro="[0]!DeleteSome">
                <anchor moveWithCells="1">
                  <from>
                    <xdr:col>2</xdr:col>
                    <xdr:colOff>495300</xdr:colOff>
                    <xdr:row>37</xdr:row>
                    <xdr:rowOff>0</xdr:rowOff>
                  </from>
                  <to>
                    <xdr:col>2</xdr:col>
                    <xdr:colOff>1836420</xdr:colOff>
                    <xdr:row>44</xdr:row>
                    <xdr:rowOff>266700</xdr:rowOff>
                  </to>
                </anchor>
              </controlPr>
            </control>
          </mc:Choice>
        </mc:AlternateContent>
        <mc:AlternateContent xmlns:mc="http://schemas.openxmlformats.org/markup-compatibility/2006">
          <mc:Choice Requires="x14">
            <control shapeId="5377" r:id="rId10" name="Button 257">
              <controlPr defaultSize="0" print="0" autoFill="0" autoPict="0" macro="[0]!DeleteSome">
                <anchor moveWithCells="1">
                  <from>
                    <xdr:col>2</xdr:col>
                    <xdr:colOff>571500</xdr:colOff>
                    <xdr:row>78</xdr:row>
                    <xdr:rowOff>0</xdr:rowOff>
                  </from>
                  <to>
                    <xdr:col>2</xdr:col>
                    <xdr:colOff>1912620</xdr:colOff>
                    <xdr:row>78</xdr:row>
                    <xdr:rowOff>228600</xdr:rowOff>
                  </to>
                </anchor>
              </controlPr>
            </control>
          </mc:Choice>
        </mc:AlternateContent>
        <mc:AlternateContent xmlns:mc="http://schemas.openxmlformats.org/markup-compatibility/2006">
          <mc:Choice Requires="x14">
            <control shapeId="5379" r:id="rId11" name="Option Button 259">
              <controlPr defaultSize="0" autoFill="0" autoLine="0" autoPict="0" macro="[0]!LightingOption">
                <anchor moveWithCells="1">
                  <from>
                    <xdr:col>14</xdr:col>
                    <xdr:colOff>60960</xdr:colOff>
                    <xdr:row>22</xdr:row>
                    <xdr:rowOff>327660</xdr:rowOff>
                  </from>
                  <to>
                    <xdr:col>14</xdr:col>
                    <xdr:colOff>441960</xdr:colOff>
                    <xdr:row>23</xdr:row>
                    <xdr:rowOff>289560</xdr:rowOff>
                  </to>
                </anchor>
              </controlPr>
            </control>
          </mc:Choice>
        </mc:AlternateContent>
        <mc:AlternateContent xmlns:mc="http://schemas.openxmlformats.org/markup-compatibility/2006">
          <mc:Choice Requires="x14">
            <control shapeId="5380" r:id="rId12" name="Option Button 260">
              <controlPr defaultSize="0" autoFill="0" autoLine="0" autoPict="0" macro="[0]!LightingOption">
                <anchor moveWithCells="1">
                  <from>
                    <xdr:col>14</xdr:col>
                    <xdr:colOff>68580</xdr:colOff>
                    <xdr:row>23</xdr:row>
                    <xdr:rowOff>312420</xdr:rowOff>
                  </from>
                  <to>
                    <xdr:col>14</xdr:col>
                    <xdr:colOff>441960</xdr:colOff>
                    <xdr:row>23</xdr:row>
                    <xdr:rowOff>571500</xdr:rowOff>
                  </to>
                </anchor>
              </controlPr>
            </control>
          </mc:Choice>
        </mc:AlternateContent>
        <mc:AlternateContent xmlns:mc="http://schemas.openxmlformats.org/markup-compatibility/2006">
          <mc:Choice Requires="x14">
            <control shapeId="5381" r:id="rId13" name="Button 261">
              <controlPr defaultSize="0" print="0" autoFill="0" autoPict="0" macro="[0]!addD">
                <anchor moveWithCells="1">
                  <from>
                    <xdr:col>1</xdr:col>
                    <xdr:colOff>7620</xdr:colOff>
                    <xdr:row>100</xdr:row>
                    <xdr:rowOff>0</xdr:rowOff>
                  </from>
                  <to>
                    <xdr:col>2</xdr:col>
                    <xdr:colOff>441960</xdr:colOff>
                    <xdr:row>100</xdr:row>
                    <xdr:rowOff>251460</xdr:rowOff>
                  </to>
                </anchor>
              </controlPr>
            </control>
          </mc:Choice>
        </mc:AlternateContent>
        <mc:AlternateContent xmlns:mc="http://schemas.openxmlformats.org/markup-compatibility/2006">
          <mc:Choice Requires="x14">
            <control shapeId="5382" r:id="rId14" name="Button 262">
              <controlPr defaultSize="0" print="0" autoFill="0" autoPict="0" macro="[0]!DeleteSome">
                <anchor moveWithCells="1">
                  <from>
                    <xdr:col>2</xdr:col>
                    <xdr:colOff>502920</xdr:colOff>
                    <xdr:row>100</xdr:row>
                    <xdr:rowOff>0</xdr:rowOff>
                  </from>
                  <to>
                    <xdr:col>2</xdr:col>
                    <xdr:colOff>1859280</xdr:colOff>
                    <xdr:row>100</xdr:row>
                    <xdr:rowOff>243840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F000000}">
          <x14:formula1>
            <xm:f>'Lighting Assumptions'!$I$4:$I$17</xm:f>
          </x14:formula1>
          <xm:sqref>B138:E140</xm:sqref>
        </x14:dataValidation>
      </x14:dataValidations>
    </ex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C00000"/>
  </sheetPr>
  <dimension ref="A1:X96"/>
  <sheetViews>
    <sheetView showGridLines="0" zoomScale="85" zoomScaleNormal="85" zoomScalePageLayoutView="90" workbookViewId="0">
      <pane ySplit="2" topLeftCell="A3" activePane="bottomLeft" state="frozen"/>
      <selection activeCell="K10" sqref="K10"/>
      <selection pane="bottomLeft" activeCell="D14" sqref="D14"/>
    </sheetView>
  </sheetViews>
  <sheetFormatPr defaultColWidth="8.6640625" defaultRowHeight="13.2" x14ac:dyDescent="0.3"/>
  <cols>
    <col min="1" max="1" width="24.6640625" style="25" customWidth="1"/>
    <col min="2" max="3" width="10.6640625" style="25" customWidth="1"/>
    <col min="4" max="4" width="36" style="25" customWidth="1"/>
    <col min="5" max="7" width="10.6640625" style="25" customWidth="1"/>
    <col min="8" max="8" width="5.44140625" style="25" bestFit="1" customWidth="1"/>
    <col min="9" max="9" width="44.6640625" style="25" bestFit="1" customWidth="1"/>
    <col min="10" max="10" width="8.6640625" style="25"/>
    <col min="11" max="20" width="6.6640625" style="25" customWidth="1"/>
    <col min="21" max="21" width="4.6640625" style="25" customWidth="1"/>
    <col min="22" max="22" width="8.6640625" style="25"/>
    <col min="23" max="23" width="124.33203125" style="25" customWidth="1"/>
    <col min="24" max="24" width="10.6640625" style="25" customWidth="1"/>
    <col min="25" max="16384" width="8.6640625" style="25"/>
  </cols>
  <sheetData>
    <row r="1" spans="1:24" ht="93" customHeight="1" x14ac:dyDescent="0.3">
      <c r="A1" s="2294" t="s">
        <v>92</v>
      </c>
      <c r="B1" s="2295" t="s">
        <v>923</v>
      </c>
      <c r="C1" s="2299"/>
      <c r="D1" s="2294" t="s">
        <v>93</v>
      </c>
      <c r="E1" s="2295" t="s">
        <v>1227</v>
      </c>
      <c r="F1" s="2295"/>
      <c r="G1" s="2511" t="s">
        <v>1068</v>
      </c>
      <c r="H1" s="73"/>
      <c r="I1" s="2515" t="s">
        <v>113</v>
      </c>
      <c r="J1" s="2513" t="s">
        <v>115</v>
      </c>
      <c r="K1" s="383" t="s">
        <v>297</v>
      </c>
      <c r="L1" s="383" t="s">
        <v>288</v>
      </c>
      <c r="M1" s="383" t="s">
        <v>289</v>
      </c>
      <c r="N1" s="383" t="s">
        <v>290</v>
      </c>
      <c r="O1" s="385" t="s">
        <v>291</v>
      </c>
      <c r="P1" s="382" t="s">
        <v>297</v>
      </c>
      <c r="Q1" s="383" t="s">
        <v>288</v>
      </c>
      <c r="R1" s="383" t="s">
        <v>289</v>
      </c>
      <c r="S1" s="383" t="s">
        <v>290</v>
      </c>
      <c r="T1" s="384" t="s">
        <v>291</v>
      </c>
      <c r="V1" s="2517" t="s">
        <v>296</v>
      </c>
      <c r="W1" s="2509" t="s">
        <v>287</v>
      </c>
      <c r="X1" s="2511" t="s">
        <v>925</v>
      </c>
    </row>
    <row r="2" spans="1:24" ht="24" customHeight="1" x14ac:dyDescent="0.3">
      <c r="A2" s="2435"/>
      <c r="B2" s="37" t="s">
        <v>922</v>
      </c>
      <c r="C2" s="276" t="s">
        <v>924</v>
      </c>
      <c r="D2" s="2435"/>
      <c r="E2" s="37" t="s">
        <v>922</v>
      </c>
      <c r="F2" s="37" t="s">
        <v>924</v>
      </c>
      <c r="G2" s="2512"/>
      <c r="H2" s="73"/>
      <c r="I2" s="2516"/>
      <c r="J2" s="2514"/>
      <c r="K2" s="285" t="s">
        <v>816</v>
      </c>
      <c r="L2" s="285" t="s">
        <v>816</v>
      </c>
      <c r="M2" s="285" t="s">
        <v>816</v>
      </c>
      <c r="N2" s="285" t="s">
        <v>816</v>
      </c>
      <c r="O2" s="483" t="s">
        <v>816</v>
      </c>
      <c r="P2" s="274" t="s">
        <v>817</v>
      </c>
      <c r="Q2" s="285" t="s">
        <v>817</v>
      </c>
      <c r="R2" s="285" t="s">
        <v>817</v>
      </c>
      <c r="S2" s="285" t="s">
        <v>817</v>
      </c>
      <c r="T2" s="275" t="s">
        <v>817</v>
      </c>
      <c r="V2" s="2518"/>
      <c r="W2" s="2510"/>
      <c r="X2" s="2512"/>
    </row>
    <row r="3" spans="1:24" s="361" customFormat="1" ht="15" customHeight="1" x14ac:dyDescent="0.3">
      <c r="A3" s="356" t="s">
        <v>60</v>
      </c>
      <c r="B3" s="357">
        <v>0.82</v>
      </c>
      <c r="C3" s="358">
        <v>8.8000000000000007</v>
      </c>
      <c r="D3" s="614" t="s">
        <v>926</v>
      </c>
      <c r="E3" s="608">
        <v>0.03</v>
      </c>
      <c r="F3" s="608">
        <v>1.0589999999999999</v>
      </c>
      <c r="G3" s="609" t="s">
        <v>1069</v>
      </c>
      <c r="H3" s="359"/>
      <c r="I3" s="617"/>
      <c r="J3" s="620"/>
      <c r="K3" s="617" t="str">
        <f t="shared" ref="K3:T3" si="0">K1&amp;" "&amp;K2</f>
        <v>Zone 0 IP</v>
      </c>
      <c r="L3" s="618" t="str">
        <f t="shared" si="0"/>
        <v>Zone 1 IP</v>
      </c>
      <c r="M3" s="618" t="str">
        <f t="shared" si="0"/>
        <v>Zone 2 IP</v>
      </c>
      <c r="N3" s="618" t="str">
        <f t="shared" si="0"/>
        <v>Zone 3 IP</v>
      </c>
      <c r="O3" s="618" t="str">
        <f t="shared" si="0"/>
        <v>Zone 4 IP</v>
      </c>
      <c r="P3" s="618" t="str">
        <f t="shared" si="0"/>
        <v>Zone 0 SI</v>
      </c>
      <c r="Q3" s="618" t="str">
        <f t="shared" si="0"/>
        <v>Zone 1 SI</v>
      </c>
      <c r="R3" s="618" t="str">
        <f t="shared" si="0"/>
        <v>Zone 2 SI</v>
      </c>
      <c r="S3" s="618" t="str">
        <f t="shared" si="0"/>
        <v>Zone 3 SI</v>
      </c>
      <c r="T3" s="619" t="str">
        <f t="shared" si="0"/>
        <v>Zone 4 SI</v>
      </c>
      <c r="V3" s="378" t="s">
        <v>297</v>
      </c>
      <c r="W3" s="379" t="s">
        <v>298</v>
      </c>
      <c r="X3" s="360">
        <v>0</v>
      </c>
    </row>
    <row r="4" spans="1:24" s="361" customFormat="1" ht="15" customHeight="1" x14ac:dyDescent="0.3">
      <c r="A4" s="362" t="s">
        <v>61</v>
      </c>
      <c r="B4" s="363">
        <v>1.08</v>
      </c>
      <c r="C4" s="364">
        <v>11.6</v>
      </c>
      <c r="D4" s="373" t="s">
        <v>927</v>
      </c>
      <c r="E4" s="610">
        <v>0.02</v>
      </c>
      <c r="F4" s="610">
        <v>0.70599999999999996</v>
      </c>
      <c r="G4" s="611" t="s">
        <v>1069</v>
      </c>
      <c r="H4" s="359"/>
      <c r="I4" s="484" t="s">
        <v>318</v>
      </c>
      <c r="J4" s="485" t="s">
        <v>110</v>
      </c>
      <c r="K4" s="486">
        <v>0</v>
      </c>
      <c r="L4" s="487">
        <v>0.04</v>
      </c>
      <c r="M4" s="487">
        <v>0.06</v>
      </c>
      <c r="N4" s="487">
        <v>0.1</v>
      </c>
      <c r="O4" s="488">
        <v>0.13</v>
      </c>
      <c r="P4" s="489">
        <v>0</v>
      </c>
      <c r="Q4" s="487">
        <v>0.43</v>
      </c>
      <c r="R4" s="487">
        <v>0.65</v>
      </c>
      <c r="S4" s="487">
        <v>1.1000000000000001</v>
      </c>
      <c r="T4" s="490">
        <v>1.4</v>
      </c>
      <c r="V4" s="365" t="s">
        <v>288</v>
      </c>
      <c r="W4" s="380" t="s">
        <v>292</v>
      </c>
      <c r="X4" s="368">
        <v>500</v>
      </c>
    </row>
    <row r="5" spans="1:24" s="361" customFormat="1" ht="15" customHeight="1" x14ac:dyDescent="0.3">
      <c r="A5" s="362" t="s">
        <v>62</v>
      </c>
      <c r="B5" s="363">
        <v>1.05</v>
      </c>
      <c r="C5" s="364">
        <v>11.3</v>
      </c>
      <c r="D5" s="373" t="s">
        <v>1963</v>
      </c>
      <c r="E5" s="610">
        <v>0.79</v>
      </c>
      <c r="F5" s="610">
        <v>8.5</v>
      </c>
      <c r="G5" s="611">
        <v>6</v>
      </c>
      <c r="H5" s="359"/>
      <c r="I5" s="365" t="s">
        <v>97</v>
      </c>
      <c r="J5" s="368" t="s">
        <v>111</v>
      </c>
      <c r="K5" s="366">
        <v>0</v>
      </c>
      <c r="L5" s="367">
        <v>0.7</v>
      </c>
      <c r="M5" s="367">
        <v>0.7</v>
      </c>
      <c r="N5" s="367">
        <v>0.8</v>
      </c>
      <c r="O5" s="396">
        <v>1</v>
      </c>
      <c r="P5" s="365">
        <v>0</v>
      </c>
      <c r="Q5" s="367">
        <v>2.2999999999999998</v>
      </c>
      <c r="R5" s="367">
        <v>2.2999999999999998</v>
      </c>
      <c r="S5" s="367">
        <v>2.6</v>
      </c>
      <c r="T5" s="398">
        <v>3.3</v>
      </c>
      <c r="V5" s="365" t="s">
        <v>289</v>
      </c>
      <c r="W5" s="340" t="s">
        <v>295</v>
      </c>
      <c r="X5" s="368">
        <v>600</v>
      </c>
    </row>
    <row r="6" spans="1:24" s="361" customFormat="1" ht="15" customHeight="1" x14ac:dyDescent="0.3">
      <c r="A6" s="362" t="s">
        <v>63</v>
      </c>
      <c r="B6" s="363">
        <v>0.99</v>
      </c>
      <c r="C6" s="364">
        <v>10.7</v>
      </c>
      <c r="D6" s="373" t="s">
        <v>1964</v>
      </c>
      <c r="E6" s="610">
        <v>2.4300000000000002</v>
      </c>
      <c r="F6" s="610">
        <v>26.2</v>
      </c>
      <c r="G6" s="611">
        <v>8</v>
      </c>
      <c r="H6" s="359"/>
      <c r="I6" s="365" t="s">
        <v>98</v>
      </c>
      <c r="J6" s="368" t="s">
        <v>110</v>
      </c>
      <c r="K6" s="366">
        <v>0</v>
      </c>
      <c r="L6" s="367">
        <v>0.14000000000000001</v>
      </c>
      <c r="M6" s="367">
        <v>0.14000000000000001</v>
      </c>
      <c r="N6" s="367">
        <v>0.16</v>
      </c>
      <c r="O6" s="396">
        <v>0.2</v>
      </c>
      <c r="P6" s="365">
        <v>0</v>
      </c>
      <c r="Q6" s="367">
        <v>1.5</v>
      </c>
      <c r="R6" s="367">
        <v>1.5</v>
      </c>
      <c r="S6" s="367">
        <v>1.7</v>
      </c>
      <c r="T6" s="398">
        <v>2.2000000000000002</v>
      </c>
      <c r="V6" s="365" t="s">
        <v>290</v>
      </c>
      <c r="W6" s="380" t="s">
        <v>293</v>
      </c>
      <c r="X6" s="368">
        <v>750</v>
      </c>
    </row>
    <row r="7" spans="1:24" s="361" customFormat="1" ht="15" customHeight="1" x14ac:dyDescent="0.3">
      <c r="A7" s="362" t="s">
        <v>64</v>
      </c>
      <c r="B7" s="363">
        <v>0.9</v>
      </c>
      <c r="C7" s="364">
        <v>9.6999999999999993</v>
      </c>
      <c r="D7" s="373" t="s">
        <v>1965</v>
      </c>
      <c r="E7" s="610">
        <v>1.1399999999999999</v>
      </c>
      <c r="F7" s="610">
        <v>12.3</v>
      </c>
      <c r="G7" s="611">
        <v>4</v>
      </c>
      <c r="H7" s="359"/>
      <c r="I7" s="365" t="s">
        <v>99</v>
      </c>
      <c r="J7" s="368" t="s">
        <v>110</v>
      </c>
      <c r="K7" s="366">
        <v>0</v>
      </c>
      <c r="L7" s="367">
        <v>0.14000000000000001</v>
      </c>
      <c r="M7" s="367">
        <v>0.14000000000000001</v>
      </c>
      <c r="N7" s="367">
        <v>0.16</v>
      </c>
      <c r="O7" s="396">
        <v>0.2</v>
      </c>
      <c r="P7" s="365">
        <v>0</v>
      </c>
      <c r="Q7" s="367">
        <v>1.5</v>
      </c>
      <c r="R7" s="367">
        <v>1.5</v>
      </c>
      <c r="S7" s="367">
        <v>1.7</v>
      </c>
      <c r="T7" s="398">
        <v>2.2000000000000002</v>
      </c>
      <c r="V7" s="369" t="s">
        <v>291</v>
      </c>
      <c r="W7" s="381" t="s">
        <v>294</v>
      </c>
      <c r="X7" s="372">
        <v>1300</v>
      </c>
    </row>
    <row r="8" spans="1:24" s="361" customFormat="1" ht="15" customHeight="1" x14ac:dyDescent="0.3">
      <c r="A8" s="362" t="s">
        <v>65</v>
      </c>
      <c r="B8" s="363">
        <v>0.89</v>
      </c>
      <c r="C8" s="364">
        <v>9.6</v>
      </c>
      <c r="D8" s="373" t="s">
        <v>930</v>
      </c>
      <c r="E8" s="610">
        <v>1.24</v>
      </c>
      <c r="F8" s="610">
        <v>13.3</v>
      </c>
      <c r="G8" s="611">
        <v>4</v>
      </c>
      <c r="H8" s="359"/>
      <c r="I8" s="365" t="s">
        <v>100</v>
      </c>
      <c r="J8" s="368" t="s">
        <v>110</v>
      </c>
      <c r="K8" s="366">
        <v>0</v>
      </c>
      <c r="L8" s="367">
        <v>0.75</v>
      </c>
      <c r="M8" s="367">
        <v>1</v>
      </c>
      <c r="N8" s="367">
        <v>1</v>
      </c>
      <c r="O8" s="396">
        <v>1</v>
      </c>
      <c r="P8" s="365">
        <v>0</v>
      </c>
      <c r="Q8" s="367">
        <v>1.5</v>
      </c>
      <c r="R8" s="367">
        <v>1.5</v>
      </c>
      <c r="S8" s="367">
        <v>1.7</v>
      </c>
      <c r="T8" s="398">
        <v>2.2000000000000002</v>
      </c>
    </row>
    <row r="9" spans="1:24" s="361" customFormat="1" ht="15" customHeight="1" x14ac:dyDescent="0.3">
      <c r="A9" s="362" t="s">
        <v>66</v>
      </c>
      <c r="B9" s="363">
        <v>0.61</v>
      </c>
      <c r="C9" s="364">
        <v>6.6</v>
      </c>
      <c r="D9" s="373" t="s">
        <v>931</v>
      </c>
      <c r="E9" s="610">
        <v>1.23</v>
      </c>
      <c r="F9" s="610">
        <v>13.2</v>
      </c>
      <c r="G9" s="611">
        <v>6</v>
      </c>
      <c r="H9" s="359"/>
      <c r="I9" s="365" t="s">
        <v>1182</v>
      </c>
      <c r="J9" s="368" t="s">
        <v>110</v>
      </c>
      <c r="K9" s="366">
        <v>0</v>
      </c>
      <c r="L9" s="367">
        <v>0.15</v>
      </c>
      <c r="M9" s="367">
        <v>0.15</v>
      </c>
      <c r="N9" s="367">
        <v>0.2</v>
      </c>
      <c r="O9" s="396">
        <v>0.3</v>
      </c>
      <c r="P9" s="365">
        <v>0</v>
      </c>
      <c r="Q9" s="367">
        <v>1.6</v>
      </c>
      <c r="R9" s="367">
        <v>1.6</v>
      </c>
      <c r="S9" s="367">
        <v>2.2000000000000002</v>
      </c>
      <c r="T9" s="398">
        <v>3.2</v>
      </c>
    </row>
    <row r="10" spans="1:24" s="361" customFormat="1" ht="15" customHeight="1" x14ac:dyDescent="0.3">
      <c r="A10" s="362" t="s">
        <v>67</v>
      </c>
      <c r="B10" s="363">
        <v>0.88</v>
      </c>
      <c r="C10" s="364">
        <v>9.5</v>
      </c>
      <c r="D10" s="373" t="s">
        <v>932</v>
      </c>
      <c r="E10" s="610">
        <v>0.66</v>
      </c>
      <c r="F10" s="610">
        <v>7.1</v>
      </c>
      <c r="G10" s="611" t="s">
        <v>1071</v>
      </c>
      <c r="H10" s="359"/>
      <c r="I10" s="365" t="s">
        <v>1183</v>
      </c>
      <c r="J10" s="368" t="s">
        <v>110</v>
      </c>
      <c r="K10" s="366">
        <v>0</v>
      </c>
      <c r="L10" s="367">
        <v>0.04</v>
      </c>
      <c r="M10" s="367">
        <v>0.05</v>
      </c>
      <c r="N10" s="367">
        <v>0.05</v>
      </c>
      <c r="O10" s="396">
        <v>0.05</v>
      </c>
      <c r="P10" s="365">
        <v>0</v>
      </c>
      <c r="Q10" s="367">
        <v>0.43</v>
      </c>
      <c r="R10" s="367">
        <v>0.54</v>
      </c>
      <c r="S10" s="367">
        <v>0.54</v>
      </c>
      <c r="T10" s="398">
        <v>0.54</v>
      </c>
    </row>
    <row r="11" spans="1:24" s="361" customFormat="1" ht="15" customHeight="1" x14ac:dyDescent="0.3">
      <c r="A11" s="362" t="s">
        <v>270</v>
      </c>
      <c r="B11" s="363">
        <v>0.71</v>
      </c>
      <c r="C11" s="364">
        <v>7.6</v>
      </c>
      <c r="D11" s="373" t="s">
        <v>928</v>
      </c>
      <c r="E11" s="610">
        <v>1.31</v>
      </c>
      <c r="F11" s="610">
        <v>14.1</v>
      </c>
      <c r="G11" s="611">
        <v>4</v>
      </c>
      <c r="H11" s="359"/>
      <c r="I11" s="365" t="s">
        <v>101</v>
      </c>
      <c r="J11" s="368" t="s">
        <v>110</v>
      </c>
      <c r="K11" s="366">
        <v>0</v>
      </c>
      <c r="L11" s="367">
        <v>0.75</v>
      </c>
      <c r="M11" s="367">
        <v>1</v>
      </c>
      <c r="N11" s="367">
        <v>1</v>
      </c>
      <c r="O11" s="396">
        <v>1</v>
      </c>
      <c r="P11" s="365">
        <v>0</v>
      </c>
      <c r="Q11" s="367">
        <v>8.1</v>
      </c>
      <c r="R11" s="367">
        <v>10.8</v>
      </c>
      <c r="S11" s="367">
        <v>10.8</v>
      </c>
      <c r="T11" s="398">
        <v>10.8</v>
      </c>
    </row>
    <row r="12" spans="1:24" s="361" customFormat="1" ht="15" customHeight="1" x14ac:dyDescent="0.3">
      <c r="A12" s="362" t="s">
        <v>68</v>
      </c>
      <c r="B12" s="363">
        <v>1</v>
      </c>
      <c r="C12" s="364">
        <v>10.8</v>
      </c>
      <c r="D12" s="373" t="s">
        <v>929</v>
      </c>
      <c r="E12" s="610">
        <v>0.89</v>
      </c>
      <c r="F12" s="610">
        <v>9.6</v>
      </c>
      <c r="G12" s="611">
        <v>4</v>
      </c>
      <c r="H12" s="359"/>
      <c r="I12" s="365" t="s">
        <v>102</v>
      </c>
      <c r="J12" s="368" t="s">
        <v>111</v>
      </c>
      <c r="K12" s="366">
        <v>0</v>
      </c>
      <c r="L12" s="367">
        <v>20</v>
      </c>
      <c r="M12" s="367">
        <v>20</v>
      </c>
      <c r="N12" s="367">
        <v>30</v>
      </c>
      <c r="O12" s="396">
        <v>30</v>
      </c>
      <c r="P12" s="365">
        <v>0</v>
      </c>
      <c r="Q12" s="367">
        <v>66</v>
      </c>
      <c r="R12" s="367">
        <v>66</v>
      </c>
      <c r="S12" s="367">
        <v>98</v>
      </c>
      <c r="T12" s="398">
        <v>98</v>
      </c>
    </row>
    <row r="13" spans="1:24" s="361" customFormat="1" ht="15" customHeight="1" x14ac:dyDescent="0.3">
      <c r="A13" s="362" t="s">
        <v>69</v>
      </c>
      <c r="B13" s="363">
        <v>0.87</v>
      </c>
      <c r="C13" s="364">
        <v>9.4</v>
      </c>
      <c r="D13" s="373" t="s">
        <v>1983</v>
      </c>
      <c r="E13" s="610">
        <v>0.4</v>
      </c>
      <c r="F13" s="610">
        <v>4.3</v>
      </c>
      <c r="G13" s="611">
        <v>6</v>
      </c>
      <c r="H13" s="359"/>
      <c r="I13" s="365" t="s">
        <v>103</v>
      </c>
      <c r="J13" s="368" t="s">
        <v>111</v>
      </c>
      <c r="K13" s="366">
        <v>0</v>
      </c>
      <c r="L13" s="367">
        <v>20</v>
      </c>
      <c r="M13" s="367">
        <v>20</v>
      </c>
      <c r="N13" s="367">
        <v>20</v>
      </c>
      <c r="O13" s="396">
        <v>20</v>
      </c>
      <c r="P13" s="365">
        <v>0</v>
      </c>
      <c r="Q13" s="367">
        <v>66</v>
      </c>
      <c r="R13" s="367">
        <v>66</v>
      </c>
      <c r="S13" s="367">
        <v>66</v>
      </c>
      <c r="T13" s="398">
        <v>66</v>
      </c>
    </row>
    <row r="14" spans="1:24" s="361" customFormat="1" ht="15" customHeight="1" x14ac:dyDescent="0.3">
      <c r="A14" s="362" t="s">
        <v>70</v>
      </c>
      <c r="B14" s="363">
        <v>1.21</v>
      </c>
      <c r="C14" s="364">
        <v>13</v>
      </c>
      <c r="D14" s="373" t="s">
        <v>933</v>
      </c>
      <c r="E14" s="610">
        <v>0.95</v>
      </c>
      <c r="F14" s="610">
        <v>10.199999999999999</v>
      </c>
      <c r="G14" s="611">
        <v>6</v>
      </c>
      <c r="H14" s="359"/>
      <c r="I14" s="365" t="s">
        <v>1181</v>
      </c>
      <c r="J14" s="368" t="s">
        <v>110</v>
      </c>
      <c r="K14" s="366">
        <v>0</v>
      </c>
      <c r="L14" s="367">
        <v>0.25</v>
      </c>
      <c r="M14" s="367">
        <v>0.25</v>
      </c>
      <c r="N14" s="367">
        <v>0.4</v>
      </c>
      <c r="O14" s="396">
        <v>0.4</v>
      </c>
      <c r="P14" s="365">
        <v>0</v>
      </c>
      <c r="Q14" s="367">
        <v>2.7</v>
      </c>
      <c r="R14" s="367">
        <v>2.7</v>
      </c>
      <c r="S14" s="367">
        <v>4.3</v>
      </c>
      <c r="T14" s="398">
        <v>4.3</v>
      </c>
    </row>
    <row r="15" spans="1:24" s="361" customFormat="1" ht="15" customHeight="1" x14ac:dyDescent="0.3">
      <c r="A15" s="362" t="s">
        <v>71</v>
      </c>
      <c r="B15" s="363">
        <v>1</v>
      </c>
      <c r="C15" s="364">
        <v>10.8</v>
      </c>
      <c r="D15" s="373" t="s">
        <v>934</v>
      </c>
      <c r="E15" s="610">
        <v>0.99</v>
      </c>
      <c r="F15" s="610">
        <v>10.7</v>
      </c>
      <c r="G15" s="611">
        <v>6</v>
      </c>
      <c r="H15" s="359"/>
      <c r="I15" s="365" t="s">
        <v>1184</v>
      </c>
      <c r="J15" s="368" t="s">
        <v>110</v>
      </c>
      <c r="K15" s="366">
        <v>0</v>
      </c>
      <c r="L15" s="367">
        <v>0.6</v>
      </c>
      <c r="M15" s="367">
        <v>0.6</v>
      </c>
      <c r="N15" s="367">
        <v>0.8</v>
      </c>
      <c r="O15" s="396">
        <v>1</v>
      </c>
      <c r="P15" s="365">
        <v>0</v>
      </c>
      <c r="Q15" s="367">
        <v>6.5</v>
      </c>
      <c r="R15" s="367">
        <v>6.5</v>
      </c>
      <c r="S15" s="367">
        <v>8.6</v>
      </c>
      <c r="T15" s="398">
        <v>10.8</v>
      </c>
    </row>
    <row r="16" spans="1:24" s="361" customFormat="1" ht="15" customHeight="1" x14ac:dyDescent="0.3">
      <c r="A16" s="362" t="s">
        <v>72</v>
      </c>
      <c r="B16" s="363">
        <v>1.18</v>
      </c>
      <c r="C16" s="364">
        <v>12.7</v>
      </c>
      <c r="D16" s="373" t="s">
        <v>272</v>
      </c>
      <c r="E16" s="610">
        <v>1.28</v>
      </c>
      <c r="F16" s="610">
        <v>13.8</v>
      </c>
      <c r="G16" s="611">
        <v>6</v>
      </c>
      <c r="H16" s="359"/>
      <c r="I16" s="365" t="s">
        <v>1180</v>
      </c>
      <c r="J16" s="368" t="s">
        <v>110</v>
      </c>
      <c r="K16" s="366">
        <v>0</v>
      </c>
      <c r="L16" s="367">
        <v>0.25</v>
      </c>
      <c r="M16" s="367">
        <v>0.25</v>
      </c>
      <c r="N16" s="367">
        <v>0.5</v>
      </c>
      <c r="O16" s="396">
        <v>0.7</v>
      </c>
      <c r="P16" s="365">
        <v>0</v>
      </c>
      <c r="Q16" s="367">
        <v>2.7</v>
      </c>
      <c r="R16" s="367">
        <v>2.7</v>
      </c>
      <c r="S16" s="367">
        <v>5.4</v>
      </c>
      <c r="T16" s="398">
        <v>7.5</v>
      </c>
    </row>
    <row r="17" spans="1:20" s="361" customFormat="1" ht="15" customHeight="1" x14ac:dyDescent="0.3">
      <c r="A17" s="362" t="s">
        <v>73</v>
      </c>
      <c r="B17" s="363">
        <v>1.1100000000000001</v>
      </c>
      <c r="C17" s="364">
        <v>11.9</v>
      </c>
      <c r="D17" s="373" t="s">
        <v>273</v>
      </c>
      <c r="E17" s="610">
        <v>1.81</v>
      </c>
      <c r="F17" s="610">
        <v>19.5</v>
      </c>
      <c r="G17" s="611">
        <v>6</v>
      </c>
      <c r="H17" s="359"/>
      <c r="I17" s="369" t="s">
        <v>104</v>
      </c>
      <c r="J17" s="372" t="s">
        <v>111</v>
      </c>
      <c r="K17" s="370">
        <v>0</v>
      </c>
      <c r="L17" s="371">
        <v>0</v>
      </c>
      <c r="M17" s="371">
        <v>10</v>
      </c>
      <c r="N17" s="371">
        <v>10</v>
      </c>
      <c r="O17" s="397">
        <v>30</v>
      </c>
      <c r="P17" s="369">
        <v>0</v>
      </c>
      <c r="Q17" s="371">
        <v>0</v>
      </c>
      <c r="R17" s="371">
        <v>33</v>
      </c>
      <c r="S17" s="371">
        <v>33</v>
      </c>
      <c r="T17" s="399">
        <v>98</v>
      </c>
    </row>
    <row r="18" spans="1:20" s="361" customFormat="1" ht="15" customHeight="1" x14ac:dyDescent="0.3">
      <c r="A18" s="362" t="s">
        <v>74</v>
      </c>
      <c r="B18" s="363">
        <v>0.88</v>
      </c>
      <c r="C18" s="364">
        <v>9.5</v>
      </c>
      <c r="D18" s="373" t="s">
        <v>1070</v>
      </c>
      <c r="E18" s="610">
        <v>0.9</v>
      </c>
      <c r="F18" s="610">
        <v>9.68</v>
      </c>
      <c r="G18" s="611">
        <v>4</v>
      </c>
      <c r="H18" s="359"/>
      <c r="I18" s="281"/>
      <c r="K18" s="281"/>
      <c r="P18" s="281"/>
    </row>
    <row r="19" spans="1:20" s="361" customFormat="1" ht="15" customHeight="1" x14ac:dyDescent="0.3">
      <c r="A19" s="362" t="s">
        <v>75</v>
      </c>
      <c r="B19" s="363">
        <v>0.83</v>
      </c>
      <c r="C19" s="364">
        <v>8.9</v>
      </c>
      <c r="D19" s="373" t="s">
        <v>935</v>
      </c>
      <c r="E19" s="610">
        <v>0.64</v>
      </c>
      <c r="F19" s="610">
        <v>6.88</v>
      </c>
      <c r="G19" s="611">
        <v>6</v>
      </c>
      <c r="H19" s="359"/>
      <c r="I19" s="281"/>
      <c r="K19" s="281"/>
      <c r="P19" s="281"/>
    </row>
    <row r="20" spans="1:20" s="361" customFormat="1" ht="15" customHeight="1" x14ac:dyDescent="0.3">
      <c r="A20" s="362" t="s">
        <v>76</v>
      </c>
      <c r="B20" s="363">
        <v>0.6</v>
      </c>
      <c r="C20" s="364">
        <v>6.5</v>
      </c>
      <c r="D20" s="373" t="s">
        <v>936</v>
      </c>
      <c r="E20" s="610">
        <v>2</v>
      </c>
      <c r="F20" s="610">
        <v>21.5</v>
      </c>
      <c r="G20" s="611">
        <v>6</v>
      </c>
      <c r="H20" s="359"/>
      <c r="I20" s="281"/>
      <c r="K20" s="281"/>
      <c r="P20" s="281"/>
    </row>
    <row r="21" spans="1:20" s="361" customFormat="1" ht="15" customHeight="1" x14ac:dyDescent="0.3">
      <c r="A21" s="362" t="s">
        <v>77</v>
      </c>
      <c r="B21" s="363">
        <v>1.06</v>
      </c>
      <c r="C21" s="364">
        <v>11.4</v>
      </c>
      <c r="D21" s="373" t="s">
        <v>937</v>
      </c>
      <c r="E21" s="610">
        <v>0.52</v>
      </c>
      <c r="F21" s="610">
        <v>5.6</v>
      </c>
      <c r="G21" s="611">
        <v>4</v>
      </c>
      <c r="H21" s="359"/>
      <c r="I21" s="281"/>
      <c r="K21" s="281"/>
      <c r="P21" s="281"/>
    </row>
    <row r="22" spans="1:20" s="361" customFormat="1" ht="15" customHeight="1" x14ac:dyDescent="0.3">
      <c r="A22" s="362" t="s">
        <v>78</v>
      </c>
      <c r="B22" s="363">
        <v>0.9</v>
      </c>
      <c r="C22" s="364">
        <v>9.6999999999999993</v>
      </c>
      <c r="D22" s="373" t="s">
        <v>938</v>
      </c>
      <c r="E22" s="610">
        <v>0.75</v>
      </c>
      <c r="F22" s="610">
        <v>8.1</v>
      </c>
      <c r="G22" s="611">
        <v>6</v>
      </c>
      <c r="H22" s="359"/>
    </row>
    <row r="23" spans="1:20" s="361" customFormat="1" ht="15" customHeight="1" x14ac:dyDescent="0.3">
      <c r="A23" s="362" t="s">
        <v>79</v>
      </c>
      <c r="B23" s="363">
        <v>0.25</v>
      </c>
      <c r="C23" s="364">
        <v>2.7</v>
      </c>
      <c r="D23" s="373" t="s">
        <v>939</v>
      </c>
      <c r="E23" s="610">
        <v>0.73</v>
      </c>
      <c r="F23" s="610">
        <v>7.9</v>
      </c>
      <c r="G23" s="611">
        <v>4</v>
      </c>
      <c r="H23" s="359"/>
    </row>
    <row r="24" spans="1:20" s="361" customFormat="1" ht="15" customHeight="1" x14ac:dyDescent="0.3">
      <c r="A24" s="362" t="s">
        <v>80</v>
      </c>
      <c r="B24" s="363">
        <v>0.97</v>
      </c>
      <c r="C24" s="364">
        <v>10.4</v>
      </c>
      <c r="D24" s="373" t="s">
        <v>274</v>
      </c>
      <c r="E24" s="610">
        <v>1.1100000000000001</v>
      </c>
      <c r="F24" s="610">
        <v>11.9</v>
      </c>
      <c r="G24" s="611">
        <v>8</v>
      </c>
      <c r="H24" s="359"/>
    </row>
    <row r="25" spans="1:20" s="361" customFormat="1" ht="15" customHeight="1" x14ac:dyDescent="0.3">
      <c r="A25" s="362" t="s">
        <v>81</v>
      </c>
      <c r="B25" s="363">
        <v>1.39</v>
      </c>
      <c r="C25" s="364">
        <v>15</v>
      </c>
      <c r="D25" s="373" t="s">
        <v>275</v>
      </c>
      <c r="E25" s="610">
        <v>0.98</v>
      </c>
      <c r="F25" s="610">
        <v>10.5</v>
      </c>
      <c r="G25" s="611">
        <v>4</v>
      </c>
      <c r="H25" s="359"/>
    </row>
    <row r="26" spans="1:20" s="361" customFormat="1" ht="15" customHeight="1" x14ac:dyDescent="0.3">
      <c r="A26" s="362" t="s">
        <v>271</v>
      </c>
      <c r="B26" s="363">
        <v>0.96</v>
      </c>
      <c r="C26" s="364">
        <v>10.3</v>
      </c>
      <c r="D26" s="373" t="s">
        <v>91</v>
      </c>
      <c r="E26" s="610">
        <v>0.98</v>
      </c>
      <c r="F26" s="610">
        <v>10.5</v>
      </c>
      <c r="G26" s="611">
        <v>8</v>
      </c>
      <c r="H26" s="359"/>
    </row>
    <row r="27" spans="1:20" s="361" customFormat="1" ht="15" customHeight="1" x14ac:dyDescent="0.3">
      <c r="A27" s="362" t="s">
        <v>82</v>
      </c>
      <c r="B27" s="363">
        <v>0.87</v>
      </c>
      <c r="C27" s="364">
        <v>9.4</v>
      </c>
      <c r="D27" s="373" t="s">
        <v>940</v>
      </c>
      <c r="E27" s="610">
        <v>1.68</v>
      </c>
      <c r="F27" s="610">
        <v>18.100000000000001</v>
      </c>
      <c r="G27" s="611">
        <v>6</v>
      </c>
      <c r="H27" s="359"/>
    </row>
    <row r="28" spans="1:20" s="361" customFormat="1" ht="15" customHeight="1" x14ac:dyDescent="0.3">
      <c r="A28" s="362" t="s">
        <v>83</v>
      </c>
      <c r="B28" s="363">
        <v>1.05</v>
      </c>
      <c r="C28" s="364">
        <v>11.3</v>
      </c>
      <c r="D28" s="373" t="s">
        <v>276</v>
      </c>
      <c r="E28" s="610">
        <v>0.69</v>
      </c>
      <c r="F28" s="610">
        <v>7.4</v>
      </c>
      <c r="G28" s="611">
        <v>10</v>
      </c>
      <c r="H28" s="359"/>
    </row>
    <row r="29" spans="1:20" s="361" customFormat="1" ht="15" customHeight="1" x14ac:dyDescent="0.3">
      <c r="A29" s="362" t="s">
        <v>84</v>
      </c>
      <c r="B29" s="363">
        <v>1.4</v>
      </c>
      <c r="C29" s="364">
        <v>15.1</v>
      </c>
      <c r="D29" s="373" t="s">
        <v>277</v>
      </c>
      <c r="E29" s="610">
        <v>0.63</v>
      </c>
      <c r="F29" s="610">
        <v>6.8</v>
      </c>
      <c r="G29" s="611">
        <v>6</v>
      </c>
      <c r="H29" s="359"/>
    </row>
    <row r="30" spans="1:20" s="361" customFormat="1" ht="15" customHeight="1" x14ac:dyDescent="0.3">
      <c r="A30" s="362" t="s">
        <v>85</v>
      </c>
      <c r="B30" s="363">
        <v>0.99</v>
      </c>
      <c r="C30" s="364">
        <v>10.7</v>
      </c>
      <c r="D30" s="373" t="s">
        <v>90</v>
      </c>
      <c r="E30" s="610">
        <v>1.59</v>
      </c>
      <c r="F30" s="610">
        <v>17.100000000000001</v>
      </c>
      <c r="G30" s="611">
        <v>6</v>
      </c>
      <c r="H30" s="359"/>
    </row>
    <row r="31" spans="1:20" s="361" customFormat="1" ht="15" customHeight="1" x14ac:dyDescent="0.3">
      <c r="A31" s="362" t="s">
        <v>86</v>
      </c>
      <c r="B31" s="363">
        <v>0.78</v>
      </c>
      <c r="C31" s="364">
        <v>8.4</v>
      </c>
      <c r="D31" s="373" t="s">
        <v>278</v>
      </c>
      <c r="E31" s="610">
        <v>0.67</v>
      </c>
      <c r="F31" s="610">
        <v>7.2</v>
      </c>
      <c r="G31" s="611">
        <v>4</v>
      </c>
      <c r="H31" s="359"/>
    </row>
    <row r="32" spans="1:20" s="361" customFormat="1" ht="15" customHeight="1" x14ac:dyDescent="0.3">
      <c r="A32" s="362" t="s">
        <v>87</v>
      </c>
      <c r="B32" s="363">
        <v>0.92</v>
      </c>
      <c r="C32" s="364">
        <v>9.9</v>
      </c>
      <c r="D32" s="373" t="s">
        <v>941</v>
      </c>
      <c r="E32" s="610">
        <v>1.38</v>
      </c>
      <c r="F32" s="610">
        <v>14.9</v>
      </c>
      <c r="G32" s="611">
        <v>6</v>
      </c>
      <c r="H32" s="359"/>
    </row>
    <row r="33" spans="1:8" s="361" customFormat="1" ht="15" customHeight="1" x14ac:dyDescent="0.3">
      <c r="A33" s="362" t="s">
        <v>88</v>
      </c>
      <c r="B33" s="363">
        <v>0.77</v>
      </c>
      <c r="C33" s="364">
        <v>8.3000000000000007</v>
      </c>
      <c r="D33" s="373" t="s">
        <v>942</v>
      </c>
      <c r="E33" s="610">
        <v>0.82</v>
      </c>
      <c r="F33" s="610">
        <v>8.8000000000000007</v>
      </c>
      <c r="G33" s="611">
        <v>4</v>
      </c>
      <c r="H33" s="359"/>
    </row>
    <row r="34" spans="1:8" s="361" customFormat="1" ht="15" customHeight="1" x14ac:dyDescent="0.3">
      <c r="A34" s="362" t="s">
        <v>89</v>
      </c>
      <c r="B34" s="363">
        <v>0.66</v>
      </c>
      <c r="C34" s="364">
        <v>7.1</v>
      </c>
      <c r="D34" s="373" t="s">
        <v>943</v>
      </c>
      <c r="E34" s="610">
        <v>1.45</v>
      </c>
      <c r="F34" s="610">
        <v>15.6</v>
      </c>
      <c r="G34" s="611">
        <v>4</v>
      </c>
      <c r="H34" s="359"/>
    </row>
    <row r="35" spans="1:8" s="361" customFormat="1" ht="15" customHeight="1" x14ac:dyDescent="0.3">
      <c r="A35" s="374" t="s">
        <v>90</v>
      </c>
      <c r="B35" s="375">
        <v>1.2</v>
      </c>
      <c r="C35" s="376">
        <v>12.9</v>
      </c>
      <c r="D35" s="373" t="s">
        <v>1966</v>
      </c>
      <c r="E35" s="610">
        <v>1.72</v>
      </c>
      <c r="F35" s="610">
        <v>18.5</v>
      </c>
      <c r="G35" s="611">
        <v>6</v>
      </c>
      <c r="H35" s="359"/>
    </row>
    <row r="36" spans="1:8" s="361" customFormat="1" ht="15" customHeight="1" x14ac:dyDescent="0.3">
      <c r="A36" s="377"/>
      <c r="B36" s="359"/>
      <c r="C36" s="359"/>
      <c r="D36" s="373" t="s">
        <v>1967</v>
      </c>
      <c r="E36" s="610">
        <v>1.1000000000000001</v>
      </c>
      <c r="F36" s="610">
        <v>11.8</v>
      </c>
      <c r="G36" s="611">
        <v>6</v>
      </c>
      <c r="H36" s="359"/>
    </row>
    <row r="37" spans="1:8" s="361" customFormat="1" ht="15" customHeight="1" x14ac:dyDescent="0.3">
      <c r="A37" s="377"/>
      <c r="B37" s="359"/>
      <c r="C37" s="359"/>
      <c r="D37" s="373" t="s">
        <v>1968</v>
      </c>
      <c r="E37" s="610">
        <v>1.17</v>
      </c>
      <c r="F37" s="610">
        <v>12.6</v>
      </c>
      <c r="G37" s="611">
        <v>8</v>
      </c>
      <c r="H37" s="359"/>
    </row>
    <row r="38" spans="1:8" s="361" customFormat="1" ht="15" customHeight="1" x14ac:dyDescent="0.3">
      <c r="A38" s="377"/>
      <c r="B38" s="359"/>
      <c r="C38" s="359"/>
      <c r="D38" s="373" t="s">
        <v>1971</v>
      </c>
      <c r="E38" s="610">
        <v>0.43</v>
      </c>
      <c r="F38" s="610">
        <v>4.5999999999999996</v>
      </c>
      <c r="G38" s="611">
        <v>4</v>
      </c>
      <c r="H38" s="359"/>
    </row>
    <row r="39" spans="1:8" s="361" customFormat="1" ht="15" customHeight="1" x14ac:dyDescent="0.3">
      <c r="A39" s="377"/>
      <c r="B39" s="359"/>
      <c r="C39" s="359"/>
      <c r="D39" s="373" t="s">
        <v>1972</v>
      </c>
      <c r="E39" s="610">
        <v>1.34</v>
      </c>
      <c r="F39" s="610">
        <v>14.4</v>
      </c>
      <c r="G39" s="611">
        <v>4</v>
      </c>
      <c r="H39" s="359"/>
    </row>
    <row r="40" spans="1:8" s="361" customFormat="1" ht="15" customHeight="1" x14ac:dyDescent="0.3">
      <c r="A40" s="377"/>
      <c r="B40" s="377"/>
      <c r="C40" s="377"/>
      <c r="D40" s="373" t="s">
        <v>1973</v>
      </c>
      <c r="E40" s="610">
        <v>1.07</v>
      </c>
      <c r="F40" s="610">
        <v>11.5</v>
      </c>
      <c r="G40" s="611">
        <v>6</v>
      </c>
      <c r="H40" s="359"/>
    </row>
    <row r="41" spans="1:8" s="361" customFormat="1" ht="15" customHeight="1" x14ac:dyDescent="0.3">
      <c r="A41" s="377"/>
      <c r="B41" s="377"/>
      <c r="C41" s="377"/>
      <c r="D41" s="373" t="s">
        <v>944</v>
      </c>
      <c r="E41" s="610">
        <v>0.38</v>
      </c>
      <c r="F41" s="610">
        <v>4.0999999999999996</v>
      </c>
      <c r="G41" s="611">
        <v>8</v>
      </c>
      <c r="H41" s="359"/>
    </row>
    <row r="42" spans="1:8" s="361" customFormat="1" ht="15" customHeight="1" x14ac:dyDescent="0.3">
      <c r="A42" s="377"/>
      <c r="B42" s="377"/>
      <c r="C42" s="377"/>
      <c r="D42" s="373" t="s">
        <v>945</v>
      </c>
      <c r="E42" s="610">
        <v>0.56000000000000005</v>
      </c>
      <c r="F42" s="610">
        <v>6</v>
      </c>
      <c r="G42" s="611">
        <v>4</v>
      </c>
      <c r="H42" s="359"/>
    </row>
    <row r="43" spans="1:8" s="361" customFormat="1" ht="15" customHeight="1" x14ac:dyDescent="0.3">
      <c r="A43" s="377"/>
      <c r="B43" s="377"/>
      <c r="C43" s="377"/>
      <c r="D43" s="373" t="s">
        <v>946</v>
      </c>
      <c r="E43" s="610">
        <v>0.25</v>
      </c>
      <c r="F43" s="610">
        <v>2.7</v>
      </c>
      <c r="G43" s="611">
        <v>6</v>
      </c>
      <c r="H43" s="359"/>
    </row>
    <row r="44" spans="1:8" s="361" customFormat="1" ht="15" customHeight="1" x14ac:dyDescent="0.3">
      <c r="A44" s="377"/>
      <c r="B44" s="377"/>
      <c r="C44" s="377"/>
      <c r="D44" s="373" t="s">
        <v>1969</v>
      </c>
      <c r="E44" s="610">
        <v>0.72</v>
      </c>
      <c r="F44" s="610">
        <v>7.8</v>
      </c>
      <c r="G44" s="611">
        <v>4</v>
      </c>
      <c r="H44" s="359"/>
    </row>
    <row r="45" spans="1:8" s="361" customFormat="1" ht="15" customHeight="1" x14ac:dyDescent="0.3">
      <c r="A45" s="377"/>
      <c r="B45" s="377"/>
      <c r="C45" s="377"/>
      <c r="D45" s="373" t="s">
        <v>1970</v>
      </c>
      <c r="E45" s="610">
        <v>0.43</v>
      </c>
      <c r="F45" s="610">
        <v>4.5999999999999996</v>
      </c>
      <c r="G45" s="611">
        <v>6</v>
      </c>
      <c r="H45" s="359"/>
    </row>
    <row r="46" spans="1:8" s="361" customFormat="1" ht="15" customHeight="1" x14ac:dyDescent="0.3">
      <c r="A46" s="377"/>
      <c r="B46" s="377"/>
      <c r="C46" s="377"/>
      <c r="D46" s="373" t="s">
        <v>947</v>
      </c>
      <c r="E46" s="610">
        <v>1.2</v>
      </c>
      <c r="F46" s="610">
        <v>12.9</v>
      </c>
      <c r="G46" s="611">
        <v>4</v>
      </c>
      <c r="H46" s="359"/>
    </row>
    <row r="47" spans="1:8" s="361" customFormat="1" ht="15" customHeight="1" x14ac:dyDescent="0.3">
      <c r="A47" s="377"/>
      <c r="B47" s="377"/>
      <c r="C47" s="377"/>
      <c r="D47" s="373" t="s">
        <v>948</v>
      </c>
      <c r="E47" s="610">
        <v>0.89</v>
      </c>
      <c r="F47" s="610">
        <v>9.6</v>
      </c>
      <c r="G47" s="611" t="s">
        <v>1071</v>
      </c>
      <c r="H47" s="359"/>
    </row>
    <row r="48" spans="1:8" s="361" customFormat="1" ht="15" customHeight="1" x14ac:dyDescent="0.3">
      <c r="A48" s="377"/>
      <c r="B48" s="377"/>
      <c r="C48" s="377"/>
      <c r="D48" s="373" t="s">
        <v>949</v>
      </c>
      <c r="E48" s="610">
        <v>2.2599999999999998</v>
      </c>
      <c r="F48" s="610">
        <v>24.3</v>
      </c>
      <c r="G48" s="611">
        <v>6</v>
      </c>
      <c r="H48" s="359"/>
    </row>
    <row r="49" spans="1:8" s="361" customFormat="1" ht="15" customHeight="1" x14ac:dyDescent="0.3">
      <c r="A49" s="377"/>
      <c r="B49" s="377"/>
      <c r="C49" s="377"/>
      <c r="D49" s="373" t="s">
        <v>950</v>
      </c>
      <c r="E49" s="610">
        <v>1.66</v>
      </c>
      <c r="F49" s="610">
        <v>17.899999999999999</v>
      </c>
      <c r="G49" s="611">
        <v>8</v>
      </c>
      <c r="H49" s="359"/>
    </row>
    <row r="50" spans="1:8" s="361" customFormat="1" ht="15" customHeight="1" x14ac:dyDescent="0.3">
      <c r="A50" s="377"/>
      <c r="B50" s="377"/>
      <c r="C50" s="377"/>
      <c r="D50" s="373" t="s">
        <v>951</v>
      </c>
      <c r="E50" s="610">
        <v>0.6</v>
      </c>
      <c r="F50" s="610">
        <v>6.5</v>
      </c>
      <c r="G50" s="611">
        <v>4</v>
      </c>
      <c r="H50" s="359"/>
    </row>
    <row r="51" spans="1:8" s="361" customFormat="1" ht="15" customHeight="1" x14ac:dyDescent="0.3">
      <c r="A51" s="377"/>
      <c r="B51" s="377"/>
      <c r="C51" s="377"/>
      <c r="D51" s="373" t="s">
        <v>952</v>
      </c>
      <c r="E51" s="610">
        <v>1.07</v>
      </c>
      <c r="F51" s="610">
        <v>11.5</v>
      </c>
      <c r="G51" s="611">
        <v>6</v>
      </c>
      <c r="H51" s="359"/>
    </row>
    <row r="52" spans="1:8" s="361" customFormat="1" ht="15" customHeight="1" x14ac:dyDescent="0.3">
      <c r="A52" s="377"/>
      <c r="B52" s="377"/>
      <c r="C52" s="377"/>
      <c r="D52" s="373" t="s">
        <v>953</v>
      </c>
      <c r="E52" s="610">
        <v>1.27</v>
      </c>
      <c r="F52" s="610">
        <v>13.7</v>
      </c>
      <c r="G52" s="611">
        <v>6</v>
      </c>
      <c r="H52" s="359"/>
    </row>
    <row r="53" spans="1:8" s="361" customFormat="1" ht="15" customHeight="1" x14ac:dyDescent="0.3">
      <c r="A53" s="377"/>
      <c r="B53" s="377"/>
      <c r="C53" s="377"/>
      <c r="D53" s="373" t="s">
        <v>954</v>
      </c>
      <c r="E53" s="610">
        <v>0.88</v>
      </c>
      <c r="F53" s="610">
        <v>9.5</v>
      </c>
      <c r="G53" s="611">
        <v>6</v>
      </c>
      <c r="H53" s="359"/>
    </row>
    <row r="54" spans="1:8" s="361" customFormat="1" ht="15" customHeight="1" x14ac:dyDescent="0.3">
      <c r="A54" s="377"/>
      <c r="B54" s="377"/>
      <c r="C54" s="377"/>
      <c r="D54" s="373" t="s">
        <v>955</v>
      </c>
      <c r="E54" s="610">
        <v>0.87</v>
      </c>
      <c r="F54" s="610">
        <v>9.4</v>
      </c>
      <c r="G54" s="611">
        <v>6</v>
      </c>
      <c r="H54" s="359"/>
    </row>
    <row r="55" spans="1:8" s="361" customFormat="1" ht="15" customHeight="1" x14ac:dyDescent="0.3">
      <c r="A55" s="377"/>
      <c r="B55" s="377"/>
      <c r="C55" s="377"/>
      <c r="D55" s="373" t="s">
        <v>956</v>
      </c>
      <c r="E55" s="610">
        <v>1.89</v>
      </c>
      <c r="F55" s="610">
        <v>20.3</v>
      </c>
      <c r="G55" s="611">
        <v>6</v>
      </c>
      <c r="H55" s="359"/>
    </row>
    <row r="56" spans="1:8" s="361" customFormat="1" ht="15" customHeight="1" x14ac:dyDescent="0.3">
      <c r="A56" s="377"/>
      <c r="B56" s="377"/>
      <c r="C56" s="377"/>
      <c r="D56" s="373" t="s">
        <v>957</v>
      </c>
      <c r="E56" s="610">
        <v>0.62</v>
      </c>
      <c r="F56" s="610">
        <v>6.7</v>
      </c>
      <c r="G56" s="611">
        <v>6</v>
      </c>
      <c r="H56" s="359"/>
    </row>
    <row r="57" spans="1:8" s="361" customFormat="1" ht="15" customHeight="1" x14ac:dyDescent="0.3">
      <c r="A57" s="377"/>
      <c r="B57" s="377"/>
      <c r="C57" s="377"/>
      <c r="D57" s="373" t="s">
        <v>958</v>
      </c>
      <c r="E57" s="610">
        <v>1.1399999999999999</v>
      </c>
      <c r="F57" s="610">
        <v>12.3</v>
      </c>
      <c r="G57" s="611">
        <v>6</v>
      </c>
      <c r="H57" s="359"/>
    </row>
    <row r="58" spans="1:8" s="361" customFormat="1" ht="15" customHeight="1" x14ac:dyDescent="0.3">
      <c r="A58" s="377"/>
      <c r="B58" s="377"/>
      <c r="C58" s="377"/>
      <c r="D58" s="373" t="s">
        <v>959</v>
      </c>
      <c r="E58" s="610">
        <v>0.91</v>
      </c>
      <c r="F58" s="610">
        <v>9.8000000000000007</v>
      </c>
      <c r="G58" s="611">
        <v>6</v>
      </c>
      <c r="H58" s="359"/>
    </row>
    <row r="59" spans="1:8" s="361" customFormat="1" ht="15" customHeight="1" x14ac:dyDescent="0.3">
      <c r="A59" s="377"/>
      <c r="B59" s="377"/>
      <c r="C59" s="377"/>
      <c r="D59" s="373" t="s">
        <v>960</v>
      </c>
      <c r="E59" s="610">
        <v>1.32</v>
      </c>
      <c r="F59" s="610">
        <v>14.2</v>
      </c>
      <c r="G59" s="611">
        <v>6</v>
      </c>
      <c r="H59" s="359"/>
    </row>
    <row r="60" spans="1:8" s="361" customFormat="1" ht="15" customHeight="1" x14ac:dyDescent="0.3">
      <c r="A60" s="377"/>
      <c r="B60" s="377"/>
      <c r="C60" s="377"/>
      <c r="D60" s="373" t="s">
        <v>961</v>
      </c>
      <c r="E60" s="610">
        <v>1.1499999999999999</v>
      </c>
      <c r="F60" s="610">
        <v>12.4</v>
      </c>
      <c r="G60" s="611">
        <v>6</v>
      </c>
      <c r="H60" s="359"/>
    </row>
    <row r="61" spans="1:8" s="361" customFormat="1" ht="15" customHeight="1" x14ac:dyDescent="0.3">
      <c r="A61" s="377"/>
      <c r="B61" s="377"/>
      <c r="C61" s="377"/>
      <c r="D61" s="373" t="s">
        <v>1974</v>
      </c>
      <c r="E61" s="610">
        <v>0.82</v>
      </c>
      <c r="F61" s="610">
        <v>8.8000000000000007</v>
      </c>
      <c r="G61" s="611">
        <v>4</v>
      </c>
      <c r="H61" s="359"/>
    </row>
    <row r="62" spans="1:8" s="361" customFormat="1" ht="15" customHeight="1" x14ac:dyDescent="0.3">
      <c r="A62" s="377"/>
      <c r="B62" s="377"/>
      <c r="C62" s="377"/>
      <c r="D62" s="373" t="s">
        <v>1975</v>
      </c>
      <c r="E62" s="610">
        <v>1.1100000000000001</v>
      </c>
      <c r="F62" s="610">
        <v>11.9</v>
      </c>
      <c r="G62" s="611">
        <v>6</v>
      </c>
      <c r="H62" s="359"/>
    </row>
    <row r="63" spans="1:8" s="361" customFormat="1" ht="15" customHeight="1" x14ac:dyDescent="0.3">
      <c r="A63" s="377"/>
      <c r="B63" s="377"/>
      <c r="C63" s="377"/>
      <c r="D63" s="373" t="s">
        <v>1976</v>
      </c>
      <c r="E63" s="610">
        <v>1.06</v>
      </c>
      <c r="F63" s="610">
        <v>11.4</v>
      </c>
      <c r="G63" s="611">
        <v>4</v>
      </c>
      <c r="H63" s="359"/>
    </row>
    <row r="64" spans="1:8" s="361" customFormat="1" ht="15" customHeight="1" x14ac:dyDescent="0.3">
      <c r="A64" s="377"/>
      <c r="B64" s="377"/>
      <c r="C64" s="377"/>
      <c r="D64" s="373" t="s">
        <v>1977</v>
      </c>
      <c r="E64" s="610">
        <v>0.88</v>
      </c>
      <c r="F64" s="610">
        <v>9.5</v>
      </c>
      <c r="G64" s="611">
        <v>4</v>
      </c>
      <c r="H64" s="359"/>
    </row>
    <row r="65" spans="1:8" s="361" customFormat="1" ht="15" customHeight="1" x14ac:dyDescent="0.3">
      <c r="A65" s="377"/>
      <c r="B65" s="377"/>
      <c r="C65" s="377"/>
      <c r="D65" s="373" t="s">
        <v>1978</v>
      </c>
      <c r="E65" s="610">
        <v>0.75</v>
      </c>
      <c r="F65" s="610">
        <v>8.1</v>
      </c>
      <c r="G65" s="611">
        <v>6</v>
      </c>
      <c r="H65" s="359"/>
    </row>
    <row r="66" spans="1:8" s="361" customFormat="1" ht="15" customHeight="1" x14ac:dyDescent="0.3">
      <c r="A66" s="377"/>
      <c r="B66" s="377"/>
      <c r="C66" s="377"/>
      <c r="D66" s="373" t="s">
        <v>962</v>
      </c>
      <c r="E66" s="610">
        <v>0.72</v>
      </c>
      <c r="F66" s="610">
        <v>7.8</v>
      </c>
      <c r="G66" s="611">
        <v>4</v>
      </c>
      <c r="H66" s="359"/>
    </row>
    <row r="67" spans="1:8" s="361" customFormat="1" ht="15" customHeight="1" x14ac:dyDescent="0.3">
      <c r="A67" s="377"/>
      <c r="B67" s="377"/>
      <c r="C67" s="377"/>
      <c r="D67" s="373" t="s">
        <v>963</v>
      </c>
      <c r="E67" s="610">
        <v>0.93</v>
      </c>
      <c r="F67" s="610">
        <v>10</v>
      </c>
      <c r="G67" s="611">
        <v>4</v>
      </c>
      <c r="H67" s="359"/>
    </row>
    <row r="68" spans="1:8" s="361" customFormat="1" ht="15" customHeight="1" x14ac:dyDescent="0.3">
      <c r="A68" s="377"/>
      <c r="B68" s="377"/>
      <c r="C68" s="377"/>
      <c r="D68" s="373" t="s">
        <v>964</v>
      </c>
      <c r="E68" s="610">
        <v>1.71</v>
      </c>
      <c r="F68" s="610">
        <v>18.399999999999999</v>
      </c>
      <c r="G68" s="611">
        <v>4</v>
      </c>
      <c r="H68" s="359"/>
    </row>
    <row r="69" spans="1:8" s="361" customFormat="1" ht="15" customHeight="1" x14ac:dyDescent="0.3">
      <c r="A69" s="377"/>
      <c r="B69" s="377"/>
      <c r="C69" s="377"/>
      <c r="D69" s="615" t="s">
        <v>965</v>
      </c>
      <c r="E69" s="610">
        <v>0.41</v>
      </c>
      <c r="F69" s="610">
        <v>4.4000000000000004</v>
      </c>
      <c r="G69" s="611" t="s">
        <v>1071</v>
      </c>
      <c r="H69" s="359"/>
    </row>
    <row r="70" spans="1:8" s="361" customFormat="1" ht="15" customHeight="1" x14ac:dyDescent="0.3">
      <c r="A70" s="377"/>
      <c r="B70" s="377"/>
      <c r="C70" s="377"/>
      <c r="D70" s="615" t="s">
        <v>966</v>
      </c>
      <c r="E70" s="610">
        <v>1.29</v>
      </c>
      <c r="F70" s="610">
        <v>13.9</v>
      </c>
      <c r="G70" s="611">
        <v>4</v>
      </c>
      <c r="H70" s="359"/>
    </row>
    <row r="71" spans="1:8" s="361" customFormat="1" ht="15" customHeight="1" x14ac:dyDescent="0.3">
      <c r="A71" s="377"/>
      <c r="B71" s="377"/>
      <c r="C71" s="377"/>
      <c r="D71" s="615" t="s">
        <v>967</v>
      </c>
      <c r="E71" s="610">
        <v>0.95</v>
      </c>
      <c r="F71" s="610">
        <v>10.199999999999999</v>
      </c>
      <c r="G71" s="611">
        <v>6</v>
      </c>
      <c r="H71" s="359"/>
    </row>
    <row r="72" spans="1:8" s="361" customFormat="1" ht="15" customHeight="1" x14ac:dyDescent="0.3">
      <c r="A72" s="377"/>
      <c r="B72" s="377"/>
      <c r="C72" s="377"/>
      <c r="D72" s="373" t="s">
        <v>1979</v>
      </c>
      <c r="E72" s="610">
        <v>1.05</v>
      </c>
      <c r="F72" s="610">
        <v>11.3</v>
      </c>
      <c r="G72" s="611">
        <v>4</v>
      </c>
      <c r="H72" s="359"/>
    </row>
    <row r="73" spans="1:8" s="361" customFormat="1" ht="15" customHeight="1" x14ac:dyDescent="0.3">
      <c r="A73" s="377"/>
      <c r="B73" s="377"/>
      <c r="C73" s="377"/>
      <c r="D73" s="373" t="s">
        <v>1980</v>
      </c>
      <c r="E73" s="610">
        <v>1.23</v>
      </c>
      <c r="F73" s="610">
        <v>13.2</v>
      </c>
      <c r="G73" s="611">
        <v>4</v>
      </c>
      <c r="H73" s="359"/>
    </row>
    <row r="74" spans="1:8" s="361" customFormat="1" ht="15" customHeight="1" x14ac:dyDescent="0.3">
      <c r="A74" s="377"/>
      <c r="B74" s="377"/>
      <c r="C74" s="377"/>
      <c r="D74" s="615" t="s">
        <v>1981</v>
      </c>
      <c r="E74" s="610">
        <v>1.19</v>
      </c>
      <c r="F74" s="610">
        <v>12.8</v>
      </c>
      <c r="G74" s="611">
        <v>4</v>
      </c>
      <c r="H74" s="359"/>
    </row>
    <row r="75" spans="1:8" s="361" customFormat="1" ht="15" customHeight="1" x14ac:dyDescent="0.3">
      <c r="A75" s="377"/>
      <c r="B75" s="377"/>
      <c r="C75" s="377"/>
      <c r="D75" s="615" t="s">
        <v>968</v>
      </c>
      <c r="E75" s="610">
        <v>1.05</v>
      </c>
      <c r="F75" s="610">
        <v>11.3</v>
      </c>
      <c r="G75" s="611">
        <v>6</v>
      </c>
      <c r="H75" s="359"/>
    </row>
    <row r="76" spans="1:8" s="361" customFormat="1" ht="15" customHeight="1" x14ac:dyDescent="0.3">
      <c r="A76" s="377"/>
      <c r="B76" s="377"/>
      <c r="C76" s="377"/>
      <c r="D76" s="615" t="s">
        <v>969</v>
      </c>
      <c r="E76" s="610">
        <v>1.02</v>
      </c>
      <c r="F76" s="610">
        <v>11</v>
      </c>
      <c r="G76" s="611">
        <v>6</v>
      </c>
      <c r="H76" s="359"/>
    </row>
    <row r="77" spans="1:8" s="361" customFormat="1" ht="15" customHeight="1" x14ac:dyDescent="0.3">
      <c r="A77" s="377"/>
      <c r="B77" s="377"/>
      <c r="C77" s="377"/>
      <c r="D77" s="373" t="s">
        <v>970</v>
      </c>
      <c r="E77" s="610">
        <v>0.19</v>
      </c>
      <c r="F77" s="610">
        <v>2</v>
      </c>
      <c r="G77" s="611">
        <v>4</v>
      </c>
      <c r="H77" s="359"/>
    </row>
    <row r="78" spans="1:8" s="361" customFormat="1" ht="15" customHeight="1" x14ac:dyDescent="0.3">
      <c r="A78" s="377"/>
      <c r="B78" s="377"/>
      <c r="C78" s="377"/>
      <c r="D78" s="615" t="s">
        <v>971</v>
      </c>
      <c r="E78" s="610">
        <v>0.94</v>
      </c>
      <c r="F78" s="610">
        <v>10.1</v>
      </c>
      <c r="G78" s="611">
        <v>4</v>
      </c>
      <c r="H78" s="359"/>
    </row>
    <row r="79" spans="1:8" s="361" customFormat="1" ht="15" customHeight="1" x14ac:dyDescent="0.3">
      <c r="A79" s="377"/>
      <c r="B79" s="377"/>
      <c r="C79" s="377"/>
      <c r="D79" s="615" t="s">
        <v>972</v>
      </c>
      <c r="E79" s="610">
        <v>1.53</v>
      </c>
      <c r="F79" s="610">
        <v>16.5</v>
      </c>
      <c r="G79" s="611">
        <v>4</v>
      </c>
      <c r="H79" s="359"/>
    </row>
    <row r="80" spans="1:8" s="361" customFormat="1" ht="15" customHeight="1" x14ac:dyDescent="0.3">
      <c r="A80" s="377"/>
      <c r="B80" s="377"/>
      <c r="C80" s="377"/>
      <c r="D80" s="373" t="s">
        <v>973</v>
      </c>
      <c r="E80" s="610">
        <v>0.64</v>
      </c>
      <c r="F80" s="610">
        <v>6.9</v>
      </c>
      <c r="G80" s="611">
        <v>4</v>
      </c>
      <c r="H80" s="359"/>
    </row>
    <row r="81" spans="1:20" s="361" customFormat="1" ht="15" customHeight="1" x14ac:dyDescent="0.3">
      <c r="A81" s="377"/>
      <c r="B81" s="377"/>
      <c r="C81" s="377"/>
      <c r="D81" s="373" t="s">
        <v>974</v>
      </c>
      <c r="E81" s="610">
        <v>1.53</v>
      </c>
      <c r="F81" s="610">
        <v>16.5</v>
      </c>
      <c r="G81" s="611">
        <v>4</v>
      </c>
      <c r="H81" s="359"/>
    </row>
    <row r="82" spans="1:20" s="361" customFormat="1" ht="15" customHeight="1" x14ac:dyDescent="0.3">
      <c r="A82" s="377"/>
      <c r="B82" s="377"/>
      <c r="C82" s="377"/>
      <c r="D82" s="373" t="s">
        <v>975</v>
      </c>
      <c r="E82" s="610">
        <v>0.87</v>
      </c>
      <c r="F82" s="610">
        <v>9.4</v>
      </c>
      <c r="G82" s="611">
        <v>8</v>
      </c>
      <c r="H82" s="359"/>
    </row>
    <row r="83" spans="1:20" s="361" customFormat="1" ht="15" customHeight="1" x14ac:dyDescent="0.3">
      <c r="A83" s="377"/>
      <c r="B83" s="377"/>
      <c r="C83" s="377"/>
      <c r="D83" s="373" t="s">
        <v>976</v>
      </c>
      <c r="E83" s="610">
        <v>1.1000000000000001</v>
      </c>
      <c r="F83" s="610">
        <v>11.8</v>
      </c>
      <c r="G83" s="611">
        <v>4</v>
      </c>
      <c r="H83" s="359"/>
    </row>
    <row r="84" spans="1:20" s="361" customFormat="1" ht="15" customHeight="1" x14ac:dyDescent="0.3">
      <c r="A84" s="377"/>
      <c r="B84" s="377"/>
      <c r="C84" s="377"/>
      <c r="D84" s="373" t="s">
        <v>1982</v>
      </c>
      <c r="E84" s="610">
        <v>1.68</v>
      </c>
      <c r="F84" s="610">
        <v>18.100000000000001</v>
      </c>
      <c r="G84" s="611">
        <v>6</v>
      </c>
      <c r="H84" s="359"/>
    </row>
    <row r="85" spans="1:20" s="361" customFormat="1" ht="15" customHeight="1" x14ac:dyDescent="0.3">
      <c r="A85" s="377"/>
      <c r="B85" s="377"/>
      <c r="C85" s="377"/>
      <c r="D85" s="373" t="s">
        <v>977</v>
      </c>
      <c r="E85" s="610">
        <v>0.43</v>
      </c>
      <c r="F85" s="610">
        <v>4.5999999999999996</v>
      </c>
      <c r="G85" s="611">
        <v>4</v>
      </c>
      <c r="H85" s="359"/>
    </row>
    <row r="86" spans="1:20" s="361" customFormat="1" ht="15" customHeight="1" x14ac:dyDescent="0.3">
      <c r="A86" s="377"/>
      <c r="B86" s="377"/>
      <c r="C86" s="377"/>
      <c r="D86" s="373" t="s">
        <v>978</v>
      </c>
      <c r="E86" s="610">
        <v>0.72</v>
      </c>
      <c r="F86" s="610">
        <v>7.8</v>
      </c>
      <c r="G86" s="611">
        <v>4</v>
      </c>
      <c r="H86" s="359"/>
    </row>
    <row r="87" spans="1:20" s="361" customFormat="1" ht="15" customHeight="1" x14ac:dyDescent="0.3">
      <c r="A87" s="377"/>
      <c r="B87" s="377"/>
      <c r="C87" s="377"/>
      <c r="D87" s="373" t="s">
        <v>979</v>
      </c>
      <c r="E87" s="610">
        <v>1.2</v>
      </c>
      <c r="F87" s="610">
        <v>12.9</v>
      </c>
      <c r="G87" s="611">
        <v>4</v>
      </c>
      <c r="H87" s="359"/>
    </row>
    <row r="88" spans="1:20" s="361" customFormat="1" ht="15" customHeight="1" x14ac:dyDescent="0.3">
      <c r="A88" s="377"/>
      <c r="B88" s="377"/>
      <c r="C88" s="377"/>
      <c r="D88" s="373" t="s">
        <v>980</v>
      </c>
      <c r="E88" s="610">
        <v>1.92</v>
      </c>
      <c r="F88" s="610">
        <v>20.7</v>
      </c>
      <c r="G88" s="611">
        <v>4</v>
      </c>
      <c r="H88" s="359"/>
    </row>
    <row r="89" spans="1:20" s="361" customFormat="1" ht="15" customHeight="1" x14ac:dyDescent="0.3">
      <c r="A89" s="377"/>
      <c r="B89" s="377"/>
      <c r="C89" s="377"/>
      <c r="D89" s="373" t="s">
        <v>981</v>
      </c>
      <c r="E89" s="610">
        <v>3.01</v>
      </c>
      <c r="F89" s="610">
        <v>32.4</v>
      </c>
      <c r="G89" s="611">
        <v>4</v>
      </c>
      <c r="H89" s="359"/>
    </row>
    <row r="90" spans="1:20" s="361" customFormat="1" ht="15" customHeight="1" x14ac:dyDescent="0.3">
      <c r="A90" s="377"/>
      <c r="B90" s="377"/>
      <c r="C90" s="377"/>
      <c r="D90" s="373" t="s">
        <v>982</v>
      </c>
      <c r="E90" s="610">
        <v>2.68</v>
      </c>
      <c r="F90" s="610">
        <v>28.8</v>
      </c>
      <c r="G90" s="611">
        <v>4</v>
      </c>
      <c r="H90" s="359"/>
    </row>
    <row r="91" spans="1:20" s="361" customFormat="1" ht="15" customHeight="1" x14ac:dyDescent="0.3">
      <c r="A91" s="377"/>
      <c r="B91" s="377"/>
      <c r="C91" s="377"/>
      <c r="D91" s="373" t="s">
        <v>983</v>
      </c>
      <c r="E91" s="610">
        <v>0.76</v>
      </c>
      <c r="F91" s="610">
        <v>8.1999999999999993</v>
      </c>
      <c r="G91" s="611">
        <v>4</v>
      </c>
      <c r="H91" s="359"/>
    </row>
    <row r="92" spans="1:20" s="361" customFormat="1" ht="15" customHeight="1" x14ac:dyDescent="0.3">
      <c r="A92" s="377"/>
      <c r="B92" s="377"/>
      <c r="C92" s="377"/>
      <c r="D92" s="373" t="s">
        <v>984</v>
      </c>
      <c r="E92" s="610">
        <v>0.36</v>
      </c>
      <c r="F92" s="610">
        <v>3.9</v>
      </c>
      <c r="G92" s="611">
        <v>4</v>
      </c>
      <c r="H92" s="359"/>
    </row>
    <row r="93" spans="1:20" s="361" customFormat="1" ht="15" customHeight="1" x14ac:dyDescent="0.3">
      <c r="A93" s="377"/>
      <c r="B93" s="377"/>
      <c r="C93" s="377"/>
      <c r="D93" s="373" t="s">
        <v>985</v>
      </c>
      <c r="E93" s="610">
        <v>0.54</v>
      </c>
      <c r="F93" s="610">
        <v>5.8</v>
      </c>
      <c r="G93" s="611">
        <v>4</v>
      </c>
      <c r="H93" s="359"/>
    </row>
    <row r="94" spans="1:20" s="361" customFormat="1" ht="15" customHeight="1" x14ac:dyDescent="0.3">
      <c r="A94" s="377"/>
      <c r="B94" s="377"/>
      <c r="C94" s="377"/>
      <c r="D94" s="373" t="s">
        <v>986</v>
      </c>
      <c r="E94" s="610">
        <v>1.08</v>
      </c>
      <c r="F94" s="610">
        <v>11.6</v>
      </c>
      <c r="G94" s="611">
        <v>4</v>
      </c>
      <c r="H94" s="359"/>
    </row>
    <row r="95" spans="1:20" s="361" customFormat="1" ht="15" customHeight="1" x14ac:dyDescent="0.3">
      <c r="A95" s="377"/>
      <c r="B95" s="377"/>
      <c r="C95" s="377"/>
      <c r="D95" s="373" t="s">
        <v>987</v>
      </c>
      <c r="E95" s="610">
        <v>0.95</v>
      </c>
      <c r="F95" s="610">
        <v>10.199999999999999</v>
      </c>
      <c r="G95" s="611">
        <v>6</v>
      </c>
      <c r="H95" s="359"/>
      <c r="I95" s="25"/>
      <c r="J95" s="25"/>
      <c r="K95" s="25"/>
      <c r="L95" s="25"/>
      <c r="M95" s="25"/>
      <c r="N95" s="25"/>
      <c r="O95" s="25"/>
      <c r="P95" s="25"/>
      <c r="Q95" s="25"/>
      <c r="R95" s="25"/>
      <c r="S95" s="25"/>
      <c r="T95" s="25"/>
    </row>
    <row r="96" spans="1:20" x14ac:dyDescent="0.3">
      <c r="D96" s="616" t="s">
        <v>988</v>
      </c>
      <c r="E96" s="612">
        <v>0.57999999999999996</v>
      </c>
      <c r="F96" s="612">
        <v>6.2</v>
      </c>
      <c r="G96" s="613">
        <v>4</v>
      </c>
    </row>
  </sheetData>
  <sheetProtection algorithmName="SHA-512" hashValue="HAxmGsQYF3oCP5xd8a4VVsVk5K87CFYssfwQUKbKuXzkgR7f+jGpat3t3WU1N++OcPk6CNIuUWjq7E0l0a98wA==" saltValue="qWAbY4adOesfWCtTvsHQyw==" spinCount="100000" sheet="1" objects="1" scenarios="1"/>
  <customSheetViews>
    <customSheetView guid="{75D6F8CE-A4F4-4FDD-BA92-7996F9E19FA9}" scale="85" showGridLines="0">
      <pane ySplit="2" topLeftCell="A3" activePane="bottomLeft" state="frozen"/>
      <selection pane="bottomLeft" activeCell="M43" sqref="M43"/>
      <pageMargins left="0.7" right="0.7" top="0.75" bottom="0.75" header="0.3" footer="0.3"/>
      <pageSetup orientation="portrait"/>
    </customSheetView>
  </customSheetViews>
  <mergeCells count="10">
    <mergeCell ref="A1:A2"/>
    <mergeCell ref="D1:D2"/>
    <mergeCell ref="E1:F1"/>
    <mergeCell ref="W1:W2"/>
    <mergeCell ref="X1:X2"/>
    <mergeCell ref="J1:J2"/>
    <mergeCell ref="I1:I2"/>
    <mergeCell ref="V1:V2"/>
    <mergeCell ref="B1:C1"/>
    <mergeCell ref="G1:G2"/>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R96"/>
  <sheetViews>
    <sheetView showGridLines="0" tabSelected="1" topLeftCell="A35" zoomScaleNormal="100" zoomScaleSheetLayoutView="100" zoomScalePageLayoutView="90" workbookViewId="0">
      <selection activeCell="C41" sqref="C41:D41"/>
    </sheetView>
  </sheetViews>
  <sheetFormatPr defaultColWidth="8.6640625" defaultRowHeight="13.2" outlineLevelCol="1" x14ac:dyDescent="0.25"/>
  <cols>
    <col min="1" max="1" width="3.6640625" style="34" customWidth="1"/>
    <col min="2" max="2" width="15" style="34" customWidth="1"/>
    <col min="3" max="3" width="15.109375" style="34" customWidth="1"/>
    <col min="4" max="4" width="15.5546875" style="34" customWidth="1"/>
    <col min="5" max="5" width="15.6640625" style="34" customWidth="1"/>
    <col min="6" max="6" width="17.109375" style="34" customWidth="1"/>
    <col min="7" max="7" width="20.109375" style="34" customWidth="1"/>
    <col min="8" max="8" width="9.6640625" style="53" customWidth="1"/>
    <col min="9" max="9" width="15.6640625" style="27" customWidth="1"/>
    <col min="10" max="11" width="2.77734375" style="34" customWidth="1"/>
    <col min="12" max="14" width="8.6640625" style="34" hidden="1" customWidth="1" outlineLevel="1"/>
    <col min="15" max="15" width="2.77734375" style="34" customWidth="1" collapsed="1"/>
    <col min="16" max="16" width="2.77734375" style="34" customWidth="1"/>
    <col min="17" max="17" width="50.77734375" style="34" customWidth="1"/>
    <col min="18" max="51" width="8.6640625" style="34" customWidth="1"/>
    <col min="52" max="16384" width="8.6640625" style="34"/>
  </cols>
  <sheetData>
    <row r="1" spans="1:18" s="24" customFormat="1" x14ac:dyDescent="0.25">
      <c r="A1" s="717" t="s">
        <v>1299</v>
      </c>
      <c r="B1" s="33"/>
      <c r="C1" s="33"/>
      <c r="D1" s="33"/>
      <c r="E1" s="33"/>
      <c r="F1" s="33"/>
      <c r="G1" s="33"/>
      <c r="H1" s="33"/>
      <c r="I1" s="33"/>
      <c r="J1" s="34"/>
      <c r="K1" s="34"/>
      <c r="L1" s="34"/>
      <c r="M1" s="34"/>
      <c r="N1" s="34"/>
    </row>
    <row r="2" spans="1:18" s="24" customFormat="1" ht="24.75" customHeight="1" x14ac:dyDescent="0.25">
      <c r="A2" s="717" t="s">
        <v>1299</v>
      </c>
      <c r="B2" s="40" t="s">
        <v>1034</v>
      </c>
      <c r="C2" s="44"/>
      <c r="D2" s="44"/>
      <c r="E2" s="44"/>
      <c r="F2" s="44"/>
      <c r="G2" s="44"/>
      <c r="H2" s="44"/>
      <c r="I2" s="44"/>
      <c r="J2" s="34"/>
      <c r="K2" s="34"/>
      <c r="L2" s="34"/>
      <c r="M2" s="34"/>
      <c r="N2" s="34"/>
    </row>
    <row r="3" spans="1:18" s="24" customFormat="1" ht="15" customHeight="1" x14ac:dyDescent="0.25">
      <c r="A3" s="717" t="s">
        <v>1299</v>
      </c>
      <c r="B3" s="33"/>
      <c r="C3" s="33"/>
      <c r="D3" s="33"/>
      <c r="E3" s="33"/>
      <c r="F3" s="33"/>
      <c r="G3" s="33"/>
      <c r="H3" s="33"/>
      <c r="I3" s="33"/>
      <c r="J3" s="34"/>
      <c r="K3" s="34"/>
      <c r="L3" s="34"/>
      <c r="M3" s="34"/>
      <c r="N3" s="34"/>
    </row>
    <row r="4" spans="1:18" ht="21.75" customHeight="1" x14ac:dyDescent="0.25">
      <c r="A4" s="593" t="s">
        <v>1299</v>
      </c>
      <c r="H4" s="34"/>
      <c r="I4" s="34"/>
    </row>
    <row r="5" spans="1:18" ht="49.5" customHeight="1" x14ac:dyDescent="0.25">
      <c r="A5" s="593" t="s">
        <v>1299</v>
      </c>
      <c r="B5" s="2209" t="s">
        <v>1056</v>
      </c>
      <c r="C5" s="2209"/>
      <c r="D5" s="2209"/>
      <c r="E5" s="2209"/>
      <c r="F5" s="2209"/>
      <c r="G5" s="2209"/>
      <c r="H5" s="60"/>
      <c r="L5" s="27"/>
      <c r="Q5" s="738" t="s">
        <v>2090</v>
      </c>
    </row>
    <row r="6" spans="1:18" x14ac:dyDescent="0.25">
      <c r="A6" s="593" t="s">
        <v>1299</v>
      </c>
      <c r="B6" s="61"/>
      <c r="C6" s="48"/>
      <c r="D6" s="48"/>
      <c r="E6" s="48"/>
      <c r="F6" s="48"/>
      <c r="G6" s="48"/>
      <c r="H6" s="60"/>
      <c r="L6" s="27"/>
    </row>
    <row r="7" spans="1:18" s="24" customFormat="1" ht="26.25" customHeight="1" x14ac:dyDescent="0.25">
      <c r="A7" s="593" t="s">
        <v>1299</v>
      </c>
      <c r="B7" s="29" t="s">
        <v>1058</v>
      </c>
      <c r="C7" s="31"/>
      <c r="D7" s="31"/>
      <c r="E7" s="31"/>
      <c r="F7" s="31"/>
      <c r="G7" s="31"/>
      <c r="H7" s="31"/>
      <c r="L7" s="31"/>
      <c r="M7" s="31"/>
      <c r="N7" s="31"/>
      <c r="O7" s="31"/>
      <c r="P7" s="100"/>
      <c r="Q7" s="100"/>
      <c r="R7" s="100"/>
    </row>
    <row r="8" spans="1:18" ht="70.5" customHeight="1" x14ac:dyDescent="0.25">
      <c r="A8" s="593" t="s">
        <v>1299</v>
      </c>
      <c r="B8" s="2342" t="s">
        <v>1053</v>
      </c>
      <c r="C8" s="2540"/>
      <c r="D8" s="2540"/>
      <c r="E8" s="2540"/>
      <c r="F8" s="2540"/>
      <c r="G8" s="2540"/>
      <c r="H8" s="2540"/>
      <c r="I8" s="1558" t="s">
        <v>25</v>
      </c>
      <c r="L8" s="27"/>
      <c r="Q8" s="1894"/>
    </row>
    <row r="9" spans="1:18" customFormat="1" ht="9.75" customHeight="1" x14ac:dyDescent="0.3">
      <c r="A9" s="593" t="s">
        <v>1299</v>
      </c>
      <c r="P9" s="389"/>
      <c r="Q9" s="389"/>
      <c r="R9" s="389"/>
    </row>
    <row r="10" spans="1:18" ht="32.25" customHeight="1" x14ac:dyDescent="0.25">
      <c r="A10" s="593" t="s">
        <v>1299</v>
      </c>
      <c r="B10" s="2541" t="s">
        <v>242</v>
      </c>
      <c r="C10" s="2343"/>
      <c r="D10" s="2343"/>
      <c r="E10" s="2343"/>
      <c r="F10" s="2343"/>
      <c r="G10" s="2343"/>
      <c r="H10" s="2343"/>
      <c r="I10" s="1558" t="s">
        <v>25</v>
      </c>
      <c r="L10" s="27"/>
      <c r="Q10" s="1894"/>
    </row>
    <row r="11" spans="1:18" ht="20.25" customHeight="1" x14ac:dyDescent="0.25">
      <c r="A11" s="593" t="s">
        <v>1299</v>
      </c>
      <c r="L11" s="27"/>
    </row>
    <row r="12" spans="1:18" s="24" customFormat="1" ht="48" customHeight="1" x14ac:dyDescent="0.25">
      <c r="A12" s="593" t="s">
        <v>1299</v>
      </c>
      <c r="B12" s="2545" t="s">
        <v>279</v>
      </c>
      <c r="C12" s="2545"/>
      <c r="D12" s="2545"/>
      <c r="E12" s="2545"/>
      <c r="F12" s="2545"/>
      <c r="G12" s="2545"/>
      <c r="H12" s="2545"/>
      <c r="I12" s="2545"/>
      <c r="L12" s="54"/>
      <c r="O12" s="25"/>
    </row>
    <row r="13" spans="1:18" s="24" customFormat="1" ht="21" customHeight="1" x14ac:dyDescent="0.25">
      <c r="A13" s="593" t="s">
        <v>1299</v>
      </c>
      <c r="B13" s="2542"/>
      <c r="C13" s="2543"/>
      <c r="D13" s="2543"/>
      <c r="E13" s="2543"/>
      <c r="F13" s="2543"/>
      <c r="G13" s="2543"/>
      <c r="H13" s="2543"/>
      <c r="I13" s="2544"/>
      <c r="L13" s="36"/>
      <c r="O13" s="25"/>
      <c r="Q13" s="1895"/>
    </row>
    <row r="14" spans="1:18" s="24" customFormat="1" ht="21" customHeight="1" x14ac:dyDescent="0.25">
      <c r="A14" s="593" t="s">
        <v>1299</v>
      </c>
      <c r="B14" s="55"/>
      <c r="C14" s="55"/>
      <c r="D14" s="55"/>
      <c r="E14" s="55"/>
      <c r="F14" s="55"/>
      <c r="G14" s="55"/>
      <c r="H14" s="55"/>
      <c r="L14" s="55"/>
      <c r="O14" s="25"/>
    </row>
    <row r="15" spans="1:18" s="24" customFormat="1" ht="26.25" customHeight="1" x14ac:dyDescent="0.25">
      <c r="A15" s="593" t="s">
        <v>1299</v>
      </c>
      <c r="B15" s="26" t="s">
        <v>127</v>
      </c>
      <c r="C15" s="31"/>
      <c r="D15" s="31"/>
      <c r="E15" s="31"/>
      <c r="F15" s="31"/>
      <c r="G15" s="31"/>
      <c r="H15" s="31"/>
      <c r="L15" s="31"/>
      <c r="M15" s="31"/>
      <c r="N15" s="31"/>
      <c r="O15" s="31"/>
    </row>
    <row r="16" spans="1:18" ht="63" customHeight="1" x14ac:dyDescent="0.25">
      <c r="A16" s="593" t="s">
        <v>1299</v>
      </c>
      <c r="B16" s="2548" t="s">
        <v>328</v>
      </c>
      <c r="C16" s="2549"/>
      <c r="D16" s="2549"/>
      <c r="E16" s="2549"/>
      <c r="F16" s="2549"/>
      <c r="G16" s="2546" t="s">
        <v>1609</v>
      </c>
      <c r="H16" s="2546"/>
      <c r="I16" s="2547"/>
      <c r="L16" s="27"/>
      <c r="M16" s="1287" t="b">
        <v>0</v>
      </c>
      <c r="N16" s="1287" t="b">
        <v>1</v>
      </c>
      <c r="Q16" s="1894"/>
    </row>
    <row r="17" spans="1:17" s="24" customFormat="1" ht="21" customHeight="1" x14ac:dyDescent="0.25">
      <c r="A17" s="593" t="s">
        <v>1299</v>
      </c>
      <c r="B17" s="55"/>
      <c r="C17" s="55"/>
      <c r="D17" s="55"/>
      <c r="E17" s="55"/>
      <c r="F17" s="55"/>
      <c r="G17" s="55"/>
      <c r="H17" s="55"/>
      <c r="L17" s="55"/>
      <c r="O17" s="25"/>
    </row>
    <row r="18" spans="1:17" s="24" customFormat="1" ht="21" hidden="1" customHeight="1" x14ac:dyDescent="0.25">
      <c r="A18" s="593" t="s">
        <v>1299</v>
      </c>
      <c r="B18" s="26" t="s">
        <v>129</v>
      </c>
      <c r="C18" s="31"/>
      <c r="D18" s="31"/>
      <c r="E18" s="31"/>
      <c r="F18" s="31"/>
      <c r="G18" s="31"/>
      <c r="L18" s="31"/>
      <c r="M18" s="31"/>
      <c r="N18" s="31"/>
      <c r="O18" s="31"/>
    </row>
    <row r="19" spans="1:17" s="52" customFormat="1" ht="15" hidden="1" customHeight="1" x14ac:dyDescent="0.25">
      <c r="A19" s="593" t="s">
        <v>1299</v>
      </c>
      <c r="B19" s="66"/>
      <c r="C19" s="65"/>
      <c r="D19" s="65"/>
      <c r="E19" s="65"/>
      <c r="F19" s="65"/>
    </row>
    <row r="20" spans="1:17" ht="71.25" hidden="1" customHeight="1" x14ac:dyDescent="0.25">
      <c r="A20" s="593" t="s">
        <v>1299</v>
      </c>
      <c r="B20" s="50" t="s">
        <v>1358</v>
      </c>
      <c r="C20" s="2418" t="s">
        <v>128</v>
      </c>
      <c r="D20" s="2418"/>
      <c r="E20" s="792" t="str">
        <f>IF('General Information'!$I$12="IP","Total Building Type Area
(sq ft)","Total Building Type Area
(sq m)")</f>
        <v>Total Building Type Area
(sq m)</v>
      </c>
      <c r="F20" s="792" t="str">
        <f>IF('General Information'!$I$12="IP","Equipment Power Density
(W/sq ft)","Equipment Power Density
(W/sq m)")</f>
        <v>Equipment Power Density
(W/sq m)</v>
      </c>
      <c r="G20" s="792" t="s">
        <v>124</v>
      </c>
      <c r="H20" s="2418" t="s">
        <v>322</v>
      </c>
      <c r="I20" s="2525"/>
      <c r="L20" s="53"/>
      <c r="M20" s="27"/>
    </row>
    <row r="21" spans="1:17" ht="65.25" hidden="1" customHeight="1" x14ac:dyDescent="0.25">
      <c r="A21" s="593"/>
      <c r="B21" s="1559"/>
      <c r="C21" s="2523"/>
      <c r="D21" s="2524"/>
      <c r="E21" s="1560"/>
      <c r="F21" s="1560"/>
      <c r="G21" s="1560"/>
      <c r="H21" s="2523"/>
      <c r="I21" s="2532"/>
      <c r="L21" s="53"/>
      <c r="M21" s="27"/>
    </row>
    <row r="22" spans="1:17" ht="15" hidden="1" customHeight="1" x14ac:dyDescent="0.25">
      <c r="A22" s="593"/>
      <c r="B22" s="879" t="str">
        <f>'Multiple Buildings Details'!B24</f>
        <v>Saudi Aramco Corporate Academy - Dhahran</v>
      </c>
      <c r="C22" s="2522" t="str">
        <f>"Hotel"</f>
        <v>Hotel</v>
      </c>
      <c r="D22" s="2522"/>
      <c r="E22" s="247"/>
      <c r="F22" s="1863"/>
      <c r="G22" s="501"/>
      <c r="H22" s="2520"/>
      <c r="I22" s="2521"/>
      <c r="L22" s="53"/>
      <c r="M22" s="27"/>
      <c r="Q22" s="1894"/>
    </row>
    <row r="23" spans="1:17" ht="15" hidden="1" customHeight="1" x14ac:dyDescent="0.25">
      <c r="A23" s="593" t="s">
        <v>915</v>
      </c>
      <c r="B23" s="319" t="str">
        <f t="shared" ref="B23:B28" si="0">GI_Project_Name</f>
        <v>Saudi Aramco Corporate Academy - Dhahran</v>
      </c>
      <c r="C23" s="2519"/>
      <c r="D23" s="2519"/>
      <c r="E23" s="247"/>
      <c r="F23" s="409"/>
      <c r="G23" s="501"/>
      <c r="H23" s="2520"/>
      <c r="I23" s="2521"/>
      <c r="L23" s="103" t="str">
        <f t="shared" ref="L23:L28" si="1">IF(H23="No","Submit savings using Exceptional Calculation","")</f>
        <v/>
      </c>
      <c r="M23" s="27"/>
      <c r="Q23" s="1894"/>
    </row>
    <row r="24" spans="1:17" ht="15" hidden="1" customHeight="1" x14ac:dyDescent="0.25">
      <c r="A24" s="593"/>
      <c r="B24" s="319" t="str">
        <f t="shared" si="0"/>
        <v>Saudi Aramco Corporate Academy - Dhahran</v>
      </c>
      <c r="C24" s="2519"/>
      <c r="D24" s="2519"/>
      <c r="E24" s="247"/>
      <c r="F24" s="409"/>
      <c r="G24" s="501"/>
      <c r="H24" s="2520"/>
      <c r="I24" s="2521"/>
      <c r="L24" s="103" t="str">
        <f t="shared" si="1"/>
        <v/>
      </c>
      <c r="M24" s="27"/>
      <c r="Q24" s="1894"/>
    </row>
    <row r="25" spans="1:17" ht="15" hidden="1" customHeight="1" x14ac:dyDescent="0.25">
      <c r="A25" s="593"/>
      <c r="B25" s="319" t="str">
        <f t="shared" si="0"/>
        <v>Saudi Aramco Corporate Academy - Dhahran</v>
      </c>
      <c r="C25" s="2519"/>
      <c r="D25" s="2519"/>
      <c r="E25" s="247"/>
      <c r="F25" s="409"/>
      <c r="G25" s="501"/>
      <c r="H25" s="2520"/>
      <c r="I25" s="2521"/>
      <c r="L25" s="103" t="str">
        <f t="shared" si="1"/>
        <v/>
      </c>
      <c r="M25" s="27"/>
      <c r="Q25" s="1894"/>
    </row>
    <row r="26" spans="1:17" ht="15" hidden="1" customHeight="1" x14ac:dyDescent="0.25">
      <c r="A26" s="593"/>
      <c r="B26" s="319" t="str">
        <f t="shared" si="0"/>
        <v>Saudi Aramco Corporate Academy - Dhahran</v>
      </c>
      <c r="C26" s="2519"/>
      <c r="D26" s="2519"/>
      <c r="E26" s="247"/>
      <c r="F26" s="409"/>
      <c r="G26" s="501"/>
      <c r="H26" s="2520"/>
      <c r="I26" s="2521"/>
      <c r="L26" s="103" t="str">
        <f t="shared" si="1"/>
        <v/>
      </c>
      <c r="M26" s="27"/>
      <c r="Q26" s="1894"/>
    </row>
    <row r="27" spans="1:17" ht="15" hidden="1" customHeight="1" x14ac:dyDescent="0.25">
      <c r="A27" s="593"/>
      <c r="B27" s="319" t="str">
        <f t="shared" si="0"/>
        <v>Saudi Aramco Corporate Academy - Dhahran</v>
      </c>
      <c r="C27" s="2519"/>
      <c r="D27" s="2519"/>
      <c r="E27" s="247"/>
      <c r="F27" s="409"/>
      <c r="G27" s="501"/>
      <c r="H27" s="2520"/>
      <c r="I27" s="2521"/>
      <c r="L27" s="103" t="str">
        <f t="shared" si="1"/>
        <v/>
      </c>
      <c r="M27" s="27"/>
      <c r="Q27" s="1894"/>
    </row>
    <row r="28" spans="1:17" ht="15" hidden="1" customHeight="1" x14ac:dyDescent="0.25">
      <c r="A28" s="593"/>
      <c r="B28" s="1561" t="str">
        <f t="shared" si="0"/>
        <v>Saudi Aramco Corporate Academy - Dhahran</v>
      </c>
      <c r="C28" s="2552"/>
      <c r="D28" s="2552"/>
      <c r="E28" s="248"/>
      <c r="F28" s="1562"/>
      <c r="G28" s="1563"/>
      <c r="H28" s="2535"/>
      <c r="I28" s="2536"/>
      <c r="L28" s="103" t="str">
        <f t="shared" si="1"/>
        <v/>
      </c>
      <c r="M28" s="27"/>
      <c r="Q28" s="1894"/>
    </row>
    <row r="29" spans="1:17" ht="20.25" hidden="1" customHeight="1" x14ac:dyDescent="0.25">
      <c r="A29" s="593" t="s">
        <v>1299</v>
      </c>
      <c r="B29" s="2553" t="s">
        <v>147</v>
      </c>
      <c r="C29" s="2554"/>
      <c r="D29" s="2554"/>
      <c r="E29" s="1564">
        <f>SUM($E$22:$E$28)</f>
        <v>0</v>
      </c>
      <c r="F29" s="1565">
        <f>IFERROR(SUMPRODUCT($E$22:$E$28,$F$22:$F$28)/SUM($E$22:$E$28),0)</f>
        <v>0</v>
      </c>
      <c r="G29" s="2526"/>
      <c r="H29" s="2526"/>
      <c r="I29" s="2527"/>
      <c r="L29" s="56"/>
      <c r="M29" s="27"/>
      <c r="Q29" s="1894"/>
    </row>
    <row r="30" spans="1:17" ht="20.25" hidden="1" customHeight="1" x14ac:dyDescent="0.25">
      <c r="A30" s="593" t="s">
        <v>1299</v>
      </c>
      <c r="B30" s="2553" t="s">
        <v>323</v>
      </c>
      <c r="C30" s="2554"/>
      <c r="D30" s="2554"/>
      <c r="E30" s="2554"/>
      <c r="F30" s="2554"/>
      <c r="G30" s="2554"/>
      <c r="H30" s="2554"/>
      <c r="I30" s="1566">
        <f>SUMPRODUCT($E$22:$E$28,$F$22:$F$28)/1000</f>
        <v>0</v>
      </c>
      <c r="L30" s="56"/>
      <c r="M30" s="27"/>
      <c r="Q30" s="1894"/>
    </row>
    <row r="31" spans="1:17" ht="21" hidden="1" customHeight="1" x14ac:dyDescent="0.25">
      <c r="A31" s="593" t="s">
        <v>1299</v>
      </c>
      <c r="B31" s="64" t="s">
        <v>324</v>
      </c>
      <c r="C31" s="58"/>
      <c r="D31" s="58"/>
      <c r="E31" s="59"/>
      <c r="F31" s="62"/>
      <c r="G31" s="63"/>
      <c r="H31" s="56"/>
      <c r="L31" s="27"/>
    </row>
    <row r="32" spans="1:17" ht="21" hidden="1" customHeight="1" x14ac:dyDescent="0.25">
      <c r="A32" s="593"/>
      <c r="B32" s="1207" t="str">
        <f>IF(ResDwellingUnitsExist="Yes","Note: The above table is for spaces other than dwelling units.  To enter dwelling unit values, use the Multifamily Details tab.","")</f>
        <v/>
      </c>
      <c r="C32" s="58"/>
      <c r="D32" s="58"/>
      <c r="E32" s="59"/>
      <c r="F32" s="62"/>
      <c r="G32" s="63"/>
      <c r="H32" s="56"/>
      <c r="L32" s="27"/>
    </row>
    <row r="33" spans="1:17" ht="37.5" hidden="1" customHeight="1" x14ac:dyDescent="0.25">
      <c r="A33" s="593" t="s">
        <v>1299</v>
      </c>
      <c r="L33" s="27"/>
    </row>
    <row r="34" spans="1:17" s="24" customFormat="1" ht="21" customHeight="1" x14ac:dyDescent="0.25">
      <c r="A34" s="593" t="s">
        <v>1299</v>
      </c>
      <c r="B34" s="55"/>
      <c r="C34" s="55"/>
      <c r="D34" s="55"/>
      <c r="E34" s="55"/>
      <c r="F34" s="55"/>
      <c r="G34" s="55"/>
      <c r="H34" s="55"/>
      <c r="L34" s="55"/>
      <c r="O34" s="25"/>
    </row>
    <row r="35" spans="1:17" s="24" customFormat="1" ht="21" customHeight="1" x14ac:dyDescent="0.25">
      <c r="A35" s="593" t="s">
        <v>1299</v>
      </c>
      <c r="B35" s="26" t="s">
        <v>130</v>
      </c>
      <c r="C35" s="31"/>
      <c r="D35" s="31"/>
      <c r="E35" s="31"/>
      <c r="F35" s="31"/>
      <c r="G35" s="31"/>
      <c r="H35" s="31"/>
      <c r="L35" s="31"/>
      <c r="M35" s="31"/>
      <c r="N35" s="31"/>
      <c r="O35" s="31"/>
    </row>
    <row r="36" spans="1:17" s="52" customFormat="1" ht="15" customHeight="1" x14ac:dyDescent="0.25">
      <c r="A36" s="593" t="s">
        <v>1299</v>
      </c>
      <c r="B36" s="66"/>
      <c r="C36" s="65"/>
      <c r="D36" s="65"/>
      <c r="E36" s="65"/>
      <c r="F36" s="65"/>
    </row>
    <row r="37" spans="1:17" ht="71.25" customHeight="1" x14ac:dyDescent="0.25">
      <c r="A37" s="593" t="s">
        <v>1299</v>
      </c>
      <c r="B37" s="50" t="s">
        <v>1358</v>
      </c>
      <c r="C37" s="2418" t="s">
        <v>128</v>
      </c>
      <c r="D37" s="2418"/>
      <c r="E37" s="792" t="str">
        <f>IF('General Information'!$I$12="IP","Total Space Type Area
(sq ft)","Total Space Type Area
(sq m)")</f>
        <v>Total Space Type Area
(sq m)</v>
      </c>
      <c r="F37" s="792" t="str">
        <f>IF('General Information'!$I$12="IP","Equipment Power Density
(W/sq ft)","Equipment Power Density
(W/sq m)")</f>
        <v>Equipment Power Density
(W/sq m)</v>
      </c>
      <c r="G37" s="792" t="s">
        <v>124</v>
      </c>
      <c r="H37" s="2418" t="s">
        <v>322</v>
      </c>
      <c r="I37" s="2525"/>
      <c r="L37" s="57"/>
      <c r="M37" s="27"/>
    </row>
    <row r="38" spans="1:17" ht="108" hidden="1" customHeight="1" x14ac:dyDescent="0.25">
      <c r="A38" s="593"/>
      <c r="B38" s="1559"/>
      <c r="C38" s="2523"/>
      <c r="D38" s="2524"/>
      <c r="E38" s="1560"/>
      <c r="F38" s="1560"/>
      <c r="G38" s="1560"/>
      <c r="H38" s="2523"/>
      <c r="I38" s="2532"/>
      <c r="L38" s="57"/>
      <c r="M38" s="27"/>
    </row>
    <row r="39" spans="1:17" ht="15" hidden="1" customHeight="1" x14ac:dyDescent="0.25">
      <c r="A39" s="593"/>
      <c r="B39" s="879" t="str">
        <f>'Multiple Buildings Details'!B24</f>
        <v>Saudi Aramco Corporate Academy - Dhahran</v>
      </c>
      <c r="C39" s="2522" t="str">
        <f>"Hotel guest rooms"</f>
        <v>Hotel guest rooms</v>
      </c>
      <c r="D39" s="2522"/>
      <c r="E39" s="247"/>
      <c r="F39" s="1863"/>
      <c r="G39" s="501"/>
      <c r="H39" s="2520"/>
      <c r="I39" s="2521"/>
      <c r="L39" s="57"/>
      <c r="M39" s="27"/>
      <c r="Q39" s="1894"/>
    </row>
    <row r="40" spans="1:17" ht="15" hidden="1" customHeight="1" x14ac:dyDescent="0.25">
      <c r="A40" s="593" t="s">
        <v>917</v>
      </c>
      <c r="B40" s="319" t="str">
        <f t="shared" ref="B40:B54" si="2">GI_Project_Name</f>
        <v>Saudi Aramco Corporate Academy - Dhahran</v>
      </c>
      <c r="C40" s="2519"/>
      <c r="D40" s="2519"/>
      <c r="E40" s="247"/>
      <c r="F40" s="409"/>
      <c r="G40" s="501"/>
      <c r="H40" s="2520"/>
      <c r="I40" s="2521"/>
      <c r="L40" s="103" t="str">
        <f t="shared" ref="L40:L54" si="3">IF(H40="No","Submit savings using Exceptional Calculation","")</f>
        <v/>
      </c>
      <c r="M40" s="27"/>
      <c r="Q40" s="1894"/>
    </row>
    <row r="41" spans="1:17" ht="15" customHeight="1" x14ac:dyDescent="0.25">
      <c r="A41" s="593"/>
      <c r="B41" s="319" t="str">
        <f t="shared" si="2"/>
        <v>Saudi Aramco Corporate Academy - Dhahran</v>
      </c>
      <c r="C41" s="2519" t="s">
        <v>988</v>
      </c>
      <c r="D41" s="2519" t="s">
        <v>1983</v>
      </c>
      <c r="E41" s="247">
        <v>859.63</v>
      </c>
      <c r="F41" s="409">
        <v>3.56</v>
      </c>
      <c r="G41" s="501"/>
      <c r="H41" s="2520" t="s">
        <v>25</v>
      </c>
      <c r="I41" s="2521">
        <v>3.56</v>
      </c>
      <c r="L41" s="103" t="str">
        <f t="shared" ref="L41:L48" si="4">IF(H41="No","Submit savings using Exceptional Calculation","")</f>
        <v/>
      </c>
      <c r="M41" s="27"/>
      <c r="Q41" s="1894"/>
    </row>
    <row r="42" spans="1:17" ht="15" customHeight="1" x14ac:dyDescent="0.25">
      <c r="A42" s="593"/>
      <c r="B42" s="319" t="str">
        <f t="shared" si="2"/>
        <v>Saudi Aramco Corporate Academy - Dhahran</v>
      </c>
      <c r="C42" s="2519" t="s">
        <v>930</v>
      </c>
      <c r="D42" s="2519" t="s">
        <v>277</v>
      </c>
      <c r="E42" s="247">
        <v>3843.38</v>
      </c>
      <c r="F42" s="409">
        <v>43.12</v>
      </c>
      <c r="G42" s="501"/>
      <c r="H42" s="2520" t="s">
        <v>25</v>
      </c>
      <c r="I42" s="2521">
        <v>43.12</v>
      </c>
      <c r="L42" s="103" t="str">
        <f t="shared" si="4"/>
        <v/>
      </c>
      <c r="M42" s="27"/>
      <c r="Q42" s="1894"/>
    </row>
    <row r="43" spans="1:17" ht="15" customHeight="1" x14ac:dyDescent="0.25">
      <c r="A43" s="593"/>
      <c r="B43" s="319" t="str">
        <f t="shared" si="2"/>
        <v>Saudi Aramco Corporate Academy - Dhahran</v>
      </c>
      <c r="C43" s="2519" t="s">
        <v>931</v>
      </c>
      <c r="D43" s="2519" t="s">
        <v>928</v>
      </c>
      <c r="E43" s="247">
        <v>1004.46</v>
      </c>
      <c r="F43" s="409">
        <v>34.54</v>
      </c>
      <c r="G43" s="501"/>
      <c r="H43" s="2520" t="s">
        <v>25</v>
      </c>
      <c r="I43" s="2521">
        <v>34.54</v>
      </c>
      <c r="L43" s="103" t="str">
        <f t="shared" si="4"/>
        <v/>
      </c>
      <c r="M43" s="27"/>
      <c r="Q43" s="1894"/>
    </row>
    <row r="44" spans="1:17" ht="15" customHeight="1" x14ac:dyDescent="0.25">
      <c r="A44" s="593"/>
      <c r="B44" s="319" t="str">
        <f t="shared" si="2"/>
        <v>Saudi Aramco Corporate Academy - Dhahran</v>
      </c>
      <c r="C44" s="2519" t="s">
        <v>932</v>
      </c>
      <c r="D44" s="2519" t="s">
        <v>932</v>
      </c>
      <c r="E44" s="247">
        <v>13.49</v>
      </c>
      <c r="F44" s="409">
        <v>7.41</v>
      </c>
      <c r="G44" s="501"/>
      <c r="H44" s="2520" t="s">
        <v>25</v>
      </c>
      <c r="I44" s="2521">
        <v>7.41</v>
      </c>
      <c r="L44" s="103" t="str">
        <f t="shared" si="4"/>
        <v/>
      </c>
      <c r="M44" s="27"/>
      <c r="Q44" s="1894"/>
    </row>
    <row r="45" spans="1:17" ht="15" customHeight="1" x14ac:dyDescent="0.25">
      <c r="A45" s="593"/>
      <c r="B45" s="319" t="str">
        <f t="shared" si="2"/>
        <v>Saudi Aramco Corporate Academy - Dhahran</v>
      </c>
      <c r="C45" s="2519" t="s">
        <v>928</v>
      </c>
      <c r="D45" s="2519" t="s">
        <v>276</v>
      </c>
      <c r="E45" s="247">
        <v>886.82</v>
      </c>
      <c r="F45" s="409">
        <v>4.5999999999999996</v>
      </c>
      <c r="G45" s="501"/>
      <c r="H45" s="2520" t="s">
        <v>25</v>
      </c>
      <c r="I45" s="2521">
        <v>4.5999999999999996</v>
      </c>
      <c r="L45" s="103" t="str">
        <f t="shared" si="4"/>
        <v/>
      </c>
      <c r="M45" s="27"/>
      <c r="Q45" s="1894"/>
    </row>
    <row r="46" spans="1:17" ht="15" customHeight="1" x14ac:dyDescent="0.25">
      <c r="A46" s="593"/>
      <c r="B46" s="319" t="str">
        <f t="shared" si="2"/>
        <v>Saudi Aramco Corporate Academy - Dhahran</v>
      </c>
      <c r="C46" s="2519" t="s">
        <v>933</v>
      </c>
      <c r="D46" s="2519" t="s">
        <v>931</v>
      </c>
      <c r="E46" s="247">
        <v>1578.37</v>
      </c>
      <c r="F46" s="409">
        <v>74.91</v>
      </c>
      <c r="G46" s="501"/>
      <c r="H46" s="2520" t="s">
        <v>25</v>
      </c>
      <c r="I46" s="2521">
        <v>74.91</v>
      </c>
      <c r="L46" s="103" t="str">
        <f t="shared" si="4"/>
        <v/>
      </c>
      <c r="M46" s="27"/>
      <c r="Q46" s="1894"/>
    </row>
    <row r="47" spans="1:17" ht="15" customHeight="1" x14ac:dyDescent="0.25">
      <c r="A47" s="593"/>
      <c r="B47" s="319" t="str">
        <f t="shared" si="2"/>
        <v>Saudi Aramco Corporate Academy - Dhahran</v>
      </c>
      <c r="C47" s="2519" t="s">
        <v>934</v>
      </c>
      <c r="D47" s="2519" t="s">
        <v>938</v>
      </c>
      <c r="E47" s="247">
        <v>231.37</v>
      </c>
      <c r="F47" s="409">
        <v>41.27</v>
      </c>
      <c r="G47" s="501"/>
      <c r="H47" s="2520" t="s">
        <v>25</v>
      </c>
      <c r="I47" s="2521">
        <v>41.27</v>
      </c>
      <c r="L47" s="103" t="str">
        <f t="shared" si="4"/>
        <v/>
      </c>
      <c r="M47" s="27"/>
      <c r="Q47" s="1894"/>
    </row>
    <row r="48" spans="1:17" ht="15" customHeight="1" x14ac:dyDescent="0.25">
      <c r="A48" s="593"/>
      <c r="B48" s="319" t="str">
        <f t="shared" si="2"/>
        <v>Saudi Aramco Corporate Academy - Dhahran</v>
      </c>
      <c r="C48" s="2519" t="s">
        <v>273</v>
      </c>
      <c r="D48" s="2519" t="s">
        <v>1963</v>
      </c>
      <c r="E48" s="247">
        <v>1281.08</v>
      </c>
      <c r="F48" s="409">
        <v>47.77</v>
      </c>
      <c r="G48" s="501"/>
      <c r="H48" s="2520" t="s">
        <v>25</v>
      </c>
      <c r="I48" s="2521">
        <v>47.77</v>
      </c>
      <c r="L48" s="103" t="str">
        <f t="shared" si="4"/>
        <v/>
      </c>
      <c r="M48" s="27"/>
      <c r="Q48" s="1894"/>
    </row>
    <row r="49" spans="1:17" ht="45.6" x14ac:dyDescent="0.25">
      <c r="A49" s="593"/>
      <c r="B49" s="319" t="str">
        <f t="shared" si="2"/>
        <v>Saudi Aramco Corporate Academy - Dhahran</v>
      </c>
      <c r="C49" s="2519" t="s">
        <v>1070</v>
      </c>
      <c r="D49" s="2519" t="s">
        <v>1070</v>
      </c>
      <c r="E49" s="247">
        <v>22.16</v>
      </c>
      <c r="F49" s="409">
        <v>13.57</v>
      </c>
      <c r="G49" s="501"/>
      <c r="H49" s="2520" t="s">
        <v>25</v>
      </c>
      <c r="I49" s="2521">
        <v>13.57</v>
      </c>
      <c r="L49" s="103" t="str">
        <f t="shared" si="3"/>
        <v/>
      </c>
      <c r="M49" s="27"/>
      <c r="Q49" s="1894"/>
    </row>
    <row r="50" spans="1:17" ht="15" customHeight="1" x14ac:dyDescent="0.25">
      <c r="A50" s="593"/>
      <c r="B50" s="319" t="str">
        <f t="shared" si="2"/>
        <v>Saudi Aramco Corporate Academy - Dhahran</v>
      </c>
      <c r="C50" s="2519" t="s">
        <v>938</v>
      </c>
      <c r="D50" s="2519" t="s">
        <v>933</v>
      </c>
      <c r="E50" s="247">
        <v>33.729999999999997</v>
      </c>
      <c r="F50" s="409">
        <v>44.51</v>
      </c>
      <c r="G50" s="501"/>
      <c r="H50" s="2520" t="s">
        <v>25</v>
      </c>
      <c r="I50" s="2521">
        <v>44.51</v>
      </c>
      <c r="L50" s="103" t="str">
        <f t="shared" si="3"/>
        <v/>
      </c>
      <c r="M50" s="27"/>
      <c r="Q50" s="1894"/>
    </row>
    <row r="51" spans="1:17" ht="15" customHeight="1" x14ac:dyDescent="0.25">
      <c r="A51" s="593"/>
      <c r="B51" s="319" t="str">
        <f t="shared" si="2"/>
        <v>Saudi Aramco Corporate Academy - Dhahran</v>
      </c>
      <c r="C51" s="2519" t="s">
        <v>939</v>
      </c>
      <c r="D51" s="2519" t="s">
        <v>91</v>
      </c>
      <c r="E51" s="247">
        <v>222.7</v>
      </c>
      <c r="F51" s="409">
        <v>10.95</v>
      </c>
      <c r="G51" s="501"/>
      <c r="H51" s="2520" t="s">
        <v>25</v>
      </c>
      <c r="I51" s="2521">
        <v>10.95</v>
      </c>
      <c r="L51" s="103" t="str">
        <f t="shared" si="3"/>
        <v/>
      </c>
      <c r="M51" s="27"/>
      <c r="Q51" s="1894"/>
    </row>
    <row r="52" spans="1:17" ht="15" customHeight="1" x14ac:dyDescent="0.25">
      <c r="A52" s="593"/>
      <c r="B52" s="319" t="str">
        <f t="shared" si="2"/>
        <v>Saudi Aramco Corporate Academy - Dhahran</v>
      </c>
      <c r="C52" s="2519" t="s">
        <v>274</v>
      </c>
      <c r="D52" s="2519" t="s">
        <v>934</v>
      </c>
      <c r="E52" s="247">
        <v>409.15</v>
      </c>
      <c r="F52" s="409">
        <v>44.24</v>
      </c>
      <c r="G52" s="501"/>
      <c r="H52" s="2520" t="s">
        <v>25</v>
      </c>
      <c r="I52" s="2521">
        <v>44.24</v>
      </c>
      <c r="L52" s="103" t="str">
        <f t="shared" si="3"/>
        <v/>
      </c>
      <c r="M52" s="27"/>
      <c r="Q52" s="1894"/>
    </row>
    <row r="53" spans="1:17" ht="15" customHeight="1" x14ac:dyDescent="0.25">
      <c r="A53" s="593"/>
      <c r="B53" s="319" t="str">
        <f t="shared" si="2"/>
        <v>Saudi Aramco Corporate Academy - Dhahran</v>
      </c>
      <c r="C53" s="2519" t="s">
        <v>275</v>
      </c>
      <c r="D53" s="2519" t="s">
        <v>274</v>
      </c>
      <c r="E53" s="247">
        <v>1239.48</v>
      </c>
      <c r="F53" s="409">
        <v>29.88</v>
      </c>
      <c r="G53" s="501"/>
      <c r="H53" s="2520" t="s">
        <v>25</v>
      </c>
      <c r="I53" s="2521">
        <v>29.88</v>
      </c>
      <c r="L53" s="103" t="str">
        <f t="shared" si="3"/>
        <v/>
      </c>
      <c r="M53" s="27"/>
      <c r="Q53" s="1894"/>
    </row>
    <row r="54" spans="1:17" ht="15" customHeight="1" x14ac:dyDescent="0.25">
      <c r="A54" s="593"/>
      <c r="B54" s="1561" t="str">
        <f t="shared" si="2"/>
        <v>Saudi Aramco Corporate Academy - Dhahran</v>
      </c>
      <c r="C54" s="2552" t="s">
        <v>973</v>
      </c>
      <c r="D54" s="2552" t="s">
        <v>931</v>
      </c>
      <c r="E54" s="248">
        <v>259.69</v>
      </c>
      <c r="F54" s="1562">
        <v>21.91</v>
      </c>
      <c r="G54" s="1563"/>
      <c r="H54" s="2535" t="s">
        <v>25</v>
      </c>
      <c r="I54" s="2536">
        <v>21.91</v>
      </c>
      <c r="L54" s="103" t="str">
        <f t="shared" si="3"/>
        <v/>
      </c>
      <c r="M54" s="27"/>
      <c r="Q54" s="1894"/>
    </row>
    <row r="55" spans="1:17" ht="20.25" customHeight="1" x14ac:dyDescent="0.25">
      <c r="A55" s="593" t="s">
        <v>1299</v>
      </c>
      <c r="B55" s="2537" t="s">
        <v>147</v>
      </c>
      <c r="C55" s="2538"/>
      <c r="D55" s="2538"/>
      <c r="E55" s="1564">
        <f>SUM($E$39:$E$54)</f>
        <v>11885.51</v>
      </c>
      <c r="F55" s="1565">
        <f>IFERROR(SUMPRODUCT($E$39:$E$54,$F$39:$F$54)/SUM($E$39:$E$54),0)</f>
        <v>38.846343379459533</v>
      </c>
      <c r="G55" s="2526"/>
      <c r="H55" s="2526"/>
      <c r="I55" s="2527"/>
      <c r="L55" s="56"/>
      <c r="M55" s="27"/>
      <c r="Q55" s="1894"/>
    </row>
    <row r="56" spans="1:17" ht="20.25" customHeight="1" x14ac:dyDescent="0.25">
      <c r="A56" s="593" t="s">
        <v>1299</v>
      </c>
      <c r="B56" s="2537" t="s">
        <v>325</v>
      </c>
      <c r="C56" s="2538"/>
      <c r="D56" s="2538"/>
      <c r="E56" s="2538"/>
      <c r="F56" s="2538"/>
      <c r="G56" s="2538"/>
      <c r="H56" s="2538"/>
      <c r="I56" s="1566">
        <f>SUMPRODUCT($E$39:$E$54,$F$39:$F$54)/1000</f>
        <v>461.70860270000003</v>
      </c>
      <c r="L56" s="56"/>
      <c r="M56" s="27"/>
      <c r="Q56" s="1894"/>
    </row>
    <row r="57" spans="1:17" ht="20.25" customHeight="1" x14ac:dyDescent="0.25">
      <c r="A57" s="593"/>
      <c r="B57" s="64" t="s">
        <v>324</v>
      </c>
      <c r="C57" s="768"/>
      <c r="D57" s="768"/>
      <c r="E57" s="768"/>
      <c r="F57" s="768"/>
      <c r="G57" s="767"/>
      <c r="H57" s="56"/>
      <c r="L57" s="27"/>
    </row>
    <row r="58" spans="1:17" ht="21" customHeight="1" x14ac:dyDescent="0.25">
      <c r="A58" s="593" t="s">
        <v>1299</v>
      </c>
      <c r="B58" s="1" t="str">
        <f>IF(ResDwellingUnitsExist="Yes","Note: The above table is for spaces other than dwelling units.  To enter dwelling unit values, use the Multifamily Details tab.","")</f>
        <v/>
      </c>
      <c r="C58" s="58"/>
      <c r="D58" s="58"/>
      <c r="E58" s="59"/>
      <c r="F58" s="62"/>
      <c r="G58" s="63"/>
      <c r="H58" s="56"/>
      <c r="L58" s="27"/>
    </row>
    <row r="59" spans="1:17" ht="37.5" customHeight="1" x14ac:dyDescent="0.25">
      <c r="A59" s="593" t="s">
        <v>1299</v>
      </c>
      <c r="C59" s="58"/>
      <c r="D59" s="58"/>
      <c r="E59" s="59"/>
      <c r="F59" s="27"/>
      <c r="G59" s="25"/>
      <c r="H59" s="56"/>
      <c r="L59" s="27"/>
    </row>
    <row r="60" spans="1:17" s="24" customFormat="1" ht="21" customHeight="1" x14ac:dyDescent="0.25">
      <c r="A60" s="593" t="s">
        <v>1299</v>
      </c>
      <c r="B60" s="55"/>
      <c r="C60" s="55"/>
      <c r="D60" s="55"/>
      <c r="E60" s="55"/>
      <c r="F60" s="55"/>
      <c r="G60" s="55"/>
      <c r="H60" s="55"/>
      <c r="L60" s="55"/>
      <c r="M60" s="31"/>
      <c r="O60" s="25"/>
    </row>
    <row r="61" spans="1:17" s="24" customFormat="1" ht="21" hidden="1" customHeight="1" x14ac:dyDescent="0.25">
      <c r="A61" s="593"/>
      <c r="B61" s="26" t="s">
        <v>1356</v>
      </c>
      <c r="C61" s="55"/>
      <c r="D61" s="55"/>
      <c r="E61" s="55"/>
      <c r="F61" s="55"/>
      <c r="G61" s="55"/>
      <c r="H61" s="55"/>
      <c r="L61" s="55"/>
      <c r="M61" s="31"/>
      <c r="O61" s="25"/>
    </row>
    <row r="62" spans="1:17" s="24" customFormat="1" ht="15" hidden="1" customHeight="1" x14ac:dyDescent="0.25">
      <c r="A62" s="593"/>
      <c r="B62" s="26"/>
      <c r="C62" s="55"/>
      <c r="D62" s="55"/>
      <c r="E62" s="55"/>
      <c r="F62" s="55"/>
      <c r="G62" s="55"/>
      <c r="H62" s="55"/>
      <c r="L62" s="55"/>
      <c r="M62" s="31"/>
      <c r="O62" s="25"/>
    </row>
    <row r="63" spans="1:17" s="24" customFormat="1" ht="71.25" hidden="1" customHeight="1" x14ac:dyDescent="0.25">
      <c r="A63" s="593"/>
      <c r="B63" s="743" t="s">
        <v>1357</v>
      </c>
      <c r="C63" s="742" t="s">
        <v>1385</v>
      </c>
      <c r="D63" s="742"/>
      <c r="E63" s="742" t="s">
        <v>1386</v>
      </c>
      <c r="F63" s="762"/>
      <c r="G63" s="763"/>
      <c r="H63" s="55"/>
      <c r="L63" s="55"/>
      <c r="M63" s="31"/>
      <c r="O63" s="25"/>
    </row>
    <row r="64" spans="1:17" s="24" customFormat="1" ht="15" hidden="1" customHeight="1" x14ac:dyDescent="0.25">
      <c r="A64" s="593"/>
      <c r="B64" s="319"/>
      <c r="C64" s="247"/>
      <c r="D64" s="247"/>
      <c r="E64" s="409"/>
      <c r="F64" s="501"/>
      <c r="G64" s="408"/>
      <c r="H64" s="55"/>
      <c r="L64" s="55"/>
      <c r="M64" s="31"/>
      <c r="O64" s="25"/>
    </row>
    <row r="65" spans="1:17" s="24" customFormat="1" ht="15" hidden="1" customHeight="1" x14ac:dyDescent="0.25">
      <c r="A65" s="593"/>
      <c r="B65" s="319"/>
      <c r="C65" s="247"/>
      <c r="D65" s="247"/>
      <c r="E65" s="409"/>
      <c r="F65" s="501"/>
      <c r="G65" s="408"/>
      <c r="H65" s="55"/>
      <c r="L65" s="55"/>
      <c r="M65" s="31"/>
      <c r="O65" s="25"/>
    </row>
    <row r="66" spans="1:17" s="24" customFormat="1" ht="15" hidden="1" customHeight="1" x14ac:dyDescent="0.25">
      <c r="A66" s="593"/>
      <c r="B66" s="319"/>
      <c r="C66" s="247"/>
      <c r="D66" s="247"/>
      <c r="E66" s="409"/>
      <c r="F66" s="501"/>
      <c r="G66" s="408"/>
      <c r="H66" s="55"/>
      <c r="L66" s="55"/>
      <c r="M66" s="31"/>
      <c r="O66" s="25"/>
    </row>
    <row r="67" spans="1:17" s="24" customFormat="1" ht="15" hidden="1" customHeight="1" x14ac:dyDescent="0.25">
      <c r="A67" s="593"/>
      <c r="B67" s="746"/>
      <c r="C67" s="747"/>
      <c r="D67" s="747"/>
      <c r="E67" s="748"/>
      <c r="F67" s="746"/>
      <c r="G67" s="749"/>
      <c r="H67" s="55"/>
      <c r="L67" s="55"/>
      <c r="M67" s="31"/>
      <c r="O67" s="25"/>
    </row>
    <row r="68" spans="1:17" s="24" customFormat="1" ht="26.25" customHeight="1" x14ac:dyDescent="0.25">
      <c r="A68" s="593" t="s">
        <v>1299</v>
      </c>
      <c r="B68" s="26" t="s">
        <v>321</v>
      </c>
      <c r="C68" s="31"/>
      <c r="D68" s="31"/>
      <c r="E68" s="31"/>
      <c r="F68" s="31"/>
      <c r="G68" s="31"/>
      <c r="H68" s="31"/>
      <c r="L68" s="31"/>
      <c r="M68" s="31"/>
      <c r="N68" s="31"/>
      <c r="O68" s="31"/>
    </row>
    <row r="69" spans="1:17" s="24" customFormat="1" ht="20.25" customHeight="1" x14ac:dyDescent="0.25">
      <c r="A69" s="593" t="s">
        <v>1299</v>
      </c>
      <c r="B69" s="877" t="s">
        <v>1358</v>
      </c>
      <c r="C69" s="2533" t="s">
        <v>121</v>
      </c>
      <c r="D69" s="2533"/>
      <c r="E69" s="2533"/>
      <c r="F69" s="2533"/>
      <c r="G69" s="2533"/>
      <c r="H69" s="2533"/>
      <c r="I69" s="877" t="s">
        <v>243</v>
      </c>
      <c r="L69" s="31"/>
      <c r="M69" s="31"/>
      <c r="N69" s="31"/>
      <c r="O69" s="31"/>
    </row>
    <row r="70" spans="1:17" s="24" customFormat="1" ht="20.25" customHeight="1" x14ac:dyDescent="0.25">
      <c r="A70" s="593"/>
      <c r="B70" s="1571" t="str">
        <f>'Multiple Buildings Details'!B24</f>
        <v>Saudi Aramco Corporate Academy - Dhahran</v>
      </c>
      <c r="C70" s="2534" t="str">
        <f>"Total power for receptacle equipment"</f>
        <v>Total power for receptacle equipment</v>
      </c>
      <c r="D70" s="2534"/>
      <c r="E70" s="2534"/>
      <c r="F70" s="2534"/>
      <c r="G70" s="2534"/>
      <c r="H70" s="2534"/>
      <c r="I70" s="883">
        <f>IF($N$16=TRUE,SUMPRODUCT(--($B$39:$B$54=$B70),$E$39:$E$54,$F$39:$F$54)/1000,0)+IF($M$16=TRUE,SUMPRODUCT(--($B$22:$B$28=$B70),$E$22:$E$28,$F$22:$F$28)/1000,0)</f>
        <v>461.70860270000003</v>
      </c>
      <c r="L70" s="31"/>
      <c r="M70" s="31"/>
      <c r="N70" s="31"/>
      <c r="O70" s="31"/>
      <c r="Q70" s="1895"/>
    </row>
    <row r="71" spans="1:17" s="24" customFormat="1" ht="21" customHeight="1" x14ac:dyDescent="0.25">
      <c r="A71" s="593" t="s">
        <v>1299</v>
      </c>
      <c r="B71" s="55"/>
      <c r="C71" s="55"/>
      <c r="D71" s="55"/>
      <c r="E71" s="55"/>
      <c r="F71" s="55"/>
      <c r="G71" s="55"/>
      <c r="H71" s="55"/>
      <c r="L71" s="55"/>
      <c r="O71" s="25"/>
    </row>
    <row r="72" spans="1:17" s="24" customFormat="1" ht="26.25" customHeight="1" x14ac:dyDescent="0.25">
      <c r="A72" s="593" t="s">
        <v>1299</v>
      </c>
      <c r="B72" s="26" t="s">
        <v>999</v>
      </c>
      <c r="C72" s="31"/>
      <c r="D72" s="31"/>
      <c r="E72" s="31"/>
      <c r="F72" s="31"/>
      <c r="G72" s="31"/>
      <c r="H72" s="31"/>
      <c r="L72" s="31"/>
      <c r="N72" s="31"/>
      <c r="O72" s="31"/>
    </row>
    <row r="73" spans="1:17" ht="39.6" x14ac:dyDescent="0.25">
      <c r="A73" s="593" t="s">
        <v>1299</v>
      </c>
      <c r="B73" s="1567" t="s">
        <v>1358</v>
      </c>
      <c r="C73" s="2539" t="s">
        <v>326</v>
      </c>
      <c r="D73" s="2539"/>
      <c r="E73" s="1568" t="s">
        <v>327</v>
      </c>
      <c r="F73" s="1568" t="str">
        <f>IF('General Information'!$I$12="IP","Energy Demand 
(kW for electricity) 
(Btuh for non-electricity)","
Energy Demand (kW)")</f>
        <v xml:space="preserve">
Energy Demand (kW)</v>
      </c>
      <c r="G73" s="1568" t="s">
        <v>131</v>
      </c>
      <c r="H73" s="2539" t="s">
        <v>322</v>
      </c>
      <c r="I73" s="2302"/>
      <c r="L73" s="56"/>
      <c r="M73" s="27"/>
    </row>
    <row r="74" spans="1:17" ht="332.25" customHeight="1" x14ac:dyDescent="0.25">
      <c r="A74" s="593"/>
      <c r="B74" s="1570" t="s">
        <v>1888</v>
      </c>
      <c r="C74" s="2528" t="s">
        <v>1742</v>
      </c>
      <c r="D74" s="2529"/>
      <c r="E74" s="1494"/>
      <c r="F74" s="1494"/>
      <c r="G74" s="1494" t="s">
        <v>1743</v>
      </c>
      <c r="H74" s="2528" t="s">
        <v>1744</v>
      </c>
      <c r="I74" s="2231"/>
      <c r="L74" s="56"/>
      <c r="M74" s="27"/>
    </row>
    <row r="75" spans="1:17" ht="45.6" hidden="1" x14ac:dyDescent="0.25">
      <c r="A75" s="593" t="s">
        <v>918</v>
      </c>
      <c r="B75" s="721" t="str">
        <f t="shared" ref="B75:B77" si="5">GI_Project_Name</f>
        <v>Saudi Aramco Corporate Academy - Dhahran</v>
      </c>
      <c r="C75" s="2530"/>
      <c r="D75" s="2530"/>
      <c r="E75" s="1569"/>
      <c r="F75" s="722"/>
      <c r="G75" s="1569"/>
      <c r="H75" s="2530"/>
      <c r="I75" s="2531"/>
      <c r="L75" s="103" t="str">
        <f t="shared" ref="L75:L77" si="6">IF(H75="No","Submit savings using Exceptional Calculation","")</f>
        <v/>
      </c>
      <c r="M75" s="27"/>
      <c r="Q75" s="1894"/>
    </row>
    <row r="76" spans="1:17" ht="15" customHeight="1" x14ac:dyDescent="0.25">
      <c r="B76" s="319" t="str">
        <f t="shared" si="5"/>
        <v>Saudi Aramco Corporate Academy - Dhahran</v>
      </c>
      <c r="C76" s="2520" t="s">
        <v>2255</v>
      </c>
      <c r="D76" s="2520"/>
      <c r="E76" s="501" t="s">
        <v>464</v>
      </c>
      <c r="F76" s="413">
        <v>55.26</v>
      </c>
      <c r="G76" s="501"/>
      <c r="H76" s="2520" t="s">
        <v>25</v>
      </c>
      <c r="I76" s="2521"/>
      <c r="L76" s="103" t="str">
        <f t="shared" si="6"/>
        <v/>
      </c>
      <c r="M76" s="27"/>
      <c r="Q76" s="1894"/>
    </row>
    <row r="77" spans="1:17" ht="15" customHeight="1" x14ac:dyDescent="0.25">
      <c r="A77" s="593"/>
      <c r="B77" s="319" t="str">
        <f t="shared" si="5"/>
        <v>Saudi Aramco Corporate Academy - Dhahran</v>
      </c>
      <c r="C77" s="2520" t="s">
        <v>2256</v>
      </c>
      <c r="D77" s="2520"/>
      <c r="E77" s="501" t="s">
        <v>464</v>
      </c>
      <c r="F77" s="413">
        <v>23.04</v>
      </c>
      <c r="G77" s="501"/>
      <c r="H77" s="2520" t="s">
        <v>25</v>
      </c>
      <c r="I77" s="2521"/>
      <c r="L77" s="103" t="str">
        <f t="shared" si="6"/>
        <v/>
      </c>
      <c r="M77" s="27"/>
      <c r="Q77" s="1894"/>
    </row>
    <row r="78" spans="1:17" ht="30.75" customHeight="1" x14ac:dyDescent="0.25">
      <c r="A78" s="593" t="s">
        <v>1299</v>
      </c>
      <c r="B78" s="64" t="s">
        <v>998</v>
      </c>
      <c r="C78" s="58"/>
      <c r="D78" s="58"/>
      <c r="E78" s="59"/>
      <c r="F78" s="62"/>
      <c r="G78" s="63"/>
      <c r="H78" s="56"/>
    </row>
    <row r="79" spans="1:17" ht="37.5" customHeight="1" x14ac:dyDescent="0.25">
      <c r="A79" s="593" t="s">
        <v>1299</v>
      </c>
      <c r="C79" s="58"/>
      <c r="D79" s="58"/>
      <c r="E79" s="59"/>
      <c r="F79" s="27"/>
      <c r="G79" s="25"/>
      <c r="H79" s="56"/>
      <c r="L79" s="27"/>
    </row>
    <row r="80" spans="1:17" x14ac:dyDescent="0.25">
      <c r="A80" s="593" t="s">
        <v>1299</v>
      </c>
      <c r="L80" s="27"/>
    </row>
    <row r="81" spans="1:17" ht="35.25" customHeight="1" x14ac:dyDescent="0.25">
      <c r="A81" s="593" t="s">
        <v>1299</v>
      </c>
      <c r="B81" s="26" t="s">
        <v>1600</v>
      </c>
      <c r="G81" s="738"/>
      <c r="O81" s="478"/>
      <c r="P81" s="478"/>
      <c r="Q81" s="478"/>
    </row>
    <row r="82" spans="1:17" ht="18.75" customHeight="1" x14ac:dyDescent="0.25">
      <c r="A82" s="593"/>
      <c r="B82" s="26"/>
      <c r="E82" s="882"/>
      <c r="G82" s="738"/>
      <c r="O82" s="478"/>
      <c r="P82" s="478"/>
      <c r="Q82" s="478"/>
    </row>
    <row r="83" spans="1:17" x14ac:dyDescent="0.25">
      <c r="A83" s="593"/>
      <c r="L83" s="27"/>
    </row>
    <row r="84" spans="1:17" ht="39.75" customHeight="1" x14ac:dyDescent="0.25">
      <c r="A84" s="593" t="s">
        <v>1299</v>
      </c>
      <c r="B84" s="743" t="s">
        <v>1358</v>
      </c>
      <c r="C84" s="742" t="s">
        <v>1604</v>
      </c>
      <c r="D84" s="742" t="s">
        <v>1605</v>
      </c>
      <c r="E84" s="742" t="str">
        <f>CONCATENATE("Ventilated Parking Area ",IF(SI_IP_Units="IP","(square feet)","(square meter)"))</f>
        <v>Ventilated Parking Area (square meter)</v>
      </c>
      <c r="F84" s="742" t="str">
        <f>CONCATENATE("Proposed Airflow ",IF(SI_IP_Units="IP","CFM","M/S"))</f>
        <v>Proposed Airflow M/S</v>
      </c>
      <c r="G84" s="742" t="str">
        <f>CONCATENATE("Baseline Airflow ",IF(SI_IP_Units="IP","CFM","M/S"))</f>
        <v>Baseline Airflow M/S</v>
      </c>
      <c r="H84" s="742" t="s">
        <v>1602</v>
      </c>
      <c r="I84" s="875" t="s">
        <v>1603</v>
      </c>
      <c r="O84" s="583"/>
      <c r="P84" s="583"/>
      <c r="Q84" s="478"/>
    </row>
    <row r="85" spans="1:17" ht="14.25" hidden="1" customHeight="1" x14ac:dyDescent="0.25">
      <c r="A85" s="593" t="s">
        <v>919</v>
      </c>
      <c r="B85" s="319" t="str">
        <f>GI_Project_Name</f>
        <v>Saudi Aramco Corporate Academy - Dhahran</v>
      </c>
      <c r="C85" s="501"/>
      <c r="D85" s="952" t="s">
        <v>1702</v>
      </c>
      <c r="E85" s="501"/>
      <c r="F85" s="501"/>
      <c r="G85" s="952" t="s">
        <v>1702</v>
      </c>
      <c r="H85" s="413"/>
      <c r="I85" s="953" t="s">
        <v>1702</v>
      </c>
      <c r="O85" s="878"/>
      <c r="P85" s="878"/>
      <c r="Q85" s="1894"/>
    </row>
    <row r="86" spans="1:17" ht="15" customHeight="1" x14ac:dyDescent="0.25">
      <c r="A86" s="593"/>
      <c r="B86" s="319" t="str">
        <f>GI_Project_Name</f>
        <v>Saudi Aramco Corporate Academy - Dhahran</v>
      </c>
      <c r="C86" s="501"/>
      <c r="D86" s="952" t="s">
        <v>1702</v>
      </c>
      <c r="E86" s="501"/>
      <c r="F86" s="501"/>
      <c r="G86" s="952" t="s">
        <v>1702</v>
      </c>
      <c r="H86" s="413"/>
      <c r="I86" s="953" t="s">
        <v>1702</v>
      </c>
      <c r="O86" s="878"/>
      <c r="P86" s="878"/>
      <c r="Q86" s="1894"/>
    </row>
    <row r="87" spans="1:17" ht="78.75" customHeight="1" x14ac:dyDescent="0.25">
      <c r="A87" s="593" t="s">
        <v>1299</v>
      </c>
      <c r="B87" s="2551" t="str">
        <f>"Note: "&amp;CHAR(10)&amp;
"1.  The Baseline parking area must meet the requirements of ASHRAE 90.1-2010 Section 6.4.3.4.5 which establish mandatory Demand"&amp;CHAR(10)&amp;"     Controlled Ventilation (DCV)."&amp;CHAR(10)&amp;
"2.  Fan power for the Baseline case is limited to 0.3 W/CFM"&amp;CHAR(10)&amp;
"3.  Additional requirements are listed in LEED Interpretation #10371 which outlines DCV as an Energy Conservation Measure (ECM) in"&amp;CHAR(10)&amp;"     garage areas."</f>
        <v>Note: 
1.  The Baseline parking area must meet the requirements of ASHRAE 90.1-2010 Section 6.4.3.4.5 which establish mandatory Demand
     Controlled Ventilation (DCV).
2.  Fan power for the Baseline case is limited to 0.3 W/CFM
3.  Additional requirements are listed in LEED Interpretation #10371 which outlines DCV as an Energy Conservation Measure (ECM) in
     garage areas.</v>
      </c>
      <c r="C87" s="2551"/>
      <c r="D87" s="2551"/>
      <c r="E87" s="2551"/>
      <c r="F87" s="2551"/>
      <c r="G87" s="2551"/>
      <c r="H87" s="2551"/>
      <c r="I87" s="2551"/>
      <c r="L87" s="27"/>
      <c r="O87" s="478"/>
      <c r="P87" s="478"/>
      <c r="Q87" s="478"/>
    </row>
    <row r="88" spans="1:17" ht="40.5" customHeight="1" x14ac:dyDescent="0.25">
      <c r="A88" s="593" t="s">
        <v>1299</v>
      </c>
      <c r="L88" s="27"/>
      <c r="O88" s="478"/>
      <c r="P88" s="478"/>
      <c r="Q88" s="478"/>
    </row>
    <row r="89" spans="1:17" x14ac:dyDescent="0.25">
      <c r="A89" s="593" t="s">
        <v>1299</v>
      </c>
      <c r="O89" s="478"/>
      <c r="P89" s="478"/>
      <c r="Q89" s="478"/>
    </row>
    <row r="90" spans="1:17" x14ac:dyDescent="0.25">
      <c r="A90" s="593" t="s">
        <v>1299</v>
      </c>
      <c r="B90" s="738"/>
      <c r="F90" s="738"/>
    </row>
    <row r="91" spans="1:17" ht="102.75" customHeight="1" x14ac:dyDescent="0.25">
      <c r="A91" s="593" t="s">
        <v>1299</v>
      </c>
      <c r="B91" s="2550"/>
      <c r="C91" s="2550"/>
      <c r="D91" s="2550"/>
      <c r="E91" s="2550"/>
      <c r="F91" s="2550"/>
      <c r="G91" s="2550"/>
      <c r="H91" s="2550"/>
      <c r="I91" s="2550"/>
    </row>
    <row r="93" spans="1:17" x14ac:dyDescent="0.25">
      <c r="D93" s="738"/>
    </row>
    <row r="94" spans="1:17" x14ac:dyDescent="0.25">
      <c r="D94" s="738"/>
      <c r="G94" s="53"/>
      <c r="H94" s="27"/>
      <c r="I94" s="34"/>
    </row>
    <row r="95" spans="1:17" x14ac:dyDescent="0.25">
      <c r="G95" s="53"/>
      <c r="H95" s="27"/>
      <c r="I95" s="34"/>
    </row>
    <row r="96" spans="1:17" x14ac:dyDescent="0.25">
      <c r="G96" s="53"/>
      <c r="H96" s="27"/>
      <c r="I96" s="34"/>
    </row>
  </sheetData>
  <sheetProtection algorithmName="SHA-512" hashValue="q7kQoF/iyX9yzdPTkjYhiWMeGTZWpsmis4LvG0BaoDOwtR62SMYu8FFs3OLznpjOhF+DAfaqX4p/DzPVvszRhA==" saltValue="sp9e1gNnbK9v9P1WvroFAQ==" spinCount="100000" sheet="1" objects="1" scenarios="1"/>
  <customSheetViews>
    <customSheetView guid="{75D6F8CE-A4F4-4FDD-BA92-7996F9E19FA9}" showGridLines="0" hiddenRows="1" topLeftCell="A70">
      <selection activeCell="M71" sqref="M71"/>
      <pageMargins left="0.25" right="0.25" top="0.75" bottom="0.75" header="0.3" footer="0.3"/>
      <pageSetup scale="75" orientation="portrait" verticalDpi="1200" r:id="rId1"/>
    </customSheetView>
  </customSheetViews>
  <mergeCells count="81">
    <mergeCell ref="C23:D23"/>
    <mergeCell ref="H27:I27"/>
    <mergeCell ref="H28:I28"/>
    <mergeCell ref="H50:I50"/>
    <mergeCell ref="B91:I91"/>
    <mergeCell ref="B87:I87"/>
    <mergeCell ref="C28:D28"/>
    <mergeCell ref="B29:D29"/>
    <mergeCell ref="C37:D37"/>
    <mergeCell ref="C40:D40"/>
    <mergeCell ref="C49:D49"/>
    <mergeCell ref="B30:H30"/>
    <mergeCell ref="H37:I37"/>
    <mergeCell ref="H40:I40"/>
    <mergeCell ref="H49:I49"/>
    <mergeCell ref="C54:D54"/>
    <mergeCell ref="B8:H8"/>
    <mergeCell ref="B10:H10"/>
    <mergeCell ref="B13:I13"/>
    <mergeCell ref="B12:I12"/>
    <mergeCell ref="G16:I16"/>
    <mergeCell ref="B16:F16"/>
    <mergeCell ref="C77:D77"/>
    <mergeCell ref="C69:H69"/>
    <mergeCell ref="C70:H70"/>
    <mergeCell ref="H52:I52"/>
    <mergeCell ref="H53:I53"/>
    <mergeCell ref="H54:I54"/>
    <mergeCell ref="B55:D55"/>
    <mergeCell ref="H76:I76"/>
    <mergeCell ref="H77:I77"/>
    <mergeCell ref="G55:I55"/>
    <mergeCell ref="B56:H56"/>
    <mergeCell ref="H73:I73"/>
    <mergeCell ref="C73:D73"/>
    <mergeCell ref="C75:D75"/>
    <mergeCell ref="C76:D76"/>
    <mergeCell ref="H74:I74"/>
    <mergeCell ref="H21:I21"/>
    <mergeCell ref="H51:I51"/>
    <mergeCell ref="H46:I46"/>
    <mergeCell ref="C26:D26"/>
    <mergeCell ref="C27:D27"/>
    <mergeCell ref="C38:D38"/>
    <mergeCell ref="H38:I38"/>
    <mergeCell ref="C41:D41"/>
    <mergeCell ref="H41:I41"/>
    <mergeCell ref="C42:D42"/>
    <mergeCell ref="H42:I42"/>
    <mergeCell ref="C43:D43"/>
    <mergeCell ref="H43:I43"/>
    <mergeCell ref="C44:D44"/>
    <mergeCell ref="H44:I44"/>
    <mergeCell ref="C45:D45"/>
    <mergeCell ref="C74:D74"/>
    <mergeCell ref="H75:I75"/>
    <mergeCell ref="C50:D50"/>
    <mergeCell ref="C51:D51"/>
    <mergeCell ref="C52:D52"/>
    <mergeCell ref="C53:D53"/>
    <mergeCell ref="G29:I29"/>
    <mergeCell ref="C39:D39"/>
    <mergeCell ref="H39:I39"/>
    <mergeCell ref="H45:I45"/>
    <mergeCell ref="C46:D46"/>
    <mergeCell ref="C47:D47"/>
    <mergeCell ref="H47:I47"/>
    <mergeCell ref="C48:D48"/>
    <mergeCell ref="H48:I48"/>
    <mergeCell ref="B5:G5"/>
    <mergeCell ref="C22:D22"/>
    <mergeCell ref="H22:I22"/>
    <mergeCell ref="C20:D20"/>
    <mergeCell ref="C24:D24"/>
    <mergeCell ref="C25:D25"/>
    <mergeCell ref="C21:D21"/>
    <mergeCell ref="H20:I20"/>
    <mergeCell ref="H23:I23"/>
    <mergeCell ref="H24:I24"/>
    <mergeCell ref="H25:I25"/>
    <mergeCell ref="H26:I26"/>
  </mergeCells>
  <dataValidations count="7">
    <dataValidation type="list" allowBlank="1" showErrorMessage="1" sqref="I10 I8" xr:uid="{00000000-0002-0000-0C00-000000000000}">
      <formula1>"Yes,No,N/A"</formula1>
    </dataValidation>
    <dataValidation type="list" allowBlank="1" showInputMessage="1" showErrorMessage="1" sqref="H23:H28 H75:H77 H40:H54" xr:uid="{00000000-0002-0000-0C00-000001000000}">
      <formula1>"Yes,No"</formula1>
    </dataValidation>
    <dataValidation type="decimal" operator="greaterThanOrEqual" allowBlank="1" showInputMessage="1" showErrorMessage="1" error="Please enter the value only (without any labels)" sqref="F23:F28" xr:uid="{00000000-0002-0000-0C00-000002000000}">
      <formula1>0</formula1>
    </dataValidation>
    <dataValidation type="list" allowBlank="1" showInputMessage="1" showErrorMessage="1" sqref="E75:E77" xr:uid="{00000000-0002-0000-0C00-000003000000}">
      <formula1>FuelTypes</formula1>
    </dataValidation>
    <dataValidation type="list" allowBlank="1" showInputMessage="1" showErrorMessage="1" sqref="B85:B86 B23:B28 B75:B77 B40:B54" xr:uid="{00000000-0002-0000-0C00-000004000000}">
      <formula1>BuildingIDLookupAlt</formula1>
    </dataValidation>
    <dataValidation type="list" errorStyle="information" allowBlank="1" error="Manual entries are permitted. Table 9.5.1 values are only provided for reference." sqref="C22:D28" xr:uid="{00000000-0002-0000-0C00-000005000000}">
      <formula1>BAMCategories</formula1>
    </dataValidation>
    <dataValidation type="list" allowBlank="1" showInputMessage="1" sqref="C39:D54" xr:uid="{00000000-0002-0000-0C00-000006000000}">
      <formula1>SxSCategories</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6172" r:id="rId5" name="Button 28">
              <controlPr defaultSize="0" print="0" autoFill="0" autoPict="0" macro="[0]!addB">
                <anchor moveWithCells="1">
                  <from>
                    <xdr:col>1</xdr:col>
                    <xdr:colOff>45720</xdr:colOff>
                    <xdr:row>58</xdr:row>
                    <xdr:rowOff>0</xdr:rowOff>
                  </from>
                  <to>
                    <xdr:col>2</xdr:col>
                    <xdr:colOff>419100</xdr:colOff>
                    <xdr:row>58</xdr:row>
                    <xdr:rowOff>266700</xdr:rowOff>
                  </to>
                </anchor>
              </controlPr>
            </control>
          </mc:Choice>
        </mc:AlternateContent>
        <mc:AlternateContent xmlns:mc="http://schemas.openxmlformats.org/markup-compatibility/2006">
          <mc:Choice Requires="x14">
            <control shapeId="6174" r:id="rId6" name="Button 30">
              <controlPr defaultSize="0" print="0" autoFill="0" autoPict="0" macro="[0]!addC">
                <anchor moveWithCells="1">
                  <from>
                    <xdr:col>1</xdr:col>
                    <xdr:colOff>22860</xdr:colOff>
                    <xdr:row>78</xdr:row>
                    <xdr:rowOff>99060</xdr:rowOff>
                  </from>
                  <to>
                    <xdr:col>2</xdr:col>
                    <xdr:colOff>388620</xdr:colOff>
                    <xdr:row>78</xdr:row>
                    <xdr:rowOff>365760</xdr:rowOff>
                  </to>
                </anchor>
              </controlPr>
            </control>
          </mc:Choice>
        </mc:AlternateContent>
        <mc:AlternateContent xmlns:mc="http://schemas.openxmlformats.org/markup-compatibility/2006">
          <mc:Choice Requires="x14">
            <control shapeId="6193" r:id="rId7" name="Check Box 49">
              <controlPr defaultSize="0" autoFill="0" autoLine="0" autoPict="0" macro="[0]!PowerDensity_Change">
                <anchor moveWithCells="1">
                  <from>
                    <xdr:col>6</xdr:col>
                    <xdr:colOff>99060</xdr:colOff>
                    <xdr:row>15</xdr:row>
                    <xdr:rowOff>114300</xdr:rowOff>
                  </from>
                  <to>
                    <xdr:col>6</xdr:col>
                    <xdr:colOff>403860</xdr:colOff>
                    <xdr:row>15</xdr:row>
                    <xdr:rowOff>365760</xdr:rowOff>
                  </to>
                </anchor>
              </controlPr>
            </control>
          </mc:Choice>
        </mc:AlternateContent>
        <mc:AlternateContent xmlns:mc="http://schemas.openxmlformats.org/markup-compatibility/2006">
          <mc:Choice Requires="x14">
            <control shapeId="6194" r:id="rId8" name="Check Box 50">
              <controlPr defaultSize="0" autoFill="0" autoLine="0" autoPict="0" macro="[0]!PowerDensity_Change">
                <anchor moveWithCells="1">
                  <from>
                    <xdr:col>6</xdr:col>
                    <xdr:colOff>99060</xdr:colOff>
                    <xdr:row>15</xdr:row>
                    <xdr:rowOff>441960</xdr:rowOff>
                  </from>
                  <to>
                    <xdr:col>6</xdr:col>
                    <xdr:colOff>342900</xdr:colOff>
                    <xdr:row>15</xdr:row>
                    <xdr:rowOff>647700</xdr:rowOff>
                  </to>
                </anchor>
              </controlPr>
            </control>
          </mc:Choice>
        </mc:AlternateContent>
        <mc:AlternateContent xmlns:mc="http://schemas.openxmlformats.org/markup-compatibility/2006">
          <mc:Choice Requires="x14">
            <control shapeId="6226" r:id="rId9" name="Button 82">
              <controlPr defaultSize="0" print="0" autoFill="0" autoPict="0" macro="[0]!DeleteSome">
                <anchor moveWithCells="1">
                  <from>
                    <xdr:col>2</xdr:col>
                    <xdr:colOff>563880</xdr:colOff>
                    <xdr:row>58</xdr:row>
                    <xdr:rowOff>0</xdr:rowOff>
                  </from>
                  <to>
                    <xdr:col>3</xdr:col>
                    <xdr:colOff>922020</xdr:colOff>
                    <xdr:row>58</xdr:row>
                    <xdr:rowOff>266700</xdr:rowOff>
                  </to>
                </anchor>
              </controlPr>
            </control>
          </mc:Choice>
        </mc:AlternateContent>
        <mc:AlternateContent xmlns:mc="http://schemas.openxmlformats.org/markup-compatibility/2006">
          <mc:Choice Requires="x14">
            <control shapeId="6227" r:id="rId10" name="Button 83">
              <controlPr defaultSize="0" print="0" autoFill="0" autoPict="0" macro="[0]!DeleteSome">
                <anchor moveWithCells="1">
                  <from>
                    <xdr:col>2</xdr:col>
                    <xdr:colOff>502920</xdr:colOff>
                    <xdr:row>78</xdr:row>
                    <xdr:rowOff>99060</xdr:rowOff>
                  </from>
                  <to>
                    <xdr:col>3</xdr:col>
                    <xdr:colOff>868680</xdr:colOff>
                    <xdr:row>78</xdr:row>
                    <xdr:rowOff>365760</xdr:rowOff>
                  </to>
                </anchor>
              </controlPr>
            </control>
          </mc:Choice>
        </mc:AlternateContent>
        <mc:AlternateContent xmlns:mc="http://schemas.openxmlformats.org/markup-compatibility/2006">
          <mc:Choice Requires="x14">
            <control shapeId="6230" r:id="rId11" name="Button 86">
              <controlPr defaultSize="0" print="0" autoFill="0" autoPict="0" macro="[0]!addA">
                <anchor moveWithCells="1">
                  <from>
                    <xdr:col>1</xdr:col>
                    <xdr:colOff>38100</xdr:colOff>
                    <xdr:row>32</xdr:row>
                    <xdr:rowOff>0</xdr:rowOff>
                  </from>
                  <to>
                    <xdr:col>2</xdr:col>
                    <xdr:colOff>411480</xdr:colOff>
                    <xdr:row>34</xdr:row>
                    <xdr:rowOff>0</xdr:rowOff>
                  </to>
                </anchor>
              </controlPr>
            </control>
          </mc:Choice>
        </mc:AlternateContent>
        <mc:AlternateContent xmlns:mc="http://schemas.openxmlformats.org/markup-compatibility/2006">
          <mc:Choice Requires="x14">
            <control shapeId="6231" r:id="rId12" name="Button 87">
              <controlPr defaultSize="0" print="0" autoFill="0" autoPict="0" macro="[0]!DeleteSome">
                <anchor moveWithCells="1">
                  <from>
                    <xdr:col>2</xdr:col>
                    <xdr:colOff>495300</xdr:colOff>
                    <xdr:row>32</xdr:row>
                    <xdr:rowOff>0</xdr:rowOff>
                  </from>
                  <to>
                    <xdr:col>3</xdr:col>
                    <xdr:colOff>861060</xdr:colOff>
                    <xdr:row>34</xdr:row>
                    <xdr:rowOff>0</xdr:rowOff>
                  </to>
                </anchor>
              </controlPr>
            </control>
          </mc:Choice>
        </mc:AlternateContent>
        <mc:AlternateContent xmlns:mc="http://schemas.openxmlformats.org/markup-compatibility/2006">
          <mc:Choice Requires="x14">
            <control shapeId="6238" r:id="rId13" name="Button 94">
              <controlPr defaultSize="0" print="0" autoFill="0" autoPict="0" macro="[0]!addD">
                <anchor moveWithCells="1">
                  <from>
                    <xdr:col>1</xdr:col>
                    <xdr:colOff>7620</xdr:colOff>
                    <xdr:row>87</xdr:row>
                    <xdr:rowOff>99060</xdr:rowOff>
                  </from>
                  <to>
                    <xdr:col>2</xdr:col>
                    <xdr:colOff>373380</xdr:colOff>
                    <xdr:row>87</xdr:row>
                    <xdr:rowOff>365760</xdr:rowOff>
                  </to>
                </anchor>
              </controlPr>
            </control>
          </mc:Choice>
        </mc:AlternateContent>
        <mc:AlternateContent xmlns:mc="http://schemas.openxmlformats.org/markup-compatibility/2006">
          <mc:Choice Requires="x14">
            <control shapeId="6239" r:id="rId14" name="Button 95">
              <controlPr defaultSize="0" print="0" autoFill="0" autoPict="0" macro="[0]!DeleteSome">
                <anchor moveWithCells="1">
                  <from>
                    <xdr:col>2</xdr:col>
                    <xdr:colOff>495300</xdr:colOff>
                    <xdr:row>87</xdr:row>
                    <xdr:rowOff>99060</xdr:rowOff>
                  </from>
                  <to>
                    <xdr:col>3</xdr:col>
                    <xdr:colOff>861060</xdr:colOff>
                    <xdr:row>87</xdr:row>
                    <xdr:rowOff>365760</xdr:rowOff>
                  </to>
                </anchor>
              </controlPr>
            </control>
          </mc:Choice>
        </mc:AlternateContent>
        <mc:AlternateContent xmlns:mc="http://schemas.openxmlformats.org/markup-compatibility/2006">
          <mc:Choice Requires="x14">
            <control shapeId="6242" r:id="rId15" name="Check Box 98">
              <controlPr defaultSize="0" autoFill="0" autoLine="0" autoPict="0" macro="[0]!GarageFanPowerTableReset">
                <anchor moveWithCells="1">
                  <from>
                    <xdr:col>1</xdr:col>
                    <xdr:colOff>38100</xdr:colOff>
                    <xdr:row>80</xdr:row>
                    <xdr:rowOff>381000</xdr:rowOff>
                  </from>
                  <to>
                    <xdr:col>3</xdr:col>
                    <xdr:colOff>899160</xdr:colOff>
                    <xdr:row>81</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Q113"/>
  <sheetViews>
    <sheetView showGridLines="0" topLeftCell="A64" zoomScale="90" zoomScaleNormal="90" zoomScaleSheetLayoutView="120" zoomScalePageLayoutView="90" workbookViewId="0">
      <selection activeCell="H73" sqref="H73:H76"/>
    </sheetView>
  </sheetViews>
  <sheetFormatPr defaultColWidth="8.6640625" defaultRowHeight="13.2" outlineLevelCol="1" x14ac:dyDescent="0.25"/>
  <cols>
    <col min="1" max="1" width="2.6640625" style="34" customWidth="1"/>
    <col min="2" max="2" width="18.109375" style="34" customWidth="1"/>
    <col min="3" max="3" width="28.33203125" style="34" customWidth="1"/>
    <col min="4" max="5" width="14.6640625" style="34" customWidth="1"/>
    <col min="6" max="6" width="2.6640625" style="34" customWidth="1"/>
    <col min="7" max="9" width="14.6640625" style="34" customWidth="1"/>
    <col min="10" max="10" width="2.6640625" style="34" customWidth="1"/>
    <col min="11" max="13" width="14.6640625" style="34" customWidth="1"/>
    <col min="14" max="14" width="2.77734375" style="34" customWidth="1"/>
    <col min="15" max="15" width="8.6640625" style="34" hidden="1" customWidth="1" outlineLevel="1"/>
    <col min="16" max="16" width="2.77734375" style="34" customWidth="1" collapsed="1"/>
    <col min="17" max="17" width="50.77734375" style="34" customWidth="1"/>
    <col min="18" max="28" width="8.6640625" style="34" customWidth="1"/>
    <col min="29" max="16384" width="8.6640625" style="34"/>
  </cols>
  <sheetData>
    <row r="1" spans="1:17" s="24" customFormat="1" x14ac:dyDescent="0.25">
      <c r="A1" s="717" t="s">
        <v>1299</v>
      </c>
      <c r="B1" s="33"/>
      <c r="C1" s="33"/>
      <c r="D1" s="33"/>
      <c r="E1" s="33"/>
      <c r="F1" s="33"/>
      <c r="G1" s="33"/>
      <c r="H1" s="33"/>
      <c r="I1" s="33"/>
      <c r="J1" s="33"/>
      <c r="K1" s="33"/>
      <c r="L1" s="33"/>
      <c r="M1" s="33"/>
      <c r="N1" s="34"/>
      <c r="O1" s="34"/>
    </row>
    <row r="2" spans="1:17" s="24" customFormat="1" ht="24.75" customHeight="1" x14ac:dyDescent="0.25">
      <c r="A2" s="717" t="s">
        <v>1299</v>
      </c>
      <c r="B2" s="40" t="s">
        <v>283</v>
      </c>
      <c r="C2" s="44"/>
      <c r="D2" s="44"/>
      <c r="E2" s="44"/>
      <c r="F2" s="44"/>
      <c r="G2" s="44"/>
      <c r="H2" s="44"/>
      <c r="I2" s="44"/>
      <c r="J2" s="44"/>
      <c r="K2" s="44"/>
      <c r="L2" s="44"/>
      <c r="M2" s="44"/>
      <c r="N2" s="34"/>
      <c r="O2" s="34"/>
    </row>
    <row r="3" spans="1:17" s="24" customFormat="1" ht="15" customHeight="1" x14ac:dyDescent="0.25">
      <c r="A3" s="717" t="s">
        <v>1299</v>
      </c>
      <c r="B3" s="33"/>
      <c r="C3" s="33"/>
      <c r="D3" s="33"/>
      <c r="E3" s="33"/>
      <c r="F3" s="33"/>
      <c r="G3" s="33"/>
      <c r="H3" s="33"/>
      <c r="I3" s="33"/>
      <c r="J3" s="33"/>
      <c r="K3" s="33"/>
      <c r="L3" s="33"/>
      <c r="M3" s="33"/>
      <c r="N3" s="34"/>
      <c r="O3" s="34"/>
    </row>
    <row r="4" spans="1:17" ht="20.25" customHeight="1" x14ac:dyDescent="0.25">
      <c r="A4" s="593" t="s">
        <v>1299</v>
      </c>
    </row>
    <row r="5" spans="1:17" ht="50.1" customHeight="1" x14ac:dyDescent="0.25">
      <c r="A5" s="593" t="s">
        <v>1299</v>
      </c>
      <c r="B5" s="2599" t="s">
        <v>1382</v>
      </c>
      <c r="C5" s="2345"/>
      <c r="D5" s="2345"/>
      <c r="E5" s="2345"/>
      <c r="F5" s="2345"/>
      <c r="G5" s="2345"/>
      <c r="H5" s="2345"/>
      <c r="I5" s="2345"/>
      <c r="J5" s="2345"/>
      <c r="K5" s="2345"/>
      <c r="L5" s="2345"/>
      <c r="M5" s="2240"/>
      <c r="Q5" s="738" t="s">
        <v>2090</v>
      </c>
    </row>
    <row r="6" spans="1:17" s="24" customFormat="1" ht="21" customHeight="1" x14ac:dyDescent="0.25">
      <c r="A6" s="593" t="s">
        <v>1299</v>
      </c>
      <c r="B6" s="55"/>
      <c r="C6" s="55"/>
      <c r="D6" s="55"/>
      <c r="E6" s="55"/>
      <c r="F6" s="55"/>
      <c r="G6" s="55"/>
      <c r="H6" s="55"/>
      <c r="I6" s="55"/>
      <c r="J6" s="55"/>
      <c r="M6" s="25"/>
    </row>
    <row r="7" spans="1:17" s="24" customFormat="1" ht="26.25" customHeight="1" x14ac:dyDescent="0.25">
      <c r="A7" s="593" t="s">
        <v>1299</v>
      </c>
      <c r="B7" s="26" t="s">
        <v>132</v>
      </c>
      <c r="C7" s="31"/>
      <c r="D7" s="31"/>
      <c r="E7" s="31"/>
      <c r="F7" s="31"/>
      <c r="G7" s="31"/>
      <c r="H7" s="31"/>
      <c r="I7" s="31"/>
      <c r="J7" s="31"/>
      <c r="K7" s="31"/>
      <c r="L7" s="31"/>
      <c r="M7" s="31"/>
      <c r="N7" s="31"/>
      <c r="O7" s="31"/>
      <c r="P7" s="31"/>
    </row>
    <row r="8" spans="1:17" s="24" customFormat="1" ht="43.5" customHeight="1" x14ac:dyDescent="0.25">
      <c r="A8" s="593" t="s">
        <v>1299</v>
      </c>
      <c r="B8" s="2602" t="s">
        <v>0</v>
      </c>
      <c r="C8" s="2602"/>
      <c r="D8" s="2602"/>
      <c r="E8" s="2603"/>
      <c r="F8" s="1582"/>
      <c r="G8" s="2604" t="s">
        <v>347</v>
      </c>
      <c r="H8" s="2602"/>
      <c r="I8" s="2602"/>
      <c r="J8" s="1573"/>
      <c r="K8" s="2602" t="s">
        <v>348</v>
      </c>
      <c r="L8" s="2602"/>
      <c r="M8" s="2602"/>
    </row>
    <row r="9" spans="1:17" s="24" customFormat="1" ht="108.75" customHeight="1" x14ac:dyDescent="0.25">
      <c r="A9" s="593"/>
      <c r="B9" s="1572" t="s">
        <v>1703</v>
      </c>
      <c r="C9" s="2582" t="s">
        <v>1745</v>
      </c>
      <c r="D9" s="2582"/>
      <c r="E9" s="2583"/>
      <c r="F9" s="1583"/>
      <c r="G9" s="2584" t="s">
        <v>1746</v>
      </c>
      <c r="H9" s="2582"/>
      <c r="I9" s="2582"/>
      <c r="J9" s="1574"/>
      <c r="K9" s="2582" t="s">
        <v>1747</v>
      </c>
      <c r="L9" s="2582"/>
      <c r="M9" s="2582"/>
    </row>
    <row r="10" spans="1:17" s="24" customFormat="1" ht="26.4" hidden="1" x14ac:dyDescent="0.25">
      <c r="A10" s="593"/>
      <c r="B10" s="1034" t="s">
        <v>1665</v>
      </c>
      <c r="C10" s="1034"/>
      <c r="D10" s="1034"/>
      <c r="E10" s="1580"/>
      <c r="F10" s="1583"/>
      <c r="G10" s="1581" t="s">
        <v>347</v>
      </c>
      <c r="H10" s="1034"/>
      <c r="I10" s="1034"/>
      <c r="J10" s="1574"/>
      <c r="K10" s="1034" t="s">
        <v>348</v>
      </c>
      <c r="L10" s="1035"/>
      <c r="M10" s="1035"/>
    </row>
    <row r="11" spans="1:17" s="52" customFormat="1" ht="6" customHeight="1" x14ac:dyDescent="0.25">
      <c r="A11" s="593" t="s">
        <v>1299</v>
      </c>
      <c r="B11" s="2555"/>
      <c r="C11" s="2555"/>
      <c r="D11" s="2555"/>
      <c r="E11" s="2556"/>
      <c r="F11" s="1584"/>
      <c r="G11" s="2557"/>
      <c r="H11" s="2558"/>
      <c r="I11" s="2558"/>
      <c r="J11" s="1575"/>
      <c r="K11" s="2558"/>
      <c r="L11" s="2558"/>
      <c r="M11" s="2558"/>
    </row>
    <row r="12" spans="1:17" s="52" customFormat="1" ht="15" customHeight="1" x14ac:dyDescent="0.25">
      <c r="A12" s="593" t="s">
        <v>1299</v>
      </c>
      <c r="B12" s="2559" t="s">
        <v>1358</v>
      </c>
      <c r="C12" s="2560"/>
      <c r="D12" s="2560"/>
      <c r="E12" s="2561"/>
      <c r="F12" s="1584"/>
      <c r="G12" s="2562" t="s">
        <v>2237</v>
      </c>
      <c r="H12" s="2563"/>
      <c r="I12" s="2563"/>
      <c r="J12" s="2564"/>
      <c r="K12" s="2564"/>
      <c r="L12" s="2564"/>
      <c r="M12" s="2565"/>
      <c r="Q12" s="1898"/>
    </row>
    <row r="13" spans="1:17" s="52" customFormat="1" ht="15" customHeight="1" x14ac:dyDescent="0.25">
      <c r="A13" s="593" t="s">
        <v>1299</v>
      </c>
      <c r="B13" s="2566" t="s">
        <v>424</v>
      </c>
      <c r="C13" s="2567"/>
      <c r="D13" s="2567"/>
      <c r="E13" s="2568"/>
      <c r="F13" s="1584"/>
      <c r="G13" s="2569" t="s">
        <v>2319</v>
      </c>
      <c r="H13" s="2519"/>
      <c r="I13" s="2519"/>
      <c r="J13" s="1576"/>
      <c r="K13" s="2519" t="s">
        <v>2319</v>
      </c>
      <c r="L13" s="2519"/>
      <c r="M13" s="2570"/>
      <c r="Q13" s="1898"/>
    </row>
    <row r="14" spans="1:17" s="52" customFormat="1" ht="15" customHeight="1" x14ac:dyDescent="0.25">
      <c r="A14" s="593" t="s">
        <v>1299</v>
      </c>
      <c r="B14" s="2566" t="str">
        <f>IF(SI_IP_Units="IP","Input rating (kW, MBH, etc.)","Input rating (kW, kBtu/h, etc.)")</f>
        <v>Input rating (kW, kBtu/h, etc.)</v>
      </c>
      <c r="C14" s="2567"/>
      <c r="D14" s="2567"/>
      <c r="E14" s="2568"/>
      <c r="F14" s="1584"/>
      <c r="G14" s="2569">
        <v>118.8</v>
      </c>
      <c r="H14" s="2519"/>
      <c r="I14" s="2519"/>
      <c r="J14" s="1577"/>
      <c r="K14" s="2519">
        <f>(8.6*8)+(5.8*8)+(1.8*2)</f>
        <v>118.79999999999998</v>
      </c>
      <c r="L14" s="2519"/>
      <c r="M14" s="2570"/>
      <c r="Q14" s="1898"/>
    </row>
    <row r="15" spans="1:17" s="52" customFormat="1" ht="15" customHeight="1" x14ac:dyDescent="0.25">
      <c r="A15" s="593" t="s">
        <v>1299</v>
      </c>
      <c r="B15" s="2566" t="s">
        <v>154</v>
      </c>
      <c r="C15" s="2567"/>
      <c r="D15" s="2567"/>
      <c r="E15" s="2568"/>
      <c r="F15" s="1584"/>
      <c r="G15" s="2569" t="s">
        <v>2337</v>
      </c>
      <c r="H15" s="2519"/>
      <c r="I15" s="2519"/>
      <c r="J15" s="1577"/>
      <c r="K15" s="2519" t="s">
        <v>2337</v>
      </c>
      <c r="L15" s="2519"/>
      <c r="M15" s="2570"/>
      <c r="Q15" s="1898"/>
    </row>
    <row r="16" spans="1:17" s="52" customFormat="1" ht="15" customHeight="1" x14ac:dyDescent="0.25">
      <c r="A16" s="593" t="s">
        <v>1299</v>
      </c>
      <c r="B16" s="2566" t="str">
        <f>IF(SI_IP_Units="IP","Storage volume (gal)","Storage volume (L)")</f>
        <v>Storage volume (L)</v>
      </c>
      <c r="C16" s="2567"/>
      <c r="D16" s="2567"/>
      <c r="E16" s="2568"/>
      <c r="F16" s="1584"/>
      <c r="G16" s="2569">
        <v>2100</v>
      </c>
      <c r="H16" s="2519"/>
      <c r="I16" s="2519"/>
      <c r="J16" s="1577"/>
      <c r="K16" s="2519">
        <f>(150*8)+(100*8)+(50*2)</f>
        <v>2100</v>
      </c>
      <c r="L16" s="2519"/>
      <c r="M16" s="2570"/>
      <c r="Q16" s="1898"/>
    </row>
    <row r="17" spans="1:17" s="52" customFormat="1" ht="15" customHeight="1" x14ac:dyDescent="0.25">
      <c r="A17" s="593" t="s">
        <v>1299</v>
      </c>
      <c r="B17" s="2566" t="str">
        <f>IF(SI_IP_Units="IP","Storage temperature (°F)","Storage temperature (°C)")</f>
        <v>Storage temperature (°C)</v>
      </c>
      <c r="C17" s="2567"/>
      <c r="D17" s="2567"/>
      <c r="E17" s="2568"/>
      <c r="F17" s="1584"/>
      <c r="G17" s="2569">
        <v>60</v>
      </c>
      <c r="H17" s="2519"/>
      <c r="I17" s="2519"/>
      <c r="J17" s="1577"/>
      <c r="K17" s="2519">
        <v>60</v>
      </c>
      <c r="L17" s="2519"/>
      <c r="M17" s="2570"/>
      <c r="Q17" s="1898"/>
    </row>
    <row r="18" spans="1:17" s="52" customFormat="1" ht="15" customHeight="1" x14ac:dyDescent="0.25">
      <c r="A18" s="593" t="s">
        <v>1299</v>
      </c>
      <c r="B18" s="2566" t="str">
        <f>IF(SI_IP_Units="IP","Peak hot water demand (gpm)","Peak hot water demand (L/s)")</f>
        <v>Peak hot water demand (L/s)</v>
      </c>
      <c r="C18" s="2567"/>
      <c r="D18" s="2567"/>
      <c r="E18" s="2568"/>
      <c r="F18" s="1584"/>
      <c r="G18" s="2569">
        <v>1.103</v>
      </c>
      <c r="H18" s="2519"/>
      <c r="I18" s="2519"/>
      <c r="J18" s="1577"/>
      <c r="K18" s="2519">
        <v>0.46</v>
      </c>
      <c r="L18" s="2519"/>
      <c r="M18" s="2570"/>
      <c r="Q18" s="1898"/>
    </row>
    <row r="19" spans="1:17" s="52" customFormat="1" ht="15" customHeight="1" x14ac:dyDescent="0.25">
      <c r="A19" s="593" t="s">
        <v>1299</v>
      </c>
      <c r="B19" s="2566" t="s">
        <v>155</v>
      </c>
      <c r="C19" s="2567"/>
      <c r="D19" s="2567"/>
      <c r="E19" s="2568"/>
      <c r="F19" s="1584"/>
      <c r="G19" s="2569" t="s">
        <v>2303</v>
      </c>
      <c r="H19" s="2519"/>
      <c r="I19" s="2519"/>
      <c r="J19" s="1577"/>
      <c r="K19" s="2519" t="s">
        <v>2303</v>
      </c>
      <c r="L19" s="2519"/>
      <c r="M19" s="2570"/>
      <c r="Q19" s="1898"/>
    </row>
    <row r="20" spans="1:17" s="52" customFormat="1" ht="15" customHeight="1" x14ac:dyDescent="0.25">
      <c r="A20" s="593" t="s">
        <v>1299</v>
      </c>
      <c r="B20" s="2566" t="s">
        <v>425</v>
      </c>
      <c r="C20" s="2567"/>
      <c r="D20" s="2567"/>
      <c r="E20" s="2568"/>
      <c r="F20" s="1584"/>
      <c r="G20" s="2571" t="s">
        <v>2303</v>
      </c>
      <c r="H20" s="2572"/>
      <c r="I20" s="2572"/>
      <c r="J20" s="1578"/>
      <c r="K20" s="2572" t="s">
        <v>2303</v>
      </c>
      <c r="L20" s="2572"/>
      <c r="M20" s="2573"/>
      <c r="Q20" s="1898"/>
    </row>
    <row r="21" spans="1:17" s="52" customFormat="1" ht="15" customHeight="1" x14ac:dyDescent="0.25">
      <c r="A21" s="593" t="s">
        <v>1299</v>
      </c>
      <c r="B21" s="2566" t="s">
        <v>1000</v>
      </c>
      <c r="C21" s="2567"/>
      <c r="D21" s="2567"/>
      <c r="E21" s="2568"/>
      <c r="F21" s="1584"/>
      <c r="G21" s="2571" t="s">
        <v>2303</v>
      </c>
      <c r="H21" s="2572"/>
      <c r="I21" s="2572"/>
      <c r="J21" s="1578"/>
      <c r="K21" s="2572" t="s">
        <v>2303</v>
      </c>
      <c r="L21" s="2572"/>
      <c r="M21" s="2573"/>
      <c r="Q21" s="1898"/>
    </row>
    <row r="22" spans="1:17" s="52" customFormat="1" ht="15" customHeight="1" x14ac:dyDescent="0.25">
      <c r="A22" s="593" t="s">
        <v>1299</v>
      </c>
      <c r="B22" s="2574" t="s">
        <v>426</v>
      </c>
      <c r="C22" s="2575"/>
      <c r="D22" s="2575"/>
      <c r="E22" s="2576"/>
      <c r="F22" s="1585"/>
      <c r="G22" s="2577"/>
      <c r="H22" s="2578"/>
      <c r="I22" s="2578"/>
      <c r="J22" s="1579"/>
      <c r="K22" s="2578"/>
      <c r="L22" s="2578"/>
      <c r="M22" s="2579"/>
      <c r="Q22" s="1898"/>
    </row>
    <row r="23" spans="1:17" s="52" customFormat="1" ht="6" customHeight="1" x14ac:dyDescent="0.25">
      <c r="A23" s="593" t="s">
        <v>1299</v>
      </c>
      <c r="B23" s="2555"/>
      <c r="C23" s="2555"/>
      <c r="D23" s="2555"/>
      <c r="E23" s="2556"/>
      <c r="F23" s="1584"/>
      <c r="G23" s="2557"/>
      <c r="H23" s="2558"/>
      <c r="I23" s="2558"/>
      <c r="J23" s="1575"/>
      <c r="K23" s="2558"/>
      <c r="L23" s="2558"/>
      <c r="M23" s="2558"/>
    </row>
    <row r="24" spans="1:17" s="52" customFormat="1" ht="15" customHeight="1" x14ac:dyDescent="0.25">
      <c r="A24" s="593" t="s">
        <v>1299</v>
      </c>
      <c r="B24" s="2559" t="s">
        <v>1358</v>
      </c>
      <c r="C24" s="2560"/>
      <c r="D24" s="2560"/>
      <c r="E24" s="2561"/>
      <c r="F24" s="1584"/>
      <c r="G24" s="2562" t="s">
        <v>2237</v>
      </c>
      <c r="H24" s="2563"/>
      <c r="I24" s="2563"/>
      <c r="J24" s="2564"/>
      <c r="K24" s="2564"/>
      <c r="L24" s="2564"/>
      <c r="M24" s="2565"/>
      <c r="Q24" s="1898"/>
    </row>
    <row r="25" spans="1:17" s="52" customFormat="1" ht="15" customHeight="1" x14ac:dyDescent="0.25">
      <c r="A25" s="593" t="s">
        <v>1299</v>
      </c>
      <c r="B25" s="2566" t="s">
        <v>424</v>
      </c>
      <c r="C25" s="2567"/>
      <c r="D25" s="2567"/>
      <c r="E25" s="2568"/>
      <c r="F25" s="1584"/>
      <c r="G25" s="2569" t="s">
        <v>2322</v>
      </c>
      <c r="H25" s="2519"/>
      <c r="I25" s="2519"/>
      <c r="J25" s="1576"/>
      <c r="K25" s="2519" t="s">
        <v>2322</v>
      </c>
      <c r="L25" s="2519"/>
      <c r="M25" s="2570"/>
      <c r="Q25" s="1898"/>
    </row>
    <row r="26" spans="1:17" s="52" customFormat="1" ht="15" customHeight="1" x14ac:dyDescent="0.25">
      <c r="A26" s="593" t="s">
        <v>1299</v>
      </c>
      <c r="B26" s="2566" t="str">
        <f>IF(SI_IP_Units="IP","Input rating (kW, MBH, etc.)","Input rating (kW, kBtu/h, etc.)")</f>
        <v>Input rating (kW, kBtu/h, etc.)</v>
      </c>
      <c r="C26" s="2567"/>
      <c r="D26" s="2567"/>
      <c r="E26" s="2568"/>
      <c r="F26" s="1584"/>
      <c r="G26" s="2569">
        <v>44</v>
      </c>
      <c r="H26" s="2519"/>
      <c r="I26" s="2519"/>
      <c r="J26" s="1577"/>
      <c r="K26" s="2519">
        <f>2*22</f>
        <v>44</v>
      </c>
      <c r="L26" s="2519"/>
      <c r="M26" s="2570"/>
      <c r="Q26" s="1898"/>
    </row>
    <row r="27" spans="1:17" s="52" customFormat="1" ht="15" customHeight="1" x14ac:dyDescent="0.25">
      <c r="A27" s="593" t="s">
        <v>1299</v>
      </c>
      <c r="B27" s="2566" t="s">
        <v>154</v>
      </c>
      <c r="C27" s="2567"/>
      <c r="D27" s="2567"/>
      <c r="E27" s="2568"/>
      <c r="F27" s="1584"/>
      <c r="G27" s="2569" t="s">
        <v>2338</v>
      </c>
      <c r="H27" s="2519"/>
      <c r="I27" s="2519"/>
      <c r="J27" s="1577"/>
      <c r="K27" s="2519" t="s">
        <v>2338</v>
      </c>
      <c r="L27" s="2519"/>
      <c r="M27" s="2570"/>
      <c r="Q27" s="1898"/>
    </row>
    <row r="28" spans="1:17" s="52" customFormat="1" ht="15" customHeight="1" x14ac:dyDescent="0.25">
      <c r="A28" s="593" t="s">
        <v>1299</v>
      </c>
      <c r="B28" s="2566" t="str">
        <f>IF(SI_IP_Units="IP","Storage volume (gal)","Storage volume (L)")</f>
        <v>Storage volume (L)</v>
      </c>
      <c r="C28" s="2567"/>
      <c r="D28" s="2567"/>
      <c r="E28" s="2568"/>
      <c r="F28" s="1584"/>
      <c r="G28" s="2569">
        <v>800</v>
      </c>
      <c r="H28" s="2519"/>
      <c r="I28" s="2519"/>
      <c r="J28" s="1577"/>
      <c r="K28" s="2519">
        <f>2*400</f>
        <v>800</v>
      </c>
      <c r="L28" s="2519"/>
      <c r="M28" s="2570"/>
      <c r="Q28" s="1898"/>
    </row>
    <row r="29" spans="1:17" s="52" customFormat="1" ht="15" customHeight="1" x14ac:dyDescent="0.25">
      <c r="A29" s="593" t="s">
        <v>1299</v>
      </c>
      <c r="B29" s="2566" t="str">
        <f>IF(SI_IP_Units="IP","Storage temperature (°F)","Storage temperature (°C)")</f>
        <v>Storage temperature (°C)</v>
      </c>
      <c r="C29" s="2567"/>
      <c r="D29" s="2567"/>
      <c r="E29" s="2568"/>
      <c r="F29" s="1584"/>
      <c r="G29" s="2569">
        <v>60</v>
      </c>
      <c r="H29" s="2519"/>
      <c r="I29" s="2519"/>
      <c r="J29" s="1577"/>
      <c r="K29" s="2519">
        <v>60</v>
      </c>
      <c r="L29" s="2519"/>
      <c r="M29" s="2570"/>
      <c r="Q29" s="1898"/>
    </row>
    <row r="30" spans="1:17" s="52" customFormat="1" ht="15" customHeight="1" x14ac:dyDescent="0.25">
      <c r="A30" s="593" t="s">
        <v>1299</v>
      </c>
      <c r="B30" s="2566" t="str">
        <f>IF(SI_IP_Units="IP","Peak hot water demand (gpm)","Peak hot water demand (L/s)")</f>
        <v>Peak hot water demand (L/s)</v>
      </c>
      <c r="C30" s="2567"/>
      <c r="D30" s="2567"/>
      <c r="E30" s="2568"/>
      <c r="F30" s="1584"/>
      <c r="G30" s="2569">
        <v>0.40500000000000003</v>
      </c>
      <c r="H30" s="2519"/>
      <c r="I30" s="2519"/>
      <c r="J30" s="1577"/>
      <c r="K30" s="2519">
        <v>0.27700000000000002</v>
      </c>
      <c r="L30" s="2519"/>
      <c r="M30" s="2570"/>
      <c r="Q30" s="1898"/>
    </row>
    <row r="31" spans="1:17" s="52" customFormat="1" ht="15" customHeight="1" x14ac:dyDescent="0.25">
      <c r="A31" s="593" t="s">
        <v>1299</v>
      </c>
      <c r="B31" s="2566" t="s">
        <v>155</v>
      </c>
      <c r="C31" s="2567"/>
      <c r="D31" s="2567"/>
      <c r="E31" s="2568"/>
      <c r="F31" s="1584"/>
      <c r="G31" s="2569" t="s">
        <v>2303</v>
      </c>
      <c r="H31" s="2519"/>
      <c r="I31" s="2519"/>
      <c r="J31" s="1577"/>
      <c r="K31" s="2519" t="s">
        <v>2303</v>
      </c>
      <c r="L31" s="2519"/>
      <c r="M31" s="2570"/>
      <c r="Q31" s="1898"/>
    </row>
    <row r="32" spans="1:17" s="52" customFormat="1" ht="15" customHeight="1" x14ac:dyDescent="0.25">
      <c r="A32" s="593" t="s">
        <v>1299</v>
      </c>
      <c r="B32" s="2566" t="s">
        <v>425</v>
      </c>
      <c r="C32" s="2567"/>
      <c r="D32" s="2567"/>
      <c r="E32" s="2568"/>
      <c r="F32" s="1584"/>
      <c r="G32" s="2571">
        <v>1</v>
      </c>
      <c r="H32" s="2572"/>
      <c r="I32" s="2572"/>
      <c r="J32" s="1578"/>
      <c r="K32" s="2572">
        <v>1</v>
      </c>
      <c r="L32" s="2572"/>
      <c r="M32" s="2573"/>
      <c r="Q32" s="1898"/>
    </row>
    <row r="33" spans="1:17" s="52" customFormat="1" ht="15" customHeight="1" x14ac:dyDescent="0.25">
      <c r="A33" s="593" t="s">
        <v>1299</v>
      </c>
      <c r="B33" s="2566" t="s">
        <v>1000</v>
      </c>
      <c r="C33" s="2567"/>
      <c r="D33" s="2567"/>
      <c r="E33" s="2568"/>
      <c r="F33" s="1584"/>
      <c r="G33" s="2571">
        <v>0.75</v>
      </c>
      <c r="H33" s="2572"/>
      <c r="I33" s="2572"/>
      <c r="J33" s="1578"/>
      <c r="K33" s="2572">
        <v>0.75</v>
      </c>
      <c r="L33" s="2572"/>
      <c r="M33" s="2573"/>
      <c r="Q33" s="1898"/>
    </row>
    <row r="34" spans="1:17" s="52" customFormat="1" ht="15" customHeight="1" x14ac:dyDescent="0.25">
      <c r="A34" s="593" t="s">
        <v>1299</v>
      </c>
      <c r="B34" s="2574" t="s">
        <v>426</v>
      </c>
      <c r="C34" s="2575"/>
      <c r="D34" s="2575"/>
      <c r="E34" s="2576"/>
      <c r="F34" s="1585"/>
      <c r="G34" s="2577" t="s">
        <v>2323</v>
      </c>
      <c r="H34" s="2578"/>
      <c r="I34" s="2578"/>
      <c r="J34" s="1579"/>
      <c r="K34" s="2578" t="s">
        <v>2323</v>
      </c>
      <c r="L34" s="2578"/>
      <c r="M34" s="2579"/>
      <c r="Q34" s="1898"/>
    </row>
    <row r="35" spans="1:17" s="52" customFormat="1" ht="6" customHeight="1" x14ac:dyDescent="0.25">
      <c r="A35" s="593" t="s">
        <v>1299</v>
      </c>
      <c r="B35" s="2555"/>
      <c r="C35" s="2555"/>
      <c r="D35" s="2555"/>
      <c r="E35" s="2556"/>
      <c r="F35" s="1584"/>
      <c r="G35" s="2557"/>
      <c r="H35" s="2558"/>
      <c r="I35" s="2558"/>
      <c r="J35" s="1575"/>
      <c r="K35" s="2558"/>
      <c r="L35" s="2558"/>
      <c r="M35" s="2558"/>
    </row>
    <row r="36" spans="1:17" s="52" customFormat="1" ht="15" customHeight="1" x14ac:dyDescent="0.25">
      <c r="A36" s="593" t="s">
        <v>1299</v>
      </c>
      <c r="B36" s="2559" t="s">
        <v>1358</v>
      </c>
      <c r="C36" s="2560"/>
      <c r="D36" s="2560"/>
      <c r="E36" s="2561"/>
      <c r="F36" s="1584"/>
      <c r="G36" s="2562" t="s">
        <v>2237</v>
      </c>
      <c r="H36" s="2563"/>
      <c r="I36" s="2563"/>
      <c r="J36" s="2564"/>
      <c r="K36" s="2564"/>
      <c r="L36" s="2564"/>
      <c r="M36" s="2565"/>
      <c r="Q36" s="1898"/>
    </row>
    <row r="37" spans="1:17" s="52" customFormat="1" ht="15" customHeight="1" x14ac:dyDescent="0.25">
      <c r="A37" s="593" t="s">
        <v>1299</v>
      </c>
      <c r="B37" s="2566" t="s">
        <v>424</v>
      </c>
      <c r="C37" s="2567"/>
      <c r="D37" s="2567"/>
      <c r="E37" s="2568"/>
      <c r="F37" s="1584"/>
      <c r="G37" s="2569" t="s">
        <v>2321</v>
      </c>
      <c r="H37" s="2519"/>
      <c r="I37" s="2519"/>
      <c r="J37" s="1576"/>
      <c r="K37" s="2519" t="s">
        <v>2321</v>
      </c>
      <c r="L37" s="2519"/>
      <c r="M37" s="2570"/>
      <c r="Q37" s="1898"/>
    </row>
    <row r="38" spans="1:17" s="52" customFormat="1" ht="15" customHeight="1" x14ac:dyDescent="0.25">
      <c r="A38" s="593" t="s">
        <v>1299</v>
      </c>
      <c r="B38" s="2566" t="str">
        <f>IF(SI_IP_Units="IP","Input rating (kW, MBH, etc.)","Input rating (kW, kBtu/h, etc.)")</f>
        <v>Input rating (kW, kBtu/h, etc.)</v>
      </c>
      <c r="C38" s="2567"/>
      <c r="D38" s="2567"/>
      <c r="E38" s="2568"/>
      <c r="F38" s="1584"/>
      <c r="G38" s="2569">
        <v>3</v>
      </c>
      <c r="H38" s="2519"/>
      <c r="I38" s="2519"/>
      <c r="J38" s="1577"/>
      <c r="K38" s="2519">
        <f>3*1</f>
        <v>3</v>
      </c>
      <c r="L38" s="2519"/>
      <c r="M38" s="2570"/>
      <c r="Q38" s="1898"/>
    </row>
    <row r="39" spans="1:17" s="52" customFormat="1" ht="15" customHeight="1" x14ac:dyDescent="0.25">
      <c r="A39" s="593" t="s">
        <v>1299</v>
      </c>
      <c r="B39" s="2566" t="s">
        <v>154</v>
      </c>
      <c r="C39" s="2567"/>
      <c r="D39" s="2567"/>
      <c r="E39" s="2568"/>
      <c r="F39" s="1584"/>
      <c r="G39" s="2569" t="s">
        <v>2339</v>
      </c>
      <c r="H39" s="2519"/>
      <c r="I39" s="2519"/>
      <c r="J39" s="1577"/>
      <c r="K39" s="2519" t="s">
        <v>2339</v>
      </c>
      <c r="L39" s="2519"/>
      <c r="M39" s="2570"/>
      <c r="Q39" s="1898"/>
    </row>
    <row r="40" spans="1:17" s="52" customFormat="1" ht="15" customHeight="1" x14ac:dyDescent="0.25">
      <c r="A40" s="593" t="s">
        <v>1299</v>
      </c>
      <c r="B40" s="2566" t="str">
        <f>IF(SI_IP_Units="IP","Storage volume (gal)","Storage volume (L)")</f>
        <v>Storage volume (L)</v>
      </c>
      <c r="C40" s="2567"/>
      <c r="D40" s="2567"/>
      <c r="E40" s="2568"/>
      <c r="F40" s="1584"/>
      <c r="G40" s="2569">
        <v>150</v>
      </c>
      <c r="H40" s="2519"/>
      <c r="I40" s="2519"/>
      <c r="J40" s="1577"/>
      <c r="K40" s="2519">
        <f>3*50</f>
        <v>150</v>
      </c>
      <c r="L40" s="2519"/>
      <c r="M40" s="2570"/>
      <c r="Q40" s="1898"/>
    </row>
    <row r="41" spans="1:17" s="52" customFormat="1" ht="15" customHeight="1" x14ac:dyDescent="0.25">
      <c r="A41" s="593" t="s">
        <v>1299</v>
      </c>
      <c r="B41" s="2566" t="str">
        <f>IF(SI_IP_Units="IP","Storage temperature (°F)","Storage temperature (°C)")</f>
        <v>Storage temperature (°C)</v>
      </c>
      <c r="C41" s="2567"/>
      <c r="D41" s="2567"/>
      <c r="E41" s="2568"/>
      <c r="F41" s="1584"/>
      <c r="G41" s="2569">
        <v>60</v>
      </c>
      <c r="H41" s="2519"/>
      <c r="I41" s="2519"/>
      <c r="J41" s="1577"/>
      <c r="K41" s="2519">
        <v>60</v>
      </c>
      <c r="L41" s="2519"/>
      <c r="M41" s="2570"/>
      <c r="Q41" s="1898"/>
    </row>
    <row r="42" spans="1:17" s="52" customFormat="1" ht="15" customHeight="1" x14ac:dyDescent="0.25">
      <c r="A42" s="593" t="s">
        <v>1299</v>
      </c>
      <c r="B42" s="2566" t="str">
        <f>IF(SI_IP_Units="IP","Peak hot water demand (gpm)","Peak hot water demand (L/s)")</f>
        <v>Peak hot water demand (L/s)</v>
      </c>
      <c r="C42" s="2567"/>
      <c r="D42" s="2567"/>
      <c r="E42" s="2568"/>
      <c r="F42" s="1584"/>
      <c r="G42" s="2569">
        <v>3.0000000000000001E-3</v>
      </c>
      <c r="H42" s="2519"/>
      <c r="I42" s="2519"/>
      <c r="J42" s="1577"/>
      <c r="K42" s="2519">
        <v>1E-3</v>
      </c>
      <c r="L42" s="2519"/>
      <c r="M42" s="2570"/>
      <c r="Q42" s="1898"/>
    </row>
    <row r="43" spans="1:17" s="52" customFormat="1" ht="15" customHeight="1" x14ac:dyDescent="0.25">
      <c r="A43" s="593" t="s">
        <v>1299</v>
      </c>
      <c r="B43" s="2566" t="s">
        <v>155</v>
      </c>
      <c r="C43" s="2567"/>
      <c r="D43" s="2567"/>
      <c r="E43" s="2568"/>
      <c r="F43" s="1584"/>
      <c r="G43" s="2569" t="s">
        <v>2303</v>
      </c>
      <c r="H43" s="2519"/>
      <c r="I43" s="2519"/>
      <c r="J43" s="1577"/>
      <c r="K43" s="2519" t="s">
        <v>2303</v>
      </c>
      <c r="L43" s="2519"/>
      <c r="M43" s="2570"/>
      <c r="Q43" s="1898"/>
    </row>
    <row r="44" spans="1:17" s="52" customFormat="1" ht="15" customHeight="1" x14ac:dyDescent="0.25">
      <c r="A44" s="593" t="s">
        <v>1299</v>
      </c>
      <c r="B44" s="2566" t="s">
        <v>425</v>
      </c>
      <c r="C44" s="2567"/>
      <c r="D44" s="2567"/>
      <c r="E44" s="2568"/>
      <c r="F44" s="1584"/>
      <c r="G44" s="2571" t="s">
        <v>2303</v>
      </c>
      <c r="H44" s="2572"/>
      <c r="I44" s="2572"/>
      <c r="J44" s="1578"/>
      <c r="K44" s="2572" t="s">
        <v>2303</v>
      </c>
      <c r="L44" s="2572"/>
      <c r="M44" s="2573"/>
      <c r="Q44" s="1898"/>
    </row>
    <row r="45" spans="1:17" s="52" customFormat="1" ht="15" customHeight="1" x14ac:dyDescent="0.25">
      <c r="A45" s="593" t="s">
        <v>1299</v>
      </c>
      <c r="B45" s="2566" t="s">
        <v>1000</v>
      </c>
      <c r="C45" s="2567"/>
      <c r="D45" s="2567"/>
      <c r="E45" s="2568"/>
      <c r="F45" s="1584"/>
      <c r="G45" s="2571" t="s">
        <v>2303</v>
      </c>
      <c r="H45" s="2572"/>
      <c r="I45" s="2572"/>
      <c r="J45" s="1578"/>
      <c r="K45" s="2572" t="s">
        <v>2303</v>
      </c>
      <c r="L45" s="2572"/>
      <c r="M45" s="2573"/>
      <c r="Q45" s="1898"/>
    </row>
    <row r="46" spans="1:17" s="52" customFormat="1" ht="15" customHeight="1" x14ac:dyDescent="0.25">
      <c r="A46" s="593" t="s">
        <v>1299</v>
      </c>
      <c r="B46" s="2574" t="s">
        <v>426</v>
      </c>
      <c r="C46" s="2575"/>
      <c r="D46" s="2575"/>
      <c r="E46" s="2576"/>
      <c r="F46" s="1585"/>
      <c r="G46" s="2577"/>
      <c r="H46" s="2578"/>
      <c r="I46" s="2578"/>
      <c r="J46" s="1579"/>
      <c r="K46" s="2578"/>
      <c r="L46" s="2578"/>
      <c r="M46" s="2579"/>
      <c r="Q46" s="1898"/>
    </row>
    <row r="47" spans="1:17" s="52" customFormat="1" ht="6" customHeight="1" x14ac:dyDescent="0.25">
      <c r="A47" s="593" t="s">
        <v>1299</v>
      </c>
      <c r="B47" s="2555"/>
      <c r="C47" s="2555"/>
      <c r="D47" s="2555"/>
      <c r="E47" s="2556"/>
      <c r="F47" s="1584"/>
      <c r="G47" s="2557"/>
      <c r="H47" s="2558"/>
      <c r="I47" s="2558"/>
      <c r="J47" s="1575"/>
      <c r="K47" s="2558"/>
      <c r="L47" s="2558"/>
      <c r="M47" s="2558"/>
    </row>
    <row r="48" spans="1:17" s="52" customFormat="1" ht="15" customHeight="1" x14ac:dyDescent="0.25">
      <c r="A48" s="593" t="s">
        <v>1299</v>
      </c>
      <c r="B48" s="2559" t="s">
        <v>1358</v>
      </c>
      <c r="C48" s="2560"/>
      <c r="D48" s="2560"/>
      <c r="E48" s="2561"/>
      <c r="F48" s="1584"/>
      <c r="G48" s="2562" t="s">
        <v>2237</v>
      </c>
      <c r="H48" s="2563"/>
      <c r="I48" s="2563"/>
      <c r="J48" s="2564"/>
      <c r="K48" s="2564"/>
      <c r="L48" s="2564"/>
      <c r="M48" s="2565"/>
      <c r="Q48" s="1898"/>
    </row>
    <row r="49" spans="1:17" s="52" customFormat="1" ht="15" customHeight="1" x14ac:dyDescent="0.25">
      <c r="A49" s="593" t="s">
        <v>1299</v>
      </c>
      <c r="B49" s="2566" t="s">
        <v>424</v>
      </c>
      <c r="C49" s="2567"/>
      <c r="D49" s="2567"/>
      <c r="E49" s="2568"/>
      <c r="F49" s="1584"/>
      <c r="G49" s="2569" t="s">
        <v>2320</v>
      </c>
      <c r="H49" s="2519"/>
      <c r="I49" s="2519"/>
      <c r="J49" s="1576"/>
      <c r="K49" s="2519" t="s">
        <v>2320</v>
      </c>
      <c r="L49" s="2519"/>
      <c r="M49" s="2570"/>
      <c r="Q49" s="1898"/>
    </row>
    <row r="50" spans="1:17" s="52" customFormat="1" ht="15" customHeight="1" x14ac:dyDescent="0.25">
      <c r="A50" s="593" t="s">
        <v>1299</v>
      </c>
      <c r="B50" s="2566" t="str">
        <f>IF(SI_IP_Units="IP","Input rating (kW, MBH, etc.)","Input rating (kW, kBtu/h, etc.)")</f>
        <v>Input rating (kW, kBtu/h, etc.)</v>
      </c>
      <c r="C50" s="2567"/>
      <c r="D50" s="2567"/>
      <c r="E50" s="2568"/>
      <c r="F50" s="1584"/>
      <c r="G50" s="2569">
        <v>21.5</v>
      </c>
      <c r="H50" s="2519"/>
      <c r="I50" s="2519"/>
      <c r="J50" s="1577"/>
      <c r="K50" s="2519">
        <f>14.3+7.2</f>
        <v>21.5</v>
      </c>
      <c r="L50" s="2519"/>
      <c r="M50" s="2570"/>
      <c r="Q50" s="1898"/>
    </row>
    <row r="51" spans="1:17" s="52" customFormat="1" ht="15" customHeight="1" x14ac:dyDescent="0.25">
      <c r="A51" s="593" t="s">
        <v>1299</v>
      </c>
      <c r="B51" s="2566" t="s">
        <v>154</v>
      </c>
      <c r="C51" s="2567"/>
      <c r="D51" s="2567"/>
      <c r="E51" s="2568"/>
      <c r="F51" s="1584"/>
      <c r="G51" s="2569" t="s">
        <v>2340</v>
      </c>
      <c r="H51" s="2519"/>
      <c r="I51" s="2519"/>
      <c r="J51" s="1577"/>
      <c r="K51" s="2519" t="s">
        <v>2340</v>
      </c>
      <c r="L51" s="2519"/>
      <c r="M51" s="2570"/>
      <c r="Q51" s="1898"/>
    </row>
    <row r="52" spans="1:17" s="52" customFormat="1" ht="15" customHeight="1" x14ac:dyDescent="0.25">
      <c r="A52" s="593" t="s">
        <v>1299</v>
      </c>
      <c r="B52" s="2566" t="str">
        <f>IF(SI_IP_Units="IP","Storage volume (gal)","Storage volume (L)")</f>
        <v>Storage volume (L)</v>
      </c>
      <c r="C52" s="2567"/>
      <c r="D52" s="2567"/>
      <c r="E52" s="2568"/>
      <c r="F52" s="1584"/>
      <c r="G52" s="2569">
        <v>400</v>
      </c>
      <c r="H52" s="2519"/>
      <c r="I52" s="2519"/>
      <c r="J52" s="1577"/>
      <c r="K52" s="2519">
        <f>250+150</f>
        <v>400</v>
      </c>
      <c r="L52" s="2519"/>
      <c r="M52" s="2570"/>
      <c r="Q52" s="1898"/>
    </row>
    <row r="53" spans="1:17" s="52" customFormat="1" ht="15" customHeight="1" x14ac:dyDescent="0.25">
      <c r="A53" s="593" t="s">
        <v>1299</v>
      </c>
      <c r="B53" s="2566" t="str">
        <f>IF(SI_IP_Units="IP","Storage temperature (°F)","Storage temperature (°C)")</f>
        <v>Storage temperature (°C)</v>
      </c>
      <c r="C53" s="2567"/>
      <c r="D53" s="2567"/>
      <c r="E53" s="2568"/>
      <c r="F53" s="1584"/>
      <c r="G53" s="2569">
        <v>60</v>
      </c>
      <c r="H53" s="2519"/>
      <c r="I53" s="2519"/>
      <c r="J53" s="1577"/>
      <c r="K53" s="2519">
        <v>60</v>
      </c>
      <c r="L53" s="2519"/>
      <c r="M53" s="2570"/>
      <c r="Q53" s="1898"/>
    </row>
    <row r="54" spans="1:17" s="52" customFormat="1" ht="15" customHeight="1" x14ac:dyDescent="0.25">
      <c r="A54" s="593" t="s">
        <v>1299</v>
      </c>
      <c r="B54" s="2566" t="str">
        <f>IF(SI_IP_Units="IP","Peak hot water demand (gpm)","Peak hot water demand (L/s)")</f>
        <v>Peak hot water demand (L/s)</v>
      </c>
      <c r="C54" s="2567"/>
      <c r="D54" s="2567"/>
      <c r="E54" s="2568"/>
      <c r="F54" s="1584"/>
      <c r="G54" s="2569">
        <v>0.14199999999999999</v>
      </c>
      <c r="H54" s="2519"/>
      <c r="I54" s="2519"/>
      <c r="J54" s="1577"/>
      <c r="K54" s="2519">
        <v>3.2000000000000001E-2</v>
      </c>
      <c r="L54" s="2519"/>
      <c r="M54" s="2570"/>
      <c r="Q54" s="1898"/>
    </row>
    <row r="55" spans="1:17" s="52" customFormat="1" ht="15" customHeight="1" x14ac:dyDescent="0.25">
      <c r="A55" s="593" t="s">
        <v>1299</v>
      </c>
      <c r="B55" s="2566" t="s">
        <v>155</v>
      </c>
      <c r="C55" s="2567"/>
      <c r="D55" s="2567"/>
      <c r="E55" s="2568"/>
      <c r="F55" s="1584"/>
      <c r="G55" s="2569" t="s">
        <v>2303</v>
      </c>
      <c r="H55" s="2519"/>
      <c r="I55" s="2519"/>
      <c r="J55" s="1577"/>
      <c r="K55" s="2519" t="s">
        <v>2303</v>
      </c>
      <c r="L55" s="2519"/>
      <c r="M55" s="2570"/>
      <c r="Q55" s="1898"/>
    </row>
    <row r="56" spans="1:17" s="52" customFormat="1" ht="15" customHeight="1" x14ac:dyDescent="0.25">
      <c r="A56" s="593" t="s">
        <v>1299</v>
      </c>
      <c r="B56" s="2566" t="s">
        <v>425</v>
      </c>
      <c r="C56" s="2567"/>
      <c r="D56" s="2567"/>
      <c r="E56" s="2568"/>
      <c r="F56" s="1584"/>
      <c r="G56" s="2571" t="s">
        <v>2303</v>
      </c>
      <c r="H56" s="2572"/>
      <c r="I56" s="2572"/>
      <c r="J56" s="1578"/>
      <c r="K56" s="2572" t="s">
        <v>2303</v>
      </c>
      <c r="L56" s="2572"/>
      <c r="M56" s="2573"/>
      <c r="Q56" s="1898"/>
    </row>
    <row r="57" spans="1:17" s="52" customFormat="1" ht="15" customHeight="1" x14ac:dyDescent="0.25">
      <c r="A57" s="593" t="s">
        <v>1299</v>
      </c>
      <c r="B57" s="2566" t="s">
        <v>1000</v>
      </c>
      <c r="C57" s="2567"/>
      <c r="D57" s="2567"/>
      <c r="E57" s="2568"/>
      <c r="F57" s="1584"/>
      <c r="G57" s="2571" t="s">
        <v>2303</v>
      </c>
      <c r="H57" s="2572"/>
      <c r="I57" s="2572"/>
      <c r="J57" s="1578"/>
      <c r="K57" s="2572" t="s">
        <v>2303</v>
      </c>
      <c r="L57" s="2572"/>
      <c r="M57" s="2573"/>
      <c r="Q57" s="1898"/>
    </row>
    <row r="58" spans="1:17" s="52" customFormat="1" ht="15" customHeight="1" x14ac:dyDescent="0.25">
      <c r="A58" s="593" t="s">
        <v>1299</v>
      </c>
      <c r="B58" s="2574" t="s">
        <v>426</v>
      </c>
      <c r="C58" s="2575"/>
      <c r="D58" s="2575"/>
      <c r="E58" s="2576"/>
      <c r="F58" s="1585"/>
      <c r="G58" s="2577"/>
      <c r="H58" s="2578"/>
      <c r="I58" s="2578"/>
      <c r="J58" s="1579"/>
      <c r="K58" s="2578"/>
      <c r="L58" s="2578"/>
      <c r="M58" s="2579"/>
      <c r="Q58" s="1898"/>
    </row>
    <row r="59" spans="1:17" s="24" customFormat="1" ht="44.25" customHeight="1" x14ac:dyDescent="0.25">
      <c r="A59" s="593" t="s">
        <v>1299</v>
      </c>
      <c r="B59" s="55"/>
      <c r="C59" s="55"/>
      <c r="D59" s="55"/>
      <c r="E59" s="55"/>
      <c r="F59" s="55"/>
      <c r="G59" s="55"/>
      <c r="H59" s="55"/>
      <c r="I59" s="55"/>
      <c r="J59" s="55"/>
      <c r="M59" s="25"/>
    </row>
    <row r="60" spans="1:17" s="24" customFormat="1" ht="21" customHeight="1" x14ac:dyDescent="0.25">
      <c r="A60" s="593" t="s">
        <v>1299</v>
      </c>
      <c r="B60" s="64" t="s">
        <v>330</v>
      </c>
      <c r="C60" s="55"/>
      <c r="D60" s="55"/>
      <c r="E60" s="55"/>
      <c r="F60" s="55"/>
      <c r="G60" s="55"/>
      <c r="H60" s="55"/>
      <c r="I60" s="55"/>
      <c r="J60" s="55"/>
      <c r="M60" s="25"/>
    </row>
    <row r="61" spans="1:17" s="24" customFormat="1" ht="21" customHeight="1" x14ac:dyDescent="0.25">
      <c r="A61" s="593" t="s">
        <v>1299</v>
      </c>
      <c r="B61" s="55"/>
      <c r="C61" s="55"/>
      <c r="D61" s="55"/>
      <c r="E61" s="55"/>
      <c r="F61" s="55"/>
      <c r="G61" s="55"/>
      <c r="H61" s="55"/>
      <c r="I61" s="55"/>
      <c r="J61" s="55"/>
      <c r="M61" s="25"/>
    </row>
    <row r="62" spans="1:17" s="750" customFormat="1" ht="26.25" customHeight="1" x14ac:dyDescent="0.25">
      <c r="A62" s="593" t="s">
        <v>1299</v>
      </c>
      <c r="B62" s="26" t="str">
        <f>CONCATENATE("Service Hot Water Flow",IF(ResDwellingUnitsExist="Yes", " (Except Residential Dwelling Units &amp; Laundry)", ""))</f>
        <v>Service Hot Water Flow</v>
      </c>
      <c r="C62" s="31"/>
      <c r="D62" s="31"/>
      <c r="E62" s="31"/>
      <c r="F62" s="31"/>
      <c r="G62" s="31"/>
      <c r="H62" s="31"/>
      <c r="I62" s="31"/>
      <c r="J62" s="31"/>
      <c r="K62" s="31"/>
      <c r="L62" s="31"/>
      <c r="M62" s="31"/>
      <c r="N62" s="31"/>
      <c r="O62" s="31"/>
      <c r="P62" s="31"/>
    </row>
    <row r="63" spans="1:17" s="750" customFormat="1" ht="99" customHeight="1" x14ac:dyDescent="0.3">
      <c r="A63" s="738"/>
      <c r="B63" s="2580" t="str">
        <f>CONCATENATE(IF(ResDwellingUnitsExist="Yes",CONCATENATE("This section is only required to be completed if credit is modeled in the proposed model for low-flow fixtures serving the non-residential portions of the project."," Complete the Multifamily Details tab to take credit for the fixtures in the dwelling units and laundry rooms serving resdential spaces. ","The project still must include the non-residential DHW flow in the baseline and proposed case for non-residential spaces even if no credit is taken."),CONCATENATE("This section is only required to be completed if credit is modeled in the proposed model for low-flow fixtures. ", "Please note that DHW must be included in the model as designed even if no credit is modeled."))," 
Note: The DHW Equivalent Full Load Hours of Operation is linked from the Main Building schedules section of the Schedules tab, which must be completed prior to completion of this tab. ","The Modeled DHW Flow rate will not calculate unless a value is entered for the service water heating Equivalent Full Load Hours in the Schedules Tab."," Please ensure that the modeled schedules and flow rates are consistent with the values reported here")</f>
        <v>This section is only required to be completed if credit is modeled in the proposed model for low-flow fixtures. Please note that DHW must be included in the model as designed even if no credit is modeled. 
Note: The DHW Equivalent Full Load Hours of Operation is linked from the Main Building schedules section of the Schedules tab, which must be completed prior to completion of this tab. The Modeled DHW Flow rate will not calculate unless a value is entered for the service water heating Equivalent Full Load Hours in the Schedules Tab. Please ensure that the modeled schedules and flow rates are consistent with the values reported here</v>
      </c>
      <c r="C63" s="2596"/>
      <c r="D63" s="2596"/>
      <c r="E63" s="2596"/>
      <c r="F63" s="2596"/>
      <c r="G63" s="2596"/>
      <c r="H63" s="2596"/>
      <c r="I63" s="2596"/>
      <c r="J63" s="2596"/>
      <c r="K63" s="2596"/>
      <c r="L63" s="2596"/>
      <c r="M63" s="2346"/>
      <c r="N63" s="31"/>
      <c r="O63" s="31"/>
      <c r="P63" s="31"/>
    </row>
    <row r="64" spans="1:17" s="750" customFormat="1" ht="10.5" customHeight="1" x14ac:dyDescent="0.3">
      <c r="A64" s="738"/>
      <c r="B64" s="914"/>
      <c r="C64" s="903"/>
      <c r="D64" s="903"/>
      <c r="E64" s="903"/>
      <c r="F64" s="903"/>
      <c r="G64" s="903"/>
      <c r="H64" s="903"/>
      <c r="I64" s="903"/>
      <c r="J64" s="903"/>
      <c r="K64" s="903"/>
      <c r="L64" s="903"/>
      <c r="M64"/>
      <c r="N64" s="31"/>
      <c r="O64" s="31"/>
      <c r="P64" s="31"/>
    </row>
    <row r="65" spans="1:17" s="750" customFormat="1" ht="15" customHeight="1" x14ac:dyDescent="0.3">
      <c r="A65" s="738"/>
      <c r="B65" s="756" t="str">
        <f>CONCATENATE("Average Cold Water Temperature ",IF(SI_IP_Units="IP","(deg. F)","(deg. C)"))</f>
        <v>Average Cold Water Temperature (deg. C)</v>
      </c>
      <c r="C65" s="903"/>
      <c r="D65" s="903"/>
      <c r="E65" s="903"/>
      <c r="F65" s="903"/>
      <c r="G65" s="903"/>
      <c r="H65" s="903"/>
      <c r="I65" s="903"/>
      <c r="J65" s="903"/>
      <c r="K65" s="903"/>
      <c r="L65" s="903"/>
      <c r="M65" s="1257">
        <v>14</v>
      </c>
      <c r="N65" s="31"/>
      <c r="O65" s="31"/>
      <c r="P65" s="31"/>
      <c r="Q65" s="1893"/>
    </row>
    <row r="66" spans="1:17" s="755" customFormat="1" ht="15.75" customHeight="1" x14ac:dyDescent="0.25">
      <c r="A66" s="738"/>
      <c r="B66" s="752"/>
      <c r="C66" s="753"/>
      <c r="D66" s="754"/>
      <c r="E66" s="754"/>
      <c r="G66" s="754"/>
      <c r="H66" s="754"/>
      <c r="I66" s="754"/>
      <c r="J66" s="754"/>
      <c r="K66" s="754"/>
      <c r="L66" s="754"/>
      <c r="M66" s="754"/>
      <c r="N66" s="754"/>
      <c r="O66" s="754"/>
      <c r="P66" s="754"/>
    </row>
    <row r="67" spans="1:17" s="750" customFormat="1" ht="15" customHeight="1" x14ac:dyDescent="0.25">
      <c r="A67" s="738"/>
      <c r="B67" s="66"/>
      <c r="G67" s="756"/>
      <c r="I67" s="31"/>
      <c r="J67" s="31"/>
      <c r="K67" s="31"/>
      <c r="L67" s="902"/>
      <c r="M67" s="31"/>
      <c r="N67" s="31"/>
      <c r="O67" s="31"/>
      <c r="P67" s="31"/>
    </row>
    <row r="68" spans="1:17" s="755" customFormat="1" ht="15.75" customHeight="1" x14ac:dyDescent="0.25">
      <c r="A68" s="593" t="s">
        <v>1299</v>
      </c>
      <c r="B68" s="2592" t="s">
        <v>305</v>
      </c>
      <c r="C68" s="2593"/>
      <c r="D68" s="2594"/>
      <c r="E68" s="2595"/>
      <c r="F68" s="901"/>
      <c r="G68" s="2592" t="s">
        <v>347</v>
      </c>
      <c r="H68" s="2594"/>
      <c r="I68" s="2595"/>
      <c r="J68" s="901"/>
      <c r="K68" s="2592" t="s">
        <v>348</v>
      </c>
      <c r="L68" s="2594"/>
      <c r="M68" s="2595"/>
      <c r="N68" s="754"/>
      <c r="O68" s="754"/>
      <c r="P68" s="754"/>
    </row>
    <row r="69" spans="1:17" s="755" customFormat="1" ht="52.8" x14ac:dyDescent="0.25">
      <c r="A69" s="593" t="s">
        <v>1299</v>
      </c>
      <c r="B69" s="900" t="s">
        <v>1358</v>
      </c>
      <c r="C69" s="899" t="s">
        <v>133</v>
      </c>
      <c r="D69" s="898" t="str">
        <f>IF(SI_IP_Units="IP","Fixture Outlet Temperature
 (°F)","Fixture Outlet Temperature
 (°C)")</f>
        <v>Fixture Outlet Temperature
 (°C)</v>
      </c>
      <c r="E69" s="897" t="s">
        <v>329</v>
      </c>
      <c r="F69" s="896"/>
      <c r="G69" s="900" t="str">
        <f>IF(SI_IP_Units="IP","Flow Rate 
(gpm or gpc)","Flow Rate 
(L/s or L/c)")</f>
        <v>Flow Rate 
(L/s or L/c)</v>
      </c>
      <c r="H69" s="898" t="str">
        <f>IF(SI_IP_Units="IP","Annual Total Water Consumption of Fixture
(gallons/year)","Annual Total Water Consumption 
(Liters/year)")</f>
        <v>Annual Total Water Consumption 
(Liters/year)</v>
      </c>
      <c r="I69" s="897" t="str">
        <f>IF(SI_IP_Units="IP","Annual Fixture Hot Water Consumption 
(gallons/year)","Annual Fixture Hot Water Consumption 
(Liters/year)")</f>
        <v>Annual Fixture Hot Water Consumption 
(Liters/year)</v>
      </c>
      <c r="J69" s="896"/>
      <c r="K69" s="900" t="str">
        <f>IF(SI_IP_Units="IP","Flow Rate 
(gpm or gpc)","Flow Rate 
(L/s or L/c)")</f>
        <v>Flow Rate 
(L/s or L/c)</v>
      </c>
      <c r="L69" s="898" t="str">
        <f>IF(SI_IP_Units="IP","Annual Total Water Consumption 
(gallons/year)","Annual Total Water Consumption 
(Liters/year)")</f>
        <v>Annual Total Water Consumption 
(Liters/year)</v>
      </c>
      <c r="M69" s="897" t="str">
        <f>IF(SI_IP_Units="IP","Annual Fixture Hot Water Consumption 
(gallons/year)","Annual Fixture Hot Water Consumption 
(Liters/year)")</f>
        <v>Annual Fixture Hot Water Consumption 
(Liters/year)</v>
      </c>
      <c r="N69" s="754"/>
      <c r="O69" s="754"/>
      <c r="P69" s="754"/>
    </row>
    <row r="70" spans="1:17" s="755" customFormat="1" ht="94.5" customHeight="1" x14ac:dyDescent="0.25">
      <c r="A70" s="593" t="s">
        <v>1299</v>
      </c>
      <c r="B70" s="965" t="s">
        <v>1703</v>
      </c>
      <c r="C70" s="1864" t="s">
        <v>1748</v>
      </c>
      <c r="D70" s="2585" t="s">
        <v>1749</v>
      </c>
      <c r="E70" s="2586"/>
      <c r="F70" s="964"/>
      <c r="G70" s="2587" t="s">
        <v>1843</v>
      </c>
      <c r="H70" s="2588"/>
      <c r="I70" s="2589"/>
      <c r="J70" s="964"/>
      <c r="K70" s="2590" t="s">
        <v>1750</v>
      </c>
      <c r="L70" s="2590"/>
      <c r="M70" s="2591"/>
      <c r="N70" s="754"/>
      <c r="O70" s="754"/>
      <c r="P70" s="754"/>
    </row>
    <row r="71" spans="1:17" s="750" customFormat="1" ht="39.6" hidden="1" x14ac:dyDescent="0.25">
      <c r="A71" s="912" t="s">
        <v>1299</v>
      </c>
      <c r="B71" s="895" t="s">
        <v>1358</v>
      </c>
      <c r="C71" s="894" t="s">
        <v>1666</v>
      </c>
      <c r="D71" s="893" t="s">
        <v>1667</v>
      </c>
      <c r="E71" s="892" t="s">
        <v>1668</v>
      </c>
      <c r="F71" s="891"/>
      <c r="G71" s="895" t="s">
        <v>1669</v>
      </c>
      <c r="H71" s="893" t="s">
        <v>1670</v>
      </c>
      <c r="I71" s="892" t="s">
        <v>1671</v>
      </c>
      <c r="J71" s="891"/>
      <c r="K71" s="895" t="s">
        <v>1672</v>
      </c>
      <c r="L71" s="893" t="s">
        <v>1673</v>
      </c>
      <c r="M71" s="892" t="s">
        <v>1674</v>
      </c>
      <c r="N71" s="31"/>
      <c r="O71" s="894" t="s">
        <v>2223</v>
      </c>
      <c r="P71" s="31"/>
    </row>
    <row r="72" spans="1:17" s="750" customFormat="1" ht="26.25" hidden="1" customHeight="1" x14ac:dyDescent="0.25">
      <c r="A72" s="594" t="s">
        <v>915</v>
      </c>
      <c r="B72" s="319" t="str">
        <f>GI_Project_Name</f>
        <v>Saudi Aramco Corporate Academy - Dhahran</v>
      </c>
      <c r="C72" s="909"/>
      <c r="D72" s="412"/>
      <c r="E72" s="910"/>
      <c r="F72" s="890"/>
      <c r="G72" s="411"/>
      <c r="H72" s="413"/>
      <c r="I72" s="1344" t="str">
        <f>IFERROR(IF(OR($M$65="",$D72="",$D$81="",MAX($D$72:$D$76)&gt;$D$81),"",$E72*$H72),"")</f>
        <v/>
      </c>
      <c r="J72" s="915"/>
      <c r="K72" s="411"/>
      <c r="L72" s="413"/>
      <c r="M72" s="1344" t="str">
        <f>IFERROR(IF(OR($M$65="",$D72="",$D$81="",MAX($D$72:$D$76)&gt;$D$81),"",$E72*$L72),"")</f>
        <v/>
      </c>
      <c r="N72" s="31"/>
      <c r="O72" s="1893">
        <f>IFERROR(IF(D72-$M$65&lt;0,0,D72-$M$65),"")</f>
        <v>0</v>
      </c>
      <c r="P72" s="31"/>
      <c r="Q72" s="1893"/>
    </row>
    <row r="73" spans="1:17" s="750" customFormat="1" ht="26.25" customHeight="1" x14ac:dyDescent="0.25">
      <c r="A73" s="594"/>
      <c r="B73" s="319" t="str">
        <f>GI_Project_Name</f>
        <v>Saudi Aramco Corporate Academy - Dhahran</v>
      </c>
      <c r="C73" s="909" t="s">
        <v>2317</v>
      </c>
      <c r="D73" s="412">
        <v>60</v>
      </c>
      <c r="E73" s="910">
        <v>0.5</v>
      </c>
      <c r="F73" s="890"/>
      <c r="G73" s="411">
        <v>2.2799999999999998</v>
      </c>
      <c r="H73" s="413">
        <v>12124164</v>
      </c>
      <c r="I73" s="1344">
        <f>IFERROR(IF(OR($M$65="",$D73="",$D$81="",MAX($D$72:$D$76)&gt;$D$81),"",$E73*$H73),"")</f>
        <v>6062082</v>
      </c>
      <c r="J73" s="915"/>
      <c r="K73" s="411">
        <v>0.95</v>
      </c>
      <c r="L73" s="413">
        <v>5058924</v>
      </c>
      <c r="M73" s="1344">
        <f>IFERROR(IF(OR($M$65="",$D73="",$D$81="",MAX($D$72:$D$76)&gt;$D$81),"",$E73*$L73),"")</f>
        <v>2529462</v>
      </c>
      <c r="N73" s="31"/>
      <c r="O73" s="1893">
        <f>IFERROR(IF(D73-$M$65&lt;0,0,D73-$M$65),"")</f>
        <v>46</v>
      </c>
      <c r="P73" s="31"/>
      <c r="Q73" s="1893"/>
    </row>
    <row r="74" spans="1:17" s="750" customFormat="1" ht="26.25" customHeight="1" x14ac:dyDescent="0.25">
      <c r="A74" s="594"/>
      <c r="B74" s="319" t="str">
        <f>GI_Project_Name</f>
        <v>Saudi Aramco Corporate Academy - Dhahran</v>
      </c>
      <c r="C74" s="909" t="s">
        <v>2324</v>
      </c>
      <c r="D74" s="412">
        <v>60</v>
      </c>
      <c r="E74" s="910">
        <v>0.5</v>
      </c>
      <c r="F74" s="890"/>
      <c r="G74" s="411">
        <v>0.84</v>
      </c>
      <c r="H74" s="1343">
        <v>4449458</v>
      </c>
      <c r="I74" s="1344">
        <f t="shared" ref="I74:I76" si="0">IFERROR(IF(OR($M$65="",$D74="",$D$81="",MAX($D$72:$D$76)&gt;$D$81),"",$E74*$H74),"")</f>
        <v>2224729</v>
      </c>
      <c r="J74" s="915"/>
      <c r="K74" s="411">
        <v>0.56999999999999995</v>
      </c>
      <c r="L74" s="1343">
        <v>3044366</v>
      </c>
      <c r="M74" s="1344">
        <f t="shared" ref="M74:M76" si="1">IFERROR(IF(OR($M$65="",$D74="",$D$81="",MAX($D$72:$D$76)&gt;$D$81),"",$E74*$L74),"")</f>
        <v>1522183</v>
      </c>
      <c r="N74" s="31"/>
      <c r="O74" s="1893">
        <f>IFERROR(IF(D74-$M$65&lt;0,0,D74-$M$65),"")</f>
        <v>46</v>
      </c>
      <c r="P74" s="31"/>
      <c r="Q74" s="1893"/>
    </row>
    <row r="75" spans="1:17" s="750" customFormat="1" ht="26.25" customHeight="1" x14ac:dyDescent="0.25">
      <c r="A75" s="594"/>
      <c r="B75" s="319" t="str">
        <f>GI_Project_Name</f>
        <v>Saudi Aramco Corporate Academy - Dhahran</v>
      </c>
      <c r="C75" s="909" t="s">
        <v>2325</v>
      </c>
      <c r="D75" s="412">
        <v>60</v>
      </c>
      <c r="E75" s="910">
        <v>0.5</v>
      </c>
      <c r="F75" s="890"/>
      <c r="G75" s="411">
        <v>0.01</v>
      </c>
      <c r="H75" s="1343">
        <v>32370</v>
      </c>
      <c r="I75" s="1344">
        <f t="shared" si="0"/>
        <v>16185</v>
      </c>
      <c r="J75" s="915"/>
      <c r="K75" s="411">
        <v>1.4E-3</v>
      </c>
      <c r="L75" s="1343">
        <v>7410</v>
      </c>
      <c r="M75" s="1344">
        <f t="shared" si="1"/>
        <v>3705</v>
      </c>
      <c r="N75" s="31"/>
      <c r="O75" s="1893">
        <f t="shared" ref="O75:O76" si="2">IFERROR(IF(D75-$M$65&lt;0,0,D75-$M$65),"")</f>
        <v>46</v>
      </c>
      <c r="P75" s="31"/>
      <c r="Q75" s="1893"/>
    </row>
    <row r="76" spans="1:17" s="750" customFormat="1" ht="26.25" customHeight="1" x14ac:dyDescent="0.25">
      <c r="A76" s="594"/>
      <c r="B76" s="322" t="str">
        <f>GI_Project_Name</f>
        <v>Saudi Aramco Corporate Academy - Dhahran</v>
      </c>
      <c r="C76" s="1865" t="s">
        <v>2326</v>
      </c>
      <c r="D76" s="1870">
        <v>60</v>
      </c>
      <c r="E76" s="1871">
        <v>0.5</v>
      </c>
      <c r="F76" s="1872"/>
      <c r="G76" s="1873">
        <v>0.28999999999999998</v>
      </c>
      <c r="H76" s="1874">
        <v>1560775</v>
      </c>
      <c r="I76" s="1344">
        <f t="shared" si="0"/>
        <v>780387.5</v>
      </c>
      <c r="J76" s="1601"/>
      <c r="K76" s="1873">
        <v>7.0000000000000007E-2</v>
      </c>
      <c r="L76" s="1874">
        <v>357287</v>
      </c>
      <c r="M76" s="1344">
        <f t="shared" si="1"/>
        <v>178643.5</v>
      </c>
      <c r="N76" s="31"/>
      <c r="O76" s="1893">
        <f t="shared" si="2"/>
        <v>46</v>
      </c>
      <c r="P76" s="31"/>
      <c r="Q76" s="1893"/>
    </row>
    <row r="77" spans="1:17" s="750" customFormat="1" ht="51" customHeight="1" x14ac:dyDescent="0.25">
      <c r="A77" s="593" t="s">
        <v>1299</v>
      </c>
      <c r="B77" s="738"/>
      <c r="C77" s="738"/>
      <c r="D77" s="738"/>
      <c r="E77" s="738"/>
      <c r="F77" s="738"/>
      <c r="G77" s="907"/>
      <c r="H77" s="907"/>
      <c r="I77" s="908"/>
      <c r="J77" s="908"/>
      <c r="K77" s="907"/>
      <c r="L77" s="907"/>
      <c r="M77" s="908"/>
    </row>
    <row r="78" spans="1:17" s="757" customFormat="1" ht="15" customHeight="1" x14ac:dyDescent="0.25">
      <c r="A78" s="593" t="s">
        <v>1299</v>
      </c>
      <c r="B78" s="2597" t="s">
        <v>321</v>
      </c>
      <c r="C78" s="2304"/>
      <c r="D78" s="2598"/>
      <c r="E78" s="889"/>
      <c r="F78" s="901"/>
      <c r="G78" s="2592" t="s">
        <v>347</v>
      </c>
      <c r="H78" s="2594"/>
      <c r="I78" s="2595"/>
      <c r="J78" s="901"/>
      <c r="K78" s="2592" t="s">
        <v>348</v>
      </c>
      <c r="L78" s="2594"/>
      <c r="M78" s="2595"/>
    </row>
    <row r="79" spans="1:17" s="757" customFormat="1" ht="66" x14ac:dyDescent="0.25">
      <c r="A79" s="593" t="s">
        <v>1299</v>
      </c>
      <c r="B79" s="900" t="s">
        <v>1358</v>
      </c>
      <c r="C79" s="899" t="s">
        <v>1568</v>
      </c>
      <c r="D79" s="897" t="str">
        <f>CONCATENATE("DHW Supply Temperature from Water Heater",IF(SI_IP_Units="IP"," (deg. F)"," (deg. C)"))</f>
        <v>DHW Supply Temperature from Water Heater (deg. C)</v>
      </c>
      <c r="E79" s="1602"/>
      <c r="F79" s="888"/>
      <c r="G79" s="900" t="str">
        <f>CONCATENATE("Total Annual Hot Water Consumption at Fixtures",IF(SI_IP_Units="IP"," (gallons/year)"," (Liters/year)"))</f>
        <v>Total Annual Hot Water Consumption at Fixtures (Liters/year)</v>
      </c>
      <c r="H79" s="898" t="str">
        <f>CONCATENATE("Total Annual DHW Heater Consumption",IF(SI_IP_Units="IP"," (gallons/year)"," (Liters/year)"))</f>
        <v>Total Annual DHW Heater Consumption (Liters/year)</v>
      </c>
      <c r="I79" s="897" t="str">
        <f>CONCATENATE("Modeled DHW Flow Rate ",IF(SI_IP_Units="IP","gallons/minute","Liters/second"))</f>
        <v>Modeled DHW Flow Rate Liters/second</v>
      </c>
      <c r="J79" s="896"/>
      <c r="K79" s="900" t="str">
        <f>CONCATENATE("Total Annual Hot Water Consumption at Fixtures",IF(SI_IP_Units="IP"," (gallons/year)"," (Liters/year)"))</f>
        <v>Total Annual Hot Water Consumption at Fixtures (Liters/year)</v>
      </c>
      <c r="L79" s="898" t="str">
        <f>CONCATENATE("Total Annual DHW Heater Consumption",IF(SI_IP_Units="IP"," (gallons/year)"," (Liters/year)"))</f>
        <v>Total Annual DHW Heater Consumption (Liters/year)</v>
      </c>
      <c r="M79" s="897" t="str">
        <f>CONCATENATE("Modeled DHW Flow Rate ",IF(SI_IP_Units="IP","gallons/minute","Liters/second"))</f>
        <v>Modeled DHW Flow Rate Liters/second</v>
      </c>
    </row>
    <row r="80" spans="1:17" s="757" customFormat="1" ht="26.4" hidden="1" x14ac:dyDescent="0.25">
      <c r="A80" s="912"/>
      <c r="B80" s="895" t="s">
        <v>1358</v>
      </c>
      <c r="C80" s="894" t="s">
        <v>1590</v>
      </c>
      <c r="D80" s="892" t="s">
        <v>1577</v>
      </c>
      <c r="E80" s="1603"/>
      <c r="F80" s="887"/>
      <c r="G80" s="895" t="s">
        <v>1675</v>
      </c>
      <c r="H80" s="893" t="s">
        <v>1676</v>
      </c>
      <c r="I80" s="892" t="s">
        <v>1677</v>
      </c>
      <c r="J80" s="891"/>
      <c r="K80" s="895" t="s">
        <v>1678</v>
      </c>
      <c r="L80" s="893" t="s">
        <v>1679</v>
      </c>
      <c r="M80" s="892" t="s">
        <v>1680</v>
      </c>
    </row>
    <row r="81" spans="1:17" s="757" customFormat="1" ht="17.25" customHeight="1" x14ac:dyDescent="0.25">
      <c r="A81" s="594"/>
      <c r="B81" s="1594" t="str">
        <f>'Multiple Buildings Details'!B24</f>
        <v>Saudi Aramco Corporate Academy - Dhahran</v>
      </c>
      <c r="C81" s="1595">
        <f>Schedules!$E$13</f>
        <v>1527</v>
      </c>
      <c r="D81" s="1596">
        <v>60</v>
      </c>
      <c r="E81" s="1604"/>
      <c r="F81" s="1597"/>
      <c r="G81" s="1598">
        <f ca="1">IFERROR(SUMIF(SWH_Fixture_Index,$B81,(OFFSET(SWH_Fixture_Index,0,MATCH($I$71,SWH_Fixture_Hdr,0)-1,ROWS(SWH_Fixture_Table),1))),"")</f>
        <v>9083383.5</v>
      </c>
      <c r="H81" s="1599">
        <f ca="1">IFERROR(SUMPRODUCT(OFFSET(SWH_Fixture_Index,0,MATCH($I$71,SWH_Fixture_Hdr,0)-1,ROWS(SWH_Fixture_Index),1),OFFSET(SWH_Fixture_Index,0,MATCH($O$71,SWH_Fixture_Hdr,0)-1,ROWS(SWH_Fixture_Index),1),--(SWH_Fixture_Index=$B81))/(($D81-$M$65)),"")</f>
        <v>9083383.5</v>
      </c>
      <c r="I81" s="1600">
        <f ca="1">IFERROR(IF(SI_IP_Units="IP",H81/$C81/60,H81/$C81/60/60),"")</f>
        <v>1.6523654769700937</v>
      </c>
      <c r="J81" s="1601"/>
      <c r="K81" s="1598">
        <f ca="1">IFERROR(SUMIF(SWH_Fixture_Index,$B81,(OFFSET(SWH_Fixture_Index,0,MATCH($M$71,SWH_Fixture_Hdr,0)-1,ROWS(SWH_Fixture_Table),1))),"")</f>
        <v>4233993.5</v>
      </c>
      <c r="L81" s="1599">
        <f ca="1">IFERROR(SUMPRODUCT(OFFSET(SWH_Fixture_Index,0,MATCH($M$71,SWH_Fixture_Hdr,0)-1,ROWS(SWH_Fixture_Index),1),OFFSET(SWH_Fixture_Index,0,MATCH($O$71,SWH_Fixture_Hdr,0)-1,ROWS(SWH_Fixture_Index),1),--(SWH_Fixture_Index=$B81))/(($D81-$M$65)),"")</f>
        <v>4233993.5</v>
      </c>
      <c r="M81" s="1600">
        <f ca="1">IFERROR(IF(SI_IP_Units="IP",L81/$C81/60,L81/$C81/60/60),"")</f>
        <v>0.77020910645419483</v>
      </c>
      <c r="Q81" s="1899"/>
    </row>
    <row r="82" spans="1:17" s="757" customFormat="1" ht="39.9" customHeight="1" x14ac:dyDescent="0.25">
      <c r="A82" s="594" t="s">
        <v>1299</v>
      </c>
      <c r="B82" s="1586"/>
      <c r="C82" s="1587"/>
      <c r="D82" s="1591"/>
      <c r="E82" s="1591"/>
      <c r="F82" s="1592"/>
      <c r="G82" s="1588"/>
      <c r="H82" s="1589"/>
      <c r="I82" s="1590"/>
      <c r="J82" s="758"/>
      <c r="K82" s="1588"/>
      <c r="L82" s="1589"/>
      <c r="M82" s="1590"/>
      <c r="N82" s="1593"/>
      <c r="O82" s="1593"/>
    </row>
    <row r="83" spans="1:17" s="757" customFormat="1" ht="22.5" customHeight="1" x14ac:dyDescent="0.25">
      <c r="A83" s="593" t="s">
        <v>1299</v>
      </c>
      <c r="B83" s="2580" t="s">
        <v>23</v>
      </c>
      <c r="C83" s="2580"/>
      <c r="D83" s="2580"/>
      <c r="E83" s="2580"/>
      <c r="F83" s="2580"/>
      <c r="G83" s="2580"/>
      <c r="H83" s="2580"/>
      <c r="I83" s="2580"/>
      <c r="J83" s="2580"/>
      <c r="K83" s="2580"/>
      <c r="L83" s="2580"/>
      <c r="M83" s="2580"/>
    </row>
    <row r="84" spans="1:17" s="757" customFormat="1" ht="20.25" customHeight="1" x14ac:dyDescent="0.25">
      <c r="A84" s="593" t="s">
        <v>1299</v>
      </c>
      <c r="B84" s="2235"/>
      <c r="C84" s="2236"/>
      <c r="D84" s="2236"/>
      <c r="E84" s="2236"/>
      <c r="F84" s="2236"/>
      <c r="G84" s="2236"/>
      <c r="H84" s="2236"/>
      <c r="I84" s="2236"/>
      <c r="J84" s="2236"/>
      <c r="K84" s="2236"/>
      <c r="L84" s="2236"/>
      <c r="M84" s="2581"/>
    </row>
    <row r="85" spans="1:17" s="757" customFormat="1" ht="30" customHeight="1" x14ac:dyDescent="0.25">
      <c r="A85" s="738"/>
      <c r="B85" s="738"/>
      <c r="C85" s="738"/>
      <c r="D85" s="738"/>
      <c r="E85" s="738"/>
      <c r="F85" s="738"/>
      <c r="G85" s="738"/>
      <c r="H85" s="738"/>
      <c r="I85" s="738"/>
      <c r="J85" s="738"/>
      <c r="K85" s="738"/>
      <c r="L85" s="738"/>
      <c r="M85" s="738"/>
    </row>
    <row r="86" spans="1:17" s="757" customFormat="1" ht="23.25" customHeight="1" x14ac:dyDescent="0.25">
      <c r="A86" s="738"/>
      <c r="B86" s="738"/>
      <c r="C86" s="738"/>
      <c r="D86" s="738"/>
      <c r="E86" s="738"/>
      <c r="F86" s="738"/>
      <c r="G86" s="738"/>
      <c r="H86" s="738"/>
      <c r="I86" s="738"/>
      <c r="J86" s="738"/>
      <c r="K86" s="738"/>
      <c r="L86" s="738"/>
      <c r="M86" s="738"/>
    </row>
    <row r="87" spans="1:17" s="757" customFormat="1" ht="30" customHeight="1" x14ac:dyDescent="0.25">
      <c r="A87" s="738"/>
      <c r="B87" s="738"/>
      <c r="C87" s="738"/>
      <c r="D87" s="738"/>
      <c r="E87" s="738"/>
      <c r="F87" s="738"/>
      <c r="G87" s="738"/>
      <c r="H87" s="738"/>
      <c r="I87" s="738"/>
      <c r="J87" s="738"/>
      <c r="K87" s="738"/>
      <c r="L87" s="738"/>
      <c r="M87" s="738"/>
    </row>
    <row r="88" spans="1:17" s="757" customFormat="1" ht="45" customHeight="1" x14ac:dyDescent="0.25">
      <c r="A88" s="738"/>
      <c r="B88" s="738"/>
      <c r="C88" s="738"/>
      <c r="D88" s="738"/>
      <c r="E88" s="738"/>
      <c r="F88" s="738"/>
      <c r="G88" s="738"/>
      <c r="H88" s="738"/>
      <c r="I88" s="738"/>
      <c r="J88" s="738"/>
      <c r="K88" s="738"/>
      <c r="L88" s="738"/>
      <c r="M88" s="738"/>
    </row>
    <row r="89" spans="1:17" s="757" customFormat="1" ht="30" customHeight="1" x14ac:dyDescent="0.25">
      <c r="A89" s="738"/>
      <c r="B89" s="738"/>
      <c r="C89" s="738"/>
      <c r="D89" s="738"/>
      <c r="E89" s="738"/>
      <c r="F89" s="738"/>
      <c r="G89" s="738"/>
      <c r="H89" s="738"/>
      <c r="I89" s="738"/>
      <c r="J89" s="738"/>
      <c r="K89" s="738"/>
      <c r="L89" s="738"/>
      <c r="M89" s="738"/>
    </row>
    <row r="90" spans="1:17" s="757" customFormat="1" ht="30" customHeight="1" x14ac:dyDescent="0.25">
      <c r="A90" s="594"/>
      <c r="B90" s="738"/>
      <c r="C90" s="738"/>
      <c r="D90" s="738"/>
      <c r="E90" s="738"/>
      <c r="F90" s="738"/>
      <c r="G90" s="738"/>
      <c r="H90" s="738"/>
      <c r="I90" s="738"/>
      <c r="J90" s="738"/>
      <c r="K90" s="738"/>
      <c r="L90" s="738"/>
      <c r="M90" s="738"/>
    </row>
    <row r="91" spans="1:17" s="757" customFormat="1" ht="30" customHeight="1" x14ac:dyDescent="0.25">
      <c r="A91" s="594"/>
      <c r="B91" s="738"/>
      <c r="C91" s="738"/>
      <c r="D91" s="738"/>
      <c r="E91" s="738"/>
      <c r="F91" s="738"/>
      <c r="G91" s="738"/>
      <c r="H91" s="738"/>
      <c r="I91" s="738"/>
      <c r="J91" s="738"/>
      <c r="K91" s="738"/>
      <c r="L91" s="738"/>
      <c r="M91" s="738"/>
    </row>
    <row r="92" spans="1:17" s="738" customFormat="1" ht="30" customHeight="1" x14ac:dyDescent="0.25">
      <c r="A92" s="593" t="s">
        <v>1299</v>
      </c>
    </row>
    <row r="93" spans="1:17" s="750" customFormat="1" ht="22.5" customHeight="1" x14ac:dyDescent="0.25">
      <c r="A93" s="593"/>
      <c r="B93" s="738"/>
      <c r="C93" s="738"/>
      <c r="D93" s="738"/>
      <c r="E93" s="738"/>
      <c r="F93" s="738"/>
      <c r="G93" s="738"/>
      <c r="H93" s="738"/>
      <c r="I93" s="738"/>
      <c r="J93" s="738"/>
      <c r="K93" s="738"/>
      <c r="L93" s="738"/>
      <c r="M93" s="738"/>
      <c r="N93" s="31"/>
      <c r="O93" s="31"/>
      <c r="P93" s="31"/>
    </row>
    <row r="94" spans="1:17" s="24" customFormat="1" ht="26.25" customHeight="1" x14ac:dyDescent="0.25">
      <c r="A94" s="593" t="s">
        <v>1299</v>
      </c>
      <c r="B94" s="738"/>
      <c r="C94" s="738"/>
      <c r="D94" s="738"/>
      <c r="E94" s="738"/>
      <c r="F94" s="738"/>
      <c r="G94" s="738"/>
      <c r="H94" s="738"/>
      <c r="I94" s="738"/>
      <c r="J94" s="738"/>
      <c r="K94" s="738"/>
      <c r="L94" s="738"/>
      <c r="M94" s="738"/>
      <c r="N94" s="31"/>
      <c r="O94" s="31"/>
      <c r="P94" s="31"/>
    </row>
    <row r="95" spans="1:17" s="52" customFormat="1" ht="21" customHeight="1" x14ac:dyDescent="0.25">
      <c r="A95" s="593" t="s">
        <v>1299</v>
      </c>
      <c r="B95" s="738"/>
      <c r="C95" s="738"/>
      <c r="D95" s="738"/>
      <c r="E95" s="738"/>
      <c r="F95" s="738"/>
      <c r="G95" s="738"/>
      <c r="H95" s="738"/>
      <c r="I95" s="738"/>
      <c r="J95" s="738"/>
      <c r="K95" s="738"/>
      <c r="L95" s="738"/>
      <c r="M95" s="738"/>
    </row>
    <row r="96" spans="1:17" s="24" customFormat="1" ht="26.25" customHeight="1" x14ac:dyDescent="0.25">
      <c r="A96" s="593" t="s">
        <v>1299</v>
      </c>
      <c r="B96" s="738"/>
      <c r="C96" s="738"/>
      <c r="D96" s="738"/>
      <c r="E96" s="738"/>
      <c r="F96" s="738"/>
      <c r="G96" s="738"/>
      <c r="H96" s="738"/>
      <c r="I96" s="738"/>
      <c r="J96" s="738"/>
      <c r="K96" s="738"/>
      <c r="L96" s="738"/>
      <c r="M96" s="738"/>
    </row>
    <row r="97" spans="1:13" s="24" customFormat="1" ht="96" customHeight="1" x14ac:dyDescent="0.25">
      <c r="A97" s="593"/>
      <c r="B97" s="738"/>
      <c r="C97" s="738"/>
      <c r="D97" s="738"/>
      <c r="E97" s="738"/>
      <c r="F97" s="738"/>
      <c r="G97" s="738"/>
      <c r="H97" s="738"/>
      <c r="I97" s="738"/>
      <c r="J97" s="738"/>
      <c r="K97" s="738"/>
      <c r="L97" s="738"/>
      <c r="M97" s="738"/>
    </row>
    <row r="98" spans="1:13" s="52" customFormat="1" ht="15" customHeight="1" x14ac:dyDescent="0.25">
      <c r="A98" s="594"/>
      <c r="B98" s="738"/>
      <c r="C98" s="738"/>
      <c r="D98" s="738"/>
      <c r="E98" s="738"/>
      <c r="F98" s="738"/>
      <c r="G98" s="738"/>
      <c r="H98" s="738"/>
      <c r="I98" s="738"/>
      <c r="J98" s="738"/>
      <c r="K98" s="738"/>
      <c r="L98" s="738"/>
      <c r="M98" s="738"/>
    </row>
    <row r="99" spans="1:13" s="52" customFormat="1" ht="15" customHeight="1" x14ac:dyDescent="0.25">
      <c r="A99" s="594"/>
      <c r="B99" s="738"/>
      <c r="C99" s="738"/>
      <c r="D99" s="738"/>
      <c r="E99" s="738"/>
      <c r="F99" s="738"/>
      <c r="G99" s="738"/>
      <c r="H99" s="738"/>
      <c r="I99" s="738"/>
      <c r="J99" s="738"/>
      <c r="K99" s="738"/>
      <c r="L99" s="738"/>
      <c r="M99" s="738"/>
    </row>
    <row r="100" spans="1:13" s="52" customFormat="1" ht="15" customHeight="1" x14ac:dyDescent="0.25">
      <c r="A100" s="594"/>
      <c r="B100" s="738"/>
      <c r="C100" s="738"/>
      <c r="D100" s="738"/>
      <c r="E100" s="738"/>
      <c r="F100" s="738"/>
      <c r="G100" s="738"/>
      <c r="H100" s="738"/>
      <c r="I100" s="738"/>
      <c r="J100" s="738"/>
      <c r="K100" s="738"/>
      <c r="L100" s="738"/>
      <c r="M100" s="738"/>
    </row>
    <row r="101" spans="1:13" s="52" customFormat="1" ht="15" customHeight="1" x14ac:dyDescent="0.25">
      <c r="A101" s="594"/>
      <c r="B101" s="738"/>
      <c r="C101" s="738"/>
      <c r="D101" s="738"/>
      <c r="E101" s="738"/>
      <c r="F101" s="738"/>
      <c r="G101" s="738"/>
      <c r="H101" s="738"/>
      <c r="I101" s="738"/>
      <c r="J101" s="738"/>
      <c r="K101" s="738"/>
      <c r="L101" s="738"/>
      <c r="M101" s="738"/>
    </row>
    <row r="102" spans="1:13" s="52" customFormat="1" ht="15" customHeight="1" x14ac:dyDescent="0.25">
      <c r="A102" s="594"/>
      <c r="B102" s="738"/>
      <c r="C102" s="738"/>
      <c r="D102" s="738"/>
      <c r="E102" s="738"/>
      <c r="F102" s="738"/>
      <c r="G102" s="738"/>
      <c r="H102" s="738"/>
      <c r="I102" s="738"/>
      <c r="J102" s="738"/>
      <c r="K102" s="738"/>
      <c r="L102" s="738"/>
      <c r="M102" s="738"/>
    </row>
    <row r="103" spans="1:13" s="52" customFormat="1" ht="15" customHeight="1" x14ac:dyDescent="0.25">
      <c r="A103" s="594"/>
      <c r="B103" s="738"/>
      <c r="C103" s="738"/>
      <c r="D103" s="738"/>
      <c r="E103" s="738"/>
      <c r="F103" s="738"/>
      <c r="G103" s="738"/>
      <c r="H103" s="738"/>
      <c r="I103" s="738"/>
      <c r="J103" s="738"/>
      <c r="K103" s="738"/>
      <c r="L103" s="738"/>
      <c r="M103" s="738"/>
    </row>
    <row r="104" spans="1:13" s="52" customFormat="1" ht="20.25" customHeight="1" x14ac:dyDescent="0.25">
      <c r="A104" s="593" t="s">
        <v>1299</v>
      </c>
      <c r="B104" s="738"/>
      <c r="C104" s="738"/>
      <c r="D104" s="738"/>
      <c r="E104" s="738"/>
      <c r="F104" s="738"/>
      <c r="G104" s="738"/>
      <c r="H104" s="738"/>
      <c r="I104" s="738"/>
      <c r="J104" s="738"/>
      <c r="K104" s="738"/>
      <c r="L104" s="738"/>
      <c r="M104" s="738"/>
    </row>
    <row r="105" spans="1:13" ht="20.25" customHeight="1" x14ac:dyDescent="0.25">
      <c r="A105" s="593" t="s">
        <v>1299</v>
      </c>
      <c r="B105" s="738"/>
      <c r="C105" s="738"/>
      <c r="D105" s="738"/>
      <c r="E105" s="738"/>
      <c r="F105" s="738"/>
      <c r="G105" s="738"/>
      <c r="H105" s="738"/>
      <c r="I105" s="738"/>
      <c r="J105" s="738"/>
      <c r="K105" s="738"/>
      <c r="L105" s="738"/>
      <c r="M105" s="738"/>
    </row>
    <row r="106" spans="1:13" ht="20.25" customHeight="1" x14ac:dyDescent="0.25">
      <c r="A106" s="593" t="s">
        <v>1299</v>
      </c>
      <c r="B106" s="738"/>
      <c r="C106" s="738"/>
      <c r="D106" s="738"/>
      <c r="E106" s="738"/>
      <c r="F106" s="738"/>
      <c r="G106" s="738"/>
      <c r="H106" s="738"/>
      <c r="I106" s="738"/>
      <c r="J106" s="738"/>
      <c r="K106" s="738"/>
      <c r="L106" s="738"/>
      <c r="M106" s="738"/>
    </row>
    <row r="107" spans="1:13" ht="38.25" customHeight="1" x14ac:dyDescent="0.25">
      <c r="A107" s="593" t="s">
        <v>1299</v>
      </c>
      <c r="B107" s="886"/>
      <c r="C107" s="886"/>
      <c r="D107" s="886"/>
      <c r="E107" s="886"/>
      <c r="F107" s="886"/>
      <c r="G107" s="886"/>
      <c r="H107" s="886"/>
      <c r="I107" s="886"/>
      <c r="J107" s="886"/>
      <c r="K107" s="886"/>
      <c r="L107" s="886"/>
      <c r="M107" s="738"/>
    </row>
    <row r="108" spans="1:13" s="24" customFormat="1" ht="21" customHeight="1" x14ac:dyDescent="0.25">
      <c r="A108" s="593" t="s">
        <v>1299</v>
      </c>
      <c r="B108" s="55"/>
      <c r="C108" s="55"/>
      <c r="D108" s="55"/>
      <c r="E108" s="55"/>
      <c r="F108" s="55"/>
      <c r="G108" s="55"/>
      <c r="H108" s="55"/>
      <c r="I108" s="55"/>
      <c r="J108" s="55"/>
      <c r="K108" s="885"/>
      <c r="L108" s="885"/>
      <c r="M108" s="25"/>
    </row>
    <row r="109" spans="1:13" s="24" customFormat="1" ht="20.25" customHeight="1" x14ac:dyDescent="0.25">
      <c r="A109" s="593" t="s">
        <v>1299</v>
      </c>
      <c r="B109" s="2600"/>
      <c r="C109" s="2600"/>
      <c r="D109" s="2600"/>
      <c r="E109" s="2600"/>
      <c r="F109" s="2600"/>
      <c r="G109" s="2600"/>
      <c r="H109" s="2600"/>
      <c r="I109" s="2600"/>
      <c r="J109" s="2600"/>
      <c r="K109" s="2600"/>
      <c r="L109" s="2600"/>
    </row>
    <row r="110" spans="1:13" s="24" customFormat="1" ht="21" customHeight="1" x14ac:dyDescent="0.25">
      <c r="A110" s="593" t="s">
        <v>1299</v>
      </c>
      <c r="B110" s="2601"/>
      <c r="C110" s="2601"/>
      <c r="D110" s="2601"/>
      <c r="E110" s="2601"/>
      <c r="F110" s="2601"/>
      <c r="G110" s="2601"/>
      <c r="H110" s="2601"/>
      <c r="I110" s="2601"/>
      <c r="J110" s="2601"/>
      <c r="K110" s="2601"/>
      <c r="L110" s="2601"/>
    </row>
    <row r="111" spans="1:13" x14ac:dyDescent="0.25">
      <c r="B111" s="478"/>
      <c r="C111" s="478"/>
      <c r="D111" s="478"/>
      <c r="E111" s="478"/>
      <c r="F111" s="478"/>
      <c r="G111" s="478"/>
      <c r="H111" s="478"/>
      <c r="I111" s="478"/>
      <c r="J111" s="478"/>
      <c r="K111" s="478"/>
      <c r="L111" s="478"/>
    </row>
    <row r="112" spans="1:13" x14ac:dyDescent="0.25">
      <c r="B112" s="478"/>
      <c r="C112" s="478"/>
      <c r="D112" s="478"/>
      <c r="E112" s="478"/>
      <c r="F112" s="478"/>
      <c r="G112" s="478"/>
      <c r="H112" s="478"/>
      <c r="I112" s="478"/>
      <c r="J112" s="478"/>
      <c r="K112" s="478"/>
      <c r="L112" s="478"/>
    </row>
    <row r="113" spans="2:12" x14ac:dyDescent="0.25">
      <c r="B113" s="478"/>
      <c r="C113" s="478"/>
      <c r="D113" s="478"/>
      <c r="E113" s="478"/>
      <c r="F113" s="478"/>
      <c r="G113" s="478"/>
      <c r="H113" s="478"/>
      <c r="I113" s="478"/>
      <c r="J113" s="478"/>
      <c r="K113" s="478"/>
      <c r="L113" s="478"/>
    </row>
  </sheetData>
  <sheetProtection algorithmName="SHA-512" hashValue="7i6ZamtPwNAtKjAAOyu8BUqCCo+lksTIn9q6CJrFjBCl7d15sWlSmCNf9t9Yxsb43NCJudKF4Zw4+DnyW8+Gdw==" saltValue="AnckwJTvY5CA9wFKr0YNlg==" spinCount="100000" sheet="1" objects="1" scenarios="1"/>
  <customSheetViews>
    <customSheetView guid="{75D6F8CE-A4F4-4FDD-BA92-7996F9E19FA9}" scale="90" showGridLines="0" hiddenRows="1" topLeftCell="A28">
      <selection activeCell="O36" sqref="O36"/>
      <pageMargins left="0.25" right="0.25" top="0.75" bottom="0.75" header="0.3" footer="0.3"/>
      <pageSetup scale="75" orientation="portrait" verticalDpi="1200" r:id="rId1"/>
    </customSheetView>
  </customSheetViews>
  <mergeCells count="161">
    <mergeCell ref="B5:M5"/>
    <mergeCell ref="B109:L109"/>
    <mergeCell ref="B110:L110"/>
    <mergeCell ref="B8:E8"/>
    <mergeCell ref="G8:I8"/>
    <mergeCell ref="K8:M8"/>
    <mergeCell ref="B11:E11"/>
    <mergeCell ref="G11:I11"/>
    <mergeCell ref="K11:M11"/>
    <mergeCell ref="B12:E12"/>
    <mergeCell ref="G12:M12"/>
    <mergeCell ref="B13:E13"/>
    <mergeCell ref="G13:I13"/>
    <mergeCell ref="K13:M13"/>
    <mergeCell ref="B14:E14"/>
    <mergeCell ref="G14:I14"/>
    <mergeCell ref="B17:E17"/>
    <mergeCell ref="G17:I17"/>
    <mergeCell ref="K17:M17"/>
    <mergeCell ref="B18:E18"/>
    <mergeCell ref="G18:I18"/>
    <mergeCell ref="K18:M18"/>
    <mergeCell ref="K14:M14"/>
    <mergeCell ref="B15:E15"/>
    <mergeCell ref="G15:I15"/>
    <mergeCell ref="K15:M15"/>
    <mergeCell ref="B16:E16"/>
    <mergeCell ref="G16:I16"/>
    <mergeCell ref="K16:M16"/>
    <mergeCell ref="B48:E48"/>
    <mergeCell ref="G48:M48"/>
    <mergeCell ref="B49:E49"/>
    <mergeCell ref="G49:I49"/>
    <mergeCell ref="K49:M49"/>
    <mergeCell ref="G42:I42"/>
    <mergeCell ref="K42:M42"/>
    <mergeCell ref="B39:E39"/>
    <mergeCell ref="G39:I39"/>
    <mergeCell ref="K39:M39"/>
    <mergeCell ref="B40:E40"/>
    <mergeCell ref="G40:I40"/>
    <mergeCell ref="K40:M40"/>
    <mergeCell ref="B45:E45"/>
    <mergeCell ref="G45:I45"/>
    <mergeCell ref="K45:M45"/>
    <mergeCell ref="B46:E46"/>
    <mergeCell ref="G46:I46"/>
    <mergeCell ref="K46:M46"/>
    <mergeCell ref="B50:E50"/>
    <mergeCell ref="G50:I50"/>
    <mergeCell ref="K50:M50"/>
    <mergeCell ref="B19:E19"/>
    <mergeCell ref="G19:I19"/>
    <mergeCell ref="K19:M19"/>
    <mergeCell ref="B20:E20"/>
    <mergeCell ref="G20:I20"/>
    <mergeCell ref="K20:M20"/>
    <mergeCell ref="B37:E37"/>
    <mergeCell ref="G37:I37"/>
    <mergeCell ref="K37:M37"/>
    <mergeCell ref="B38:E38"/>
    <mergeCell ref="G38:I38"/>
    <mergeCell ref="K38:M38"/>
    <mergeCell ref="B35:E35"/>
    <mergeCell ref="G35:I35"/>
    <mergeCell ref="K35:M35"/>
    <mergeCell ref="B36:E36"/>
    <mergeCell ref="G36:M36"/>
    <mergeCell ref="B41:E41"/>
    <mergeCell ref="G41:I41"/>
    <mergeCell ref="K41:M41"/>
    <mergeCell ref="B42:E42"/>
    <mergeCell ref="B83:M83"/>
    <mergeCell ref="B84:M84"/>
    <mergeCell ref="C9:E9"/>
    <mergeCell ref="G9:I9"/>
    <mergeCell ref="K9:M9"/>
    <mergeCell ref="D70:E70"/>
    <mergeCell ref="G70:I70"/>
    <mergeCell ref="K70:M70"/>
    <mergeCell ref="B22:E22"/>
    <mergeCell ref="G22:I22"/>
    <mergeCell ref="K22:M22"/>
    <mergeCell ref="B68:E68"/>
    <mergeCell ref="G68:I68"/>
    <mergeCell ref="K68:M68"/>
    <mergeCell ref="B63:M63"/>
    <mergeCell ref="B21:E21"/>
    <mergeCell ref="G21:I21"/>
    <mergeCell ref="K21:M21"/>
    <mergeCell ref="B78:D78"/>
    <mergeCell ref="G78:I78"/>
    <mergeCell ref="K78:M78"/>
    <mergeCell ref="B47:E47"/>
    <mergeCell ref="G47:I47"/>
    <mergeCell ref="K47:M47"/>
    <mergeCell ref="B53:E53"/>
    <mergeCell ref="G53:I53"/>
    <mergeCell ref="K53:M53"/>
    <mergeCell ref="B54:E54"/>
    <mergeCell ref="G54:I54"/>
    <mergeCell ref="K54:M54"/>
    <mergeCell ref="B51:E51"/>
    <mergeCell ref="G51:I51"/>
    <mergeCell ref="K51:M51"/>
    <mergeCell ref="B52:E52"/>
    <mergeCell ref="G52:I52"/>
    <mergeCell ref="K52:M52"/>
    <mergeCell ref="B57:E57"/>
    <mergeCell ref="G57:I57"/>
    <mergeCell ref="K57:M57"/>
    <mergeCell ref="B58:E58"/>
    <mergeCell ref="G58:I58"/>
    <mergeCell ref="K58:M58"/>
    <mergeCell ref="B55:E55"/>
    <mergeCell ref="G55:I55"/>
    <mergeCell ref="K55:M55"/>
    <mergeCell ref="B56:E56"/>
    <mergeCell ref="G56:I56"/>
    <mergeCell ref="K56:M56"/>
    <mergeCell ref="B43:E43"/>
    <mergeCell ref="G43:I43"/>
    <mergeCell ref="K43:M43"/>
    <mergeCell ref="B44:E44"/>
    <mergeCell ref="G44:I44"/>
    <mergeCell ref="K44:M44"/>
    <mergeCell ref="B25:E25"/>
    <mergeCell ref="G25:I25"/>
    <mergeCell ref="K25:M25"/>
    <mergeCell ref="B26:E26"/>
    <mergeCell ref="G26:I26"/>
    <mergeCell ref="K26:M26"/>
    <mergeCell ref="B33:E33"/>
    <mergeCell ref="G33:I33"/>
    <mergeCell ref="K33:M33"/>
    <mergeCell ref="B34:E34"/>
    <mergeCell ref="G34:I34"/>
    <mergeCell ref="K34:M34"/>
    <mergeCell ref="B31:E31"/>
    <mergeCell ref="G31:I31"/>
    <mergeCell ref="K31:M31"/>
    <mergeCell ref="B32:E32"/>
    <mergeCell ref="G32:I32"/>
    <mergeCell ref="K32:M32"/>
    <mergeCell ref="B23:E23"/>
    <mergeCell ref="G23:I23"/>
    <mergeCell ref="K23:M23"/>
    <mergeCell ref="B24:E24"/>
    <mergeCell ref="G24:M24"/>
    <mergeCell ref="B29:E29"/>
    <mergeCell ref="G29:I29"/>
    <mergeCell ref="K29:M29"/>
    <mergeCell ref="B30:E30"/>
    <mergeCell ref="G30:I30"/>
    <mergeCell ref="K30:M30"/>
    <mergeCell ref="B27:E27"/>
    <mergeCell ref="G27:I27"/>
    <mergeCell ref="K27:M27"/>
    <mergeCell ref="B28:E28"/>
    <mergeCell ref="G28:I28"/>
    <mergeCell ref="K28:M28"/>
  </mergeCells>
  <dataValidations count="8">
    <dataValidation allowBlank="1" showInputMessage="1" showErrorMessage="1" prompt="Enter the total number of service hot water pumps in the Proposed case" sqref="J20 J56 J44 J32" xr:uid="{00000000-0002-0000-0D00-000000000000}"/>
    <dataValidation allowBlank="1" showInputMessage="1" showErrorMessage="1" prompt="Enter the total Proposed service hot water pump power (in kW)" sqref="J21 J11 J57 J47 J45 J35 J33 J23" xr:uid="{00000000-0002-0000-0D00-000001000000}"/>
    <dataValidation allowBlank="1" showInputMessage="1" showErrorMessage="1" prompt="Indicate whether the Proposed service hot water pumps are constant or variable speed" sqref="J58 J46 J22 J34" xr:uid="{00000000-0002-0000-0D00-000002000000}"/>
    <dataValidation type="list" allowBlank="1" showInputMessage="1" showErrorMessage="1" sqref="K22:M22 G58:I58 K58:M58 K46:M46 G46:I46 G22:I22 K34:M34 G34:I34" xr:uid="{00000000-0002-0000-0D00-000003000000}">
      <formula1>"Constant speed, Variable speed"</formula1>
    </dataValidation>
    <dataValidation type="decimal" operator="lessThanOrEqual" allowBlank="1" showInputMessage="1" showErrorMessage="1" error="Please enter the value only (without any labels)" prompt="Enter the percentage of hot water that accounts for the DHW supply-to-fixture delta T, and the percentage hot water versus cold water use expected for each fixture (example: 75%)" sqref="F81:F82 F72:F76" xr:uid="{00000000-0002-0000-0D00-000004000000}">
      <formula1>1</formula1>
    </dataValidation>
    <dataValidation type="list" errorStyle="warning" allowBlank="1" showErrorMessage="1" errorTitle="Select Low, Medium, or High" error="Select Low, Medium, or High" sqref="L67" xr:uid="{00000000-0002-0000-0D00-000005000000}">
      <formula1>"Low,Medium,High"</formula1>
    </dataValidation>
    <dataValidation type="list" allowBlank="1" showInputMessage="1" showErrorMessage="1" sqref="B72:B76" xr:uid="{00000000-0002-0000-0D00-000006000000}">
      <formula1>BuildingIDLookupAlt</formula1>
    </dataValidation>
    <dataValidation type="list" allowBlank="1" showInputMessage="1" showErrorMessage="1" sqref="G12:M12 G48:M48 G36:M36 G24:M24" xr:uid="{00000000-0002-0000-0D00-000007000000}">
      <formula1>BuildingIDLookup</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7175" r:id="rId5" name="Button 7">
              <controlPr defaultSize="0" print="0" autoFill="0" autoPict="0" macro="[0]!InsertSWHTable">
                <anchor moveWithCells="1">
                  <from>
                    <xdr:col>1</xdr:col>
                    <xdr:colOff>7620</xdr:colOff>
                    <xdr:row>58</xdr:row>
                    <xdr:rowOff>137160</xdr:rowOff>
                  </from>
                  <to>
                    <xdr:col>2</xdr:col>
                    <xdr:colOff>175260</xdr:colOff>
                    <xdr:row>58</xdr:row>
                    <xdr:rowOff>419100</xdr:rowOff>
                  </to>
                </anchor>
              </controlPr>
            </control>
          </mc:Choice>
        </mc:AlternateContent>
        <mc:AlternateContent xmlns:mc="http://schemas.openxmlformats.org/markup-compatibility/2006">
          <mc:Choice Requires="x14">
            <control shapeId="7210" r:id="rId6" name="Button 42">
              <controlPr defaultSize="0" print="0" autoFill="0" autoPict="0" macro="[0]!addA">
                <anchor moveWithCells="1">
                  <from>
                    <xdr:col>0</xdr:col>
                    <xdr:colOff>175260</xdr:colOff>
                    <xdr:row>76</xdr:row>
                    <xdr:rowOff>137160</xdr:rowOff>
                  </from>
                  <to>
                    <xdr:col>2</xdr:col>
                    <xdr:colOff>152400</xdr:colOff>
                    <xdr:row>76</xdr:row>
                    <xdr:rowOff>449580</xdr:rowOff>
                  </to>
                </anchor>
              </controlPr>
            </control>
          </mc:Choice>
        </mc:AlternateContent>
        <mc:AlternateContent xmlns:mc="http://schemas.openxmlformats.org/markup-compatibility/2006">
          <mc:Choice Requires="x14">
            <control shapeId="7211" r:id="rId7" name="Button 43">
              <controlPr defaultSize="0" print="0" autoFill="0" autoPict="0" macro="[0]!DeleteSome">
                <anchor moveWithCells="1">
                  <from>
                    <xdr:col>2</xdr:col>
                    <xdr:colOff>228600</xdr:colOff>
                    <xdr:row>76</xdr:row>
                    <xdr:rowOff>121920</xdr:rowOff>
                  </from>
                  <to>
                    <xdr:col>2</xdr:col>
                    <xdr:colOff>1569720</xdr:colOff>
                    <xdr:row>76</xdr:row>
                    <xdr:rowOff>449580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R84"/>
  <sheetViews>
    <sheetView showGridLines="0" zoomScale="90" zoomScaleNormal="90" zoomScaleSheetLayoutView="120" zoomScalePageLayoutView="90" workbookViewId="0">
      <selection activeCell="B14" sqref="B14:G14"/>
    </sheetView>
  </sheetViews>
  <sheetFormatPr defaultColWidth="8.6640625" defaultRowHeight="13.2" outlineLevelCol="1" x14ac:dyDescent="0.3"/>
  <cols>
    <col min="1" max="1" width="2.6640625" style="595" customWidth="1"/>
    <col min="2" max="2" width="12.5546875" style="27" customWidth="1"/>
    <col min="3" max="3" width="26" style="27" customWidth="1"/>
    <col min="4" max="4" width="35.6640625" style="27" customWidth="1"/>
    <col min="5" max="5" width="18.88671875" style="27" customWidth="1"/>
    <col min="6" max="6" width="14.6640625" style="27" customWidth="1"/>
    <col min="7" max="7" width="56.6640625" style="406" customWidth="1"/>
    <col min="8" max="8" width="2.77734375" style="406" customWidth="1"/>
    <col min="9" max="9" width="10.44140625" style="27" hidden="1" customWidth="1" outlineLevel="1"/>
    <col min="10" max="13" width="8.6640625" style="27" hidden="1" customWidth="1" outlineLevel="1"/>
    <col min="14" max="14" width="2.77734375" style="27" customWidth="1" collapsed="1"/>
    <col min="15" max="15" width="2.77734375" style="27" customWidth="1"/>
    <col min="16" max="16" width="50.77734375" style="27" customWidth="1"/>
    <col min="17" max="45" width="8.6640625" style="27" customWidth="1"/>
    <col min="46" max="16384" width="8.6640625" style="27"/>
  </cols>
  <sheetData>
    <row r="1" spans="1:18" s="24" customFormat="1" x14ac:dyDescent="0.3">
      <c r="A1" s="717" t="s">
        <v>1299</v>
      </c>
      <c r="B1" s="33"/>
      <c r="C1" s="33"/>
      <c r="D1" s="33"/>
      <c r="E1" s="33"/>
      <c r="F1" s="33"/>
      <c r="G1" s="33"/>
    </row>
    <row r="2" spans="1:18" s="24" customFormat="1" ht="24.75" customHeight="1" x14ac:dyDescent="0.3">
      <c r="A2" s="717" t="s">
        <v>1299</v>
      </c>
      <c r="B2" s="68" t="s">
        <v>284</v>
      </c>
      <c r="C2" s="44"/>
      <c r="D2" s="44"/>
      <c r="E2" s="44"/>
      <c r="F2" s="44"/>
      <c r="G2" s="44"/>
    </row>
    <row r="3" spans="1:18" s="24" customFormat="1" ht="15" customHeight="1" x14ac:dyDescent="0.3">
      <c r="A3" s="717" t="s">
        <v>1299</v>
      </c>
      <c r="B3" s="33"/>
      <c r="C3" s="33"/>
      <c r="D3" s="33"/>
      <c r="E3" s="33"/>
      <c r="F3" s="33"/>
      <c r="G3" s="33"/>
    </row>
    <row r="4" spans="1:18" s="34" customFormat="1" ht="20.25" customHeight="1" x14ac:dyDescent="0.25">
      <c r="A4" s="593" t="s">
        <v>1299</v>
      </c>
      <c r="G4" s="401"/>
      <c r="H4" s="401"/>
    </row>
    <row r="5" spans="1:18" ht="77.25" customHeight="1" x14ac:dyDescent="0.25">
      <c r="A5" s="593" t="s">
        <v>1299</v>
      </c>
      <c r="B5" s="2209" t="s">
        <v>1057</v>
      </c>
      <c r="C5" s="2209"/>
      <c r="D5" s="2209"/>
      <c r="E5" s="2209"/>
      <c r="F5" s="2209"/>
      <c r="G5" s="2240"/>
      <c r="H5" s="402"/>
      <c r="P5" s="756" t="s">
        <v>2090</v>
      </c>
    </row>
    <row r="6" spans="1:18" s="34" customFormat="1" ht="42" customHeight="1" x14ac:dyDescent="0.3">
      <c r="A6" s="593" t="s">
        <v>1299</v>
      </c>
      <c r="B6" s="2405" t="s">
        <v>1048</v>
      </c>
      <c r="C6" s="2625"/>
      <c r="D6" s="2625"/>
      <c r="E6" s="2625"/>
      <c r="F6" s="2344"/>
      <c r="G6" s="1558" t="s">
        <v>1069</v>
      </c>
      <c r="I6" s="81"/>
      <c r="J6" s="1"/>
      <c r="K6" s="1"/>
      <c r="L6" s="1"/>
      <c r="P6" s="1894"/>
    </row>
    <row r="7" spans="1:18" customFormat="1" ht="9.75" customHeight="1" x14ac:dyDescent="0.3">
      <c r="A7" s="593" t="s">
        <v>1299</v>
      </c>
      <c r="I7" s="389"/>
      <c r="J7" s="389"/>
      <c r="K7" s="389"/>
      <c r="L7" s="389"/>
    </row>
    <row r="8" spans="1:18" s="34" customFormat="1" ht="59.25" customHeight="1" x14ac:dyDescent="0.3">
      <c r="A8" s="593" t="s">
        <v>1299</v>
      </c>
      <c r="B8" s="2405" t="s">
        <v>1178</v>
      </c>
      <c r="C8" s="2625"/>
      <c r="D8" s="2625"/>
      <c r="E8" s="2625"/>
      <c r="F8" s="2344"/>
      <c r="G8" s="1558" t="s">
        <v>25</v>
      </c>
      <c r="I8" s="81"/>
      <c r="J8" s="1"/>
      <c r="K8" s="1"/>
      <c r="L8" s="1"/>
      <c r="P8" s="1894"/>
    </row>
    <row r="9" spans="1:18" customFormat="1" ht="9.75" customHeight="1" x14ac:dyDescent="0.3">
      <c r="A9" s="593" t="s">
        <v>1299</v>
      </c>
      <c r="I9" s="389"/>
      <c r="J9" s="389"/>
      <c r="K9" s="389"/>
      <c r="L9" s="389"/>
    </row>
    <row r="10" spans="1:18" s="34" customFormat="1" ht="42" customHeight="1" x14ac:dyDescent="0.3">
      <c r="A10" s="593" t="s">
        <v>1299</v>
      </c>
      <c r="B10" s="2405" t="s">
        <v>1133</v>
      </c>
      <c r="C10" s="2625"/>
      <c r="D10" s="2625"/>
      <c r="E10" s="2625"/>
      <c r="F10" s="2344"/>
      <c r="G10" s="1558" t="s">
        <v>25</v>
      </c>
      <c r="I10" s="81"/>
      <c r="J10" s="1"/>
      <c r="K10" s="1"/>
      <c r="L10" s="1"/>
      <c r="P10" s="1894"/>
    </row>
    <row r="11" spans="1:18" customFormat="1" ht="9.75" customHeight="1" x14ac:dyDescent="0.3">
      <c r="A11" s="593" t="s">
        <v>1299</v>
      </c>
      <c r="I11" s="389"/>
      <c r="J11" s="389"/>
      <c r="K11" s="389"/>
      <c r="L11" s="389"/>
    </row>
    <row r="12" spans="1:18" s="34" customFormat="1" ht="42" customHeight="1" x14ac:dyDescent="0.3">
      <c r="A12" s="593" t="s">
        <v>1299</v>
      </c>
      <c r="B12" s="2405" t="s">
        <v>1761</v>
      </c>
      <c r="C12" s="2625"/>
      <c r="D12" s="2625"/>
      <c r="E12" s="2625"/>
      <c r="F12" s="2344"/>
      <c r="G12" s="1558" t="s">
        <v>1069</v>
      </c>
      <c r="I12" s="81"/>
      <c r="J12" s="1"/>
      <c r="K12" s="1"/>
      <c r="L12" s="1"/>
      <c r="P12" s="1894"/>
    </row>
    <row r="13" spans="1:18" s="24" customFormat="1" ht="15.75" customHeight="1" x14ac:dyDescent="0.25">
      <c r="A13" s="593" t="s">
        <v>1299</v>
      </c>
      <c r="B13" s="491"/>
      <c r="C13" s="491"/>
      <c r="D13" s="491"/>
      <c r="E13" s="491"/>
      <c r="F13" s="491"/>
      <c r="G13" s="491"/>
      <c r="H13" s="491"/>
      <c r="I13" s="491"/>
      <c r="J13" s="491"/>
      <c r="K13" s="491"/>
      <c r="L13" s="491"/>
      <c r="M13" s="491"/>
      <c r="O13" s="390"/>
      <c r="P13" s="100"/>
      <c r="Q13" s="100"/>
      <c r="R13" s="100"/>
    </row>
    <row r="14" spans="1:18" s="24" customFormat="1" ht="52.5" customHeight="1" x14ac:dyDescent="0.25">
      <c r="A14" s="593" t="s">
        <v>1299</v>
      </c>
      <c r="B14" s="2623" t="s">
        <v>309</v>
      </c>
      <c r="C14" s="2624"/>
      <c r="D14" s="2624"/>
      <c r="E14" s="2624"/>
      <c r="F14" s="2624"/>
      <c r="G14" s="2240"/>
      <c r="H14" s="491"/>
      <c r="I14" s="491"/>
      <c r="J14" s="491"/>
      <c r="K14" s="491"/>
      <c r="L14" s="491"/>
      <c r="M14" s="491"/>
      <c r="O14" s="390"/>
      <c r="P14" s="100"/>
      <c r="Q14" s="100"/>
      <c r="R14" s="100"/>
    </row>
    <row r="15" spans="1:18" s="24" customFormat="1" ht="21" customHeight="1" x14ac:dyDescent="0.3">
      <c r="A15" s="593" t="s">
        <v>1299</v>
      </c>
      <c r="B15" s="2621"/>
      <c r="C15" s="2622"/>
      <c r="D15" s="2622"/>
      <c r="E15" s="2622"/>
      <c r="F15" s="2622"/>
      <c r="G15" s="2404"/>
      <c r="I15" s="390"/>
      <c r="J15" s="100"/>
      <c r="K15" s="100"/>
      <c r="L15" s="100"/>
      <c r="P15" s="1895"/>
    </row>
    <row r="16" spans="1:18" s="24" customFormat="1" ht="21" customHeight="1" x14ac:dyDescent="0.25">
      <c r="A16" s="593" t="s">
        <v>1299</v>
      </c>
      <c r="B16" s="55"/>
      <c r="C16" s="55"/>
      <c r="D16" s="55"/>
      <c r="E16" s="55"/>
      <c r="F16" s="55"/>
    </row>
    <row r="17" spans="1:16" s="24" customFormat="1" ht="26.25" customHeight="1" x14ac:dyDescent="0.25">
      <c r="A17" s="593" t="s">
        <v>1299</v>
      </c>
      <c r="B17" s="106" t="s">
        <v>152</v>
      </c>
      <c r="C17" s="31"/>
      <c r="D17" s="31"/>
      <c r="E17" s="31"/>
      <c r="F17" s="31"/>
      <c r="G17" s="404"/>
      <c r="H17" s="404"/>
    </row>
    <row r="18" spans="1:16" ht="36" customHeight="1" x14ac:dyDescent="0.25">
      <c r="A18" s="593" t="s">
        <v>1299</v>
      </c>
      <c r="B18" s="1567" t="s">
        <v>1358</v>
      </c>
      <c r="C18" s="2539" t="s">
        <v>150</v>
      </c>
      <c r="D18" s="2539"/>
      <c r="E18" s="2539"/>
      <c r="F18" s="2539" t="s">
        <v>146</v>
      </c>
      <c r="G18" s="2302"/>
      <c r="H18" s="100"/>
      <c r="I18" s="859"/>
    </row>
    <row r="19" spans="1:16" ht="123" customHeight="1" x14ac:dyDescent="0.25">
      <c r="A19" s="593"/>
      <c r="B19" s="1493" t="s">
        <v>1888</v>
      </c>
      <c r="C19" s="2323" t="s">
        <v>1751</v>
      </c>
      <c r="D19" s="2323"/>
      <c r="E19" s="2323"/>
      <c r="F19" s="2323" t="s">
        <v>1752</v>
      </c>
      <c r="G19" s="2394"/>
      <c r="H19" s="100"/>
      <c r="I19" s="859"/>
    </row>
    <row r="20" spans="1:16" ht="15" hidden="1" customHeight="1" x14ac:dyDescent="0.3">
      <c r="A20" s="595" t="s">
        <v>915</v>
      </c>
      <c r="B20" s="1605" t="str">
        <f>GI_Project_Name</f>
        <v>Saudi Aramco Corporate Academy - Dhahran</v>
      </c>
      <c r="C20" s="2605"/>
      <c r="D20" s="2605"/>
      <c r="E20" s="2605"/>
      <c r="F20" s="2609"/>
      <c r="G20" s="2610"/>
      <c r="H20" s="857"/>
      <c r="I20" s="860"/>
      <c r="P20" s="1888"/>
    </row>
    <row r="21" spans="1:16" ht="15" customHeight="1" x14ac:dyDescent="0.3">
      <c r="B21" s="858" t="str">
        <f>GI_Project_Name</f>
        <v>Saudi Aramco Corporate Academy - Dhahran</v>
      </c>
      <c r="C21" s="2606" t="s">
        <v>2257</v>
      </c>
      <c r="D21" s="2606"/>
      <c r="E21" s="2606"/>
      <c r="F21" s="2607" t="s">
        <v>2259</v>
      </c>
      <c r="G21" s="2608"/>
      <c r="H21" s="857"/>
      <c r="I21" s="860"/>
      <c r="P21" s="1888"/>
    </row>
    <row r="22" spans="1:16" ht="15" customHeight="1" x14ac:dyDescent="0.3">
      <c r="B22" s="1606" t="str">
        <f>GI_Project_Name</f>
        <v>Saudi Aramco Corporate Academy - Dhahran</v>
      </c>
      <c r="C22" s="2611" t="s">
        <v>2258</v>
      </c>
      <c r="D22" s="2611"/>
      <c r="E22" s="2611"/>
      <c r="F22" s="2611" t="s">
        <v>2260</v>
      </c>
      <c r="G22" s="2612"/>
      <c r="H22" s="857"/>
      <c r="I22" s="860"/>
      <c r="P22" s="1888"/>
    </row>
    <row r="23" spans="1:16" ht="38.25" customHeight="1" x14ac:dyDescent="0.25">
      <c r="A23" s="593" t="s">
        <v>1299</v>
      </c>
      <c r="B23" s="34"/>
    </row>
    <row r="24" spans="1:16" s="24" customFormat="1" ht="21" customHeight="1" x14ac:dyDescent="0.25">
      <c r="A24" s="593" t="s">
        <v>1299</v>
      </c>
      <c r="B24" s="55"/>
      <c r="C24" s="55"/>
      <c r="D24" s="55"/>
      <c r="E24" s="55"/>
      <c r="F24" s="55"/>
      <c r="G24" s="403"/>
      <c r="H24" s="856"/>
    </row>
    <row r="25" spans="1:16" s="24" customFormat="1" ht="26.25" customHeight="1" x14ac:dyDescent="0.25">
      <c r="A25" s="593" t="s">
        <v>1299</v>
      </c>
      <c r="B25" s="106" t="s">
        <v>153</v>
      </c>
      <c r="C25" s="31"/>
      <c r="D25" s="31"/>
      <c r="E25" s="31"/>
      <c r="F25" s="31"/>
      <c r="G25" s="404"/>
      <c r="H25" s="404"/>
    </row>
    <row r="26" spans="1:16" ht="55.5" customHeight="1" x14ac:dyDescent="0.25">
      <c r="A26" s="593" t="s">
        <v>1299</v>
      </c>
      <c r="B26" s="1567" t="s">
        <v>1358</v>
      </c>
      <c r="C26" s="1411" t="s">
        <v>0</v>
      </c>
      <c r="D26" s="1411" t="s">
        <v>149</v>
      </c>
      <c r="E26" s="1411" t="s">
        <v>148</v>
      </c>
      <c r="F26" s="2509" t="s">
        <v>146</v>
      </c>
      <c r="G26" s="2511"/>
      <c r="H26" s="73"/>
      <c r="I26" s="406"/>
    </row>
    <row r="27" spans="1:16" ht="180" customHeight="1" x14ac:dyDescent="0.25">
      <c r="A27" s="593" t="s">
        <v>1299</v>
      </c>
      <c r="B27" s="1493" t="s">
        <v>1888</v>
      </c>
      <c r="C27" s="2323" t="s">
        <v>1753</v>
      </c>
      <c r="D27" s="2616"/>
      <c r="E27" s="1494" t="s">
        <v>1754</v>
      </c>
      <c r="F27" s="2323" t="s">
        <v>1755</v>
      </c>
      <c r="G27" s="2394"/>
      <c r="H27" s="73"/>
      <c r="I27" s="406"/>
    </row>
    <row r="28" spans="1:16" ht="35.25" hidden="1" customHeight="1" x14ac:dyDescent="0.25">
      <c r="A28" s="593" t="s">
        <v>1299</v>
      </c>
      <c r="B28" s="1457" t="str">
        <f>B26</f>
        <v>Building ID</v>
      </c>
      <c r="C28" s="1457" t="str">
        <f>C26</f>
        <v>Model Input Parameter</v>
      </c>
      <c r="D28" s="1457" t="str">
        <f>D26</f>
        <v>Table G3.1.1A System Type 
(or Semiconditioned System Description)</v>
      </c>
      <c r="E28" s="1457" t="str">
        <f>E26</f>
        <v>G3.1.1 Exception 
(or Semiconditioned Capacity and Area)</v>
      </c>
      <c r="F28" s="1457" t="str">
        <f>F26</f>
        <v>Spaces Modeled</v>
      </c>
      <c r="G28" s="1608"/>
      <c r="H28" s="73"/>
      <c r="I28" s="406"/>
    </row>
    <row r="29" spans="1:16" ht="30.75" hidden="1" customHeight="1" x14ac:dyDescent="0.3">
      <c r="A29" s="724" t="s">
        <v>917</v>
      </c>
      <c r="B29" s="858" t="str">
        <f>GI_Project_Name</f>
        <v>Saudi Aramco Corporate Academy - Dhahran</v>
      </c>
      <c r="C29" s="1258"/>
      <c r="D29" s="501"/>
      <c r="E29" s="673"/>
      <c r="F29" s="2520"/>
      <c r="G29" s="2521"/>
      <c r="H29" s="854"/>
      <c r="I29" s="406"/>
      <c r="J29" s="1288" t="str">
        <f>IFERROR(IF(ISNUMBER(SEARCH("California",D29)),"Cali",IF(MID(D29,8,1)="1",IF(MID(D29,9,1)="0",MID(D29,8,2),MID(D29,8,1)),MID(D29,8,1))),"")</f>
        <v/>
      </c>
      <c r="P29" s="1888"/>
    </row>
    <row r="30" spans="1:16" ht="30.75" customHeight="1" x14ac:dyDescent="0.3">
      <c r="A30" s="724"/>
      <c r="B30" s="858" t="str">
        <f>GI_Project_Name</f>
        <v>Saudi Aramco Corporate Academy - Dhahran</v>
      </c>
      <c r="C30" s="1258" t="s">
        <v>1597</v>
      </c>
      <c r="D30" s="501" t="s">
        <v>143</v>
      </c>
      <c r="E30" s="673"/>
      <c r="F30" s="2520" t="s">
        <v>2261</v>
      </c>
      <c r="G30" s="2521"/>
      <c r="H30" s="854"/>
      <c r="I30" s="406"/>
      <c r="J30" s="1288" t="str">
        <f>IFERROR(IF(ISNUMBER(SEARCH("California",D30)),"Cali",IF(MID(D30,8,1)="1",IF(MID(D30,9,1)="0",MID(D30,8,2),MID(D30,8,1)),MID(D30,8,1))),"")</f>
        <v>8</v>
      </c>
      <c r="P30" s="1888"/>
    </row>
    <row r="31" spans="1:16" ht="30.75" customHeight="1" x14ac:dyDescent="0.25">
      <c r="A31" s="593"/>
      <c r="B31" s="858" t="str">
        <f>GI_Project_Name</f>
        <v>Saudi Aramco Corporate Academy - Dhahran</v>
      </c>
      <c r="C31" s="1258" t="s">
        <v>1598</v>
      </c>
      <c r="D31" s="501" t="s">
        <v>142</v>
      </c>
      <c r="E31" s="861"/>
      <c r="F31" s="2520" t="s">
        <v>2262</v>
      </c>
      <c r="G31" s="2521"/>
      <c r="I31" s="406"/>
      <c r="J31" s="1289" t="str">
        <f>IFERROR(IF(ISNUMBER(SEARCH("California",D31)),"Cali",IF(MID(D31,8,1)="1",IF(MID(D31,9,1)="0",MID(D31,8,2),MID(D31,8,1)),MID(D31,8,1))),"")</f>
        <v>7</v>
      </c>
      <c r="P31" s="1888"/>
    </row>
    <row r="32" spans="1:16" ht="30.75" customHeight="1" x14ac:dyDescent="0.3">
      <c r="B32" s="1606" t="str">
        <f>GI_Project_Name</f>
        <v>Saudi Aramco Corporate Academy - Dhahran</v>
      </c>
      <c r="C32" s="1609" t="s">
        <v>1598</v>
      </c>
      <c r="D32" s="222" t="s">
        <v>139</v>
      </c>
      <c r="E32" s="674"/>
      <c r="F32" s="2614" t="s">
        <v>2263</v>
      </c>
      <c r="G32" s="2615"/>
      <c r="H32" s="854"/>
      <c r="I32" s="406"/>
      <c r="J32" s="1289" t="str">
        <f t="shared" ref="J32" si="0">IFERROR(IF(ISNUMBER(SEARCH("California",D32)),"Cali",IF(MID(D32,8,1)="1",IF(MID(D32,9,1)="0",MID(D32,8,2),MID(D32,8,1)),MID(D32,8,1))),"")</f>
        <v>4</v>
      </c>
      <c r="P32" s="1888"/>
    </row>
    <row r="33" spans="1:16" ht="39" customHeight="1" x14ac:dyDescent="0.25">
      <c r="A33" s="593" t="s">
        <v>1299</v>
      </c>
      <c r="B33" s="34"/>
    </row>
    <row r="34" spans="1:16" s="24" customFormat="1" ht="21" customHeight="1" x14ac:dyDescent="0.25">
      <c r="A34" s="593" t="s">
        <v>1299</v>
      </c>
      <c r="B34" s="55"/>
      <c r="C34" s="55"/>
      <c r="D34" s="55"/>
      <c r="E34" s="55"/>
      <c r="F34" s="55"/>
      <c r="G34" s="403"/>
      <c r="H34" s="403"/>
    </row>
    <row r="35" spans="1:16" s="24" customFormat="1" ht="26.25" customHeight="1" x14ac:dyDescent="0.25">
      <c r="A35" s="593" t="s">
        <v>1299</v>
      </c>
      <c r="B35" s="26" t="s">
        <v>156</v>
      </c>
      <c r="C35" s="31"/>
      <c r="D35" s="31"/>
      <c r="E35" s="31"/>
      <c r="F35" s="31"/>
      <c r="G35" s="404"/>
      <c r="H35" s="404"/>
    </row>
    <row r="36" spans="1:16" ht="34.5" customHeight="1" x14ac:dyDescent="0.25">
      <c r="A36" s="593" t="s">
        <v>1299</v>
      </c>
      <c r="B36" s="2613" t="s">
        <v>1246</v>
      </c>
      <c r="C36" s="2613"/>
      <c r="D36" s="2613"/>
      <c r="E36" s="2613"/>
      <c r="F36" s="2613"/>
      <c r="G36" s="2613"/>
      <c r="H36" s="852"/>
    </row>
    <row r="37" spans="1:16" s="24" customFormat="1" ht="26.25" customHeight="1" x14ac:dyDescent="0.25">
      <c r="A37" s="593" t="s">
        <v>1299</v>
      </c>
      <c r="B37" s="105" t="s">
        <v>267</v>
      </c>
      <c r="C37" s="621"/>
      <c r="D37" s="621"/>
      <c r="E37" s="621"/>
      <c r="F37" s="621"/>
      <c r="G37" s="621"/>
      <c r="H37" s="621"/>
    </row>
    <row r="38" spans="1:16" ht="33" customHeight="1" x14ac:dyDescent="0.25">
      <c r="A38" s="593" t="s">
        <v>1299</v>
      </c>
      <c r="B38" s="2216" t="s">
        <v>1241</v>
      </c>
      <c r="C38" s="2217"/>
      <c r="D38" s="2217"/>
      <c r="E38" s="2218"/>
      <c r="F38" s="324" t="s">
        <v>25</v>
      </c>
      <c r="G38" s="407" t="s">
        <v>991</v>
      </c>
      <c r="H38" s="853"/>
      <c r="P38" s="1888"/>
    </row>
    <row r="39" spans="1:16" ht="33" customHeight="1" x14ac:dyDescent="0.25">
      <c r="A39" s="593" t="s">
        <v>1299</v>
      </c>
      <c r="B39" s="2216" t="s">
        <v>1242</v>
      </c>
      <c r="C39" s="2217"/>
      <c r="D39" s="2217"/>
      <c r="E39" s="2218"/>
      <c r="F39" s="324" t="s">
        <v>25</v>
      </c>
      <c r="G39" s="407" t="s">
        <v>991</v>
      </c>
      <c r="H39" s="853"/>
      <c r="P39" s="1888"/>
    </row>
    <row r="40" spans="1:16" ht="44.25" customHeight="1" x14ac:dyDescent="0.25">
      <c r="A40" s="593" t="s">
        <v>1299</v>
      </c>
      <c r="B40" s="2216" t="s">
        <v>1243</v>
      </c>
      <c r="C40" s="2217"/>
      <c r="D40" s="2217"/>
      <c r="E40" s="2218"/>
      <c r="F40" s="324" t="s">
        <v>25</v>
      </c>
      <c r="G40" s="407" t="s">
        <v>991</v>
      </c>
      <c r="H40" s="853"/>
      <c r="P40" s="1888"/>
    </row>
    <row r="41" spans="1:16" ht="33" customHeight="1" x14ac:dyDescent="0.25">
      <c r="A41" s="593" t="s">
        <v>1299</v>
      </c>
      <c r="B41" s="2216" t="s">
        <v>1244</v>
      </c>
      <c r="C41" s="2217"/>
      <c r="D41" s="2217"/>
      <c r="E41" s="2218"/>
      <c r="F41" s="324" t="s">
        <v>25</v>
      </c>
      <c r="G41" s="407" t="s">
        <v>991</v>
      </c>
      <c r="H41" s="853"/>
      <c r="P41" s="1888"/>
    </row>
    <row r="42" spans="1:16" ht="51.75" customHeight="1" x14ac:dyDescent="0.25">
      <c r="A42" s="593" t="s">
        <v>1299</v>
      </c>
      <c r="B42" s="2216" t="s">
        <v>1245</v>
      </c>
      <c r="C42" s="2217"/>
      <c r="D42" s="2217"/>
      <c r="E42" s="2218"/>
      <c r="F42" s="324" t="s">
        <v>25</v>
      </c>
      <c r="G42" s="407" t="s">
        <v>991</v>
      </c>
      <c r="H42" s="853"/>
      <c r="P42" s="1888"/>
    </row>
    <row r="43" spans="1:16" s="34" customFormat="1" ht="20.25" customHeight="1" x14ac:dyDescent="0.25">
      <c r="A43" s="593" t="s">
        <v>1299</v>
      </c>
      <c r="E43" s="25"/>
      <c r="F43" s="361"/>
      <c r="G43" s="361"/>
      <c r="H43" s="361"/>
    </row>
    <row r="44" spans="1:16" s="24" customFormat="1" ht="26.25" customHeight="1" x14ac:dyDescent="0.25">
      <c r="A44" s="593" t="s">
        <v>1299</v>
      </c>
      <c r="B44" s="105" t="s">
        <v>268</v>
      </c>
      <c r="C44" s="31"/>
      <c r="D44" s="31"/>
      <c r="E44" s="31"/>
      <c r="F44" s="404"/>
      <c r="G44" s="404"/>
      <c r="H44" s="404"/>
      <c r="I44" s="1290" t="s">
        <v>1072</v>
      </c>
      <c r="J44" s="1290" t="s">
        <v>1073</v>
      </c>
      <c r="K44" s="1290" t="s">
        <v>1074</v>
      </c>
      <c r="L44" s="440"/>
    </row>
    <row r="45" spans="1:16" ht="33" customHeight="1" x14ac:dyDescent="0.25">
      <c r="A45" s="593" t="s">
        <v>1299</v>
      </c>
      <c r="B45" s="2216" t="s">
        <v>1144</v>
      </c>
      <c r="C45" s="2217"/>
      <c r="D45" s="2217"/>
      <c r="E45" s="2218"/>
      <c r="F45" s="324" t="s">
        <v>25</v>
      </c>
      <c r="G45" s="407" t="s">
        <v>992</v>
      </c>
      <c r="H45" s="853"/>
      <c r="I45" s="1289" t="b">
        <f ca="1">IF(J45=TRUE,TRUE,FALSE)</f>
        <v>1</v>
      </c>
      <c r="J45" s="1289" t="b">
        <f ca="1">IF(ISNA(VLOOKUP("1",OFFSET(GenHVACformatref,1,0,ROWS(GenHVACformatref)-1,1),1,FALSE)),IF(ISNA(VLOOKUP("2",OFFSET(GenHVACformatref,1,0,ROWS(GenHVACformatref)-1,1),1,FALSE)),IF(ISNA(VLOOKUP("3",OFFSET(GenHVACformatref,1,0,ROWS(GenHVACformatref)-1,1),1,FALSE)),IF(ISNA(VLOOKUP("4",OFFSET(GenHVACformatref,1,0,ROWS(GenHVACformatref)-1,1),1,FALSE)),FALSE,TRUE),TRUE),TRUE),TRUE)</f>
        <v>1</v>
      </c>
      <c r="P45" s="1888"/>
    </row>
    <row r="46" spans="1:16" ht="33" customHeight="1" x14ac:dyDescent="0.25">
      <c r="A46" s="593" t="s">
        <v>1299</v>
      </c>
      <c r="B46" s="2216" t="s">
        <v>1145</v>
      </c>
      <c r="C46" s="2217"/>
      <c r="D46" s="2217"/>
      <c r="E46" s="2218"/>
      <c r="F46" s="324" t="s">
        <v>25</v>
      </c>
      <c r="G46" s="407" t="s">
        <v>993</v>
      </c>
      <c r="H46" s="853"/>
      <c r="I46" s="1289" t="b">
        <f ca="1">IF(J46=TRUE,TRUE,FALSE)</f>
        <v>1</v>
      </c>
      <c r="J46" s="1289" t="b">
        <f ca="1">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f>
        <v>1</v>
      </c>
      <c r="P46" s="1888"/>
    </row>
    <row r="47" spans="1:16" ht="33" customHeight="1" x14ac:dyDescent="0.25">
      <c r="A47" s="593" t="s">
        <v>1299</v>
      </c>
      <c r="B47" s="2216" t="s">
        <v>1146</v>
      </c>
      <c r="C47" s="2217"/>
      <c r="D47" s="2217"/>
      <c r="E47" s="2218"/>
      <c r="F47" s="1990"/>
      <c r="G47" s="407" t="s">
        <v>994</v>
      </c>
      <c r="H47" s="853"/>
      <c r="I47" s="1289" t="b">
        <f ca="1">IF(J47=TRUE,TRUE,FALSE)</f>
        <v>0</v>
      </c>
      <c r="J47" s="1289" t="b">
        <f ca="1">IF(ISNA(VLOOKUP("9",OFFSET(GenHVACformatref,1,0,ROWS(GenHVACformatref)-1,1),1,FALSE)),IF(ISNA(VLOOKUP("10",OFFSET(GenHVACformatref,1,0,ROWS(GenHVACformatref)-1,1),1,FALSE)),FALSE,TRUE),TRUE)</f>
        <v>0</v>
      </c>
      <c r="P47" s="1888"/>
    </row>
    <row r="48" spans="1:16" ht="33" customHeight="1" x14ac:dyDescent="0.25">
      <c r="A48" s="593" t="s">
        <v>1299</v>
      </c>
      <c r="B48" s="2216" t="s">
        <v>1147</v>
      </c>
      <c r="C48" s="2217"/>
      <c r="D48" s="2217"/>
      <c r="E48" s="2218"/>
      <c r="F48" s="324" t="s">
        <v>25</v>
      </c>
      <c r="G48" s="407" t="s">
        <v>991</v>
      </c>
      <c r="H48" s="853"/>
      <c r="I48" s="1289" t="b">
        <v>1</v>
      </c>
      <c r="P48" s="1888"/>
    </row>
    <row r="49" spans="1:16" ht="52.5" customHeight="1" x14ac:dyDescent="0.25">
      <c r="A49" s="593" t="s">
        <v>1299</v>
      </c>
      <c r="B49" s="2216" t="s">
        <v>1148</v>
      </c>
      <c r="C49" s="2217"/>
      <c r="D49" s="2217"/>
      <c r="E49" s="2218"/>
      <c r="F49" s="324" t="s">
        <v>25</v>
      </c>
      <c r="G49" s="355" t="s">
        <v>1247</v>
      </c>
      <c r="H49" s="855"/>
      <c r="I49" s="1289" t="b">
        <f ca="1">IF(J49=TRUE,TRUE,IF(AND(K49=TRUE,'General Information'!$J$59=TRUE),TRUE,FALSE))</f>
        <v>1</v>
      </c>
      <c r="J49" s="1289" t="b">
        <f ca="1">IF(ISNA(VLOOKUP("1",OFFSET(GenHVACformatref,1,0,ROWS(GenHVACformatref)-1,1),1,FALSE)),IF(ISNA(VLOOKUP("2",OFFSET(GenHVACformatref,1,0,ROWS(GenHVACformatref)-1,1),1,FALSE)),IF(ISNA(VLOOKUP("3",OFFSET(GenHVACformatref,1,0,ROWS(GenHVACformatref)-1,1),1,FALSE)),IF(ISNA(VLOOKUP("4",OFFSET(GenHVACformatref,1,0,ROWS(GenHVACformatref)-1,1),1,FALSE)),IF(ISNA(VLOOKUP("5",OFFSET(GenHVACformatref,1,0,ROWS(GenHVACformatref)-1,1),1,FALSE)),IF(ISNA(VLOOKUP("6",OFFSET(GenHVACformatref,1,0,ROWS(GenHVACformatref)-1,1),1,FALSE)),FALSE,TRUE),TRUE),TRUE),TRUE),TRUE),TRUE)</f>
        <v>1</v>
      </c>
      <c r="K49" s="1289" t="b">
        <f ca="1">IF(ISNA(VLOOKUP("1",OFFSET(GenHVACformatref,1,0,ROWS(GenHVACformatref)-1,1),1,FALSE)),IF(ISNA(VLOOKUP("3",OFFSET(GenHVACformatref,1,0,ROWS(GenHVACformatref)-1,1),1,FALSE)),IF(ISNA(VLOOKUP("5",OFFSET(GenHVACformatref,1,0,ROWS(GenHVACformatref)-1,1),1,FALSE)),FALSE,TRUE),TRUE),TRUE)</f>
        <v>0</v>
      </c>
      <c r="P49" s="1888"/>
    </row>
    <row r="50" spans="1:16" ht="33" customHeight="1" x14ac:dyDescent="0.25">
      <c r="A50" s="593" t="s">
        <v>1299</v>
      </c>
      <c r="B50" s="2216" t="s">
        <v>1149</v>
      </c>
      <c r="C50" s="2217"/>
      <c r="D50" s="2217"/>
      <c r="E50" s="2218"/>
      <c r="F50" s="324" t="s">
        <v>25</v>
      </c>
      <c r="G50" s="407" t="s">
        <v>991</v>
      </c>
      <c r="H50" s="853"/>
      <c r="I50" s="1289" t="b">
        <v>1</v>
      </c>
      <c r="P50" s="1888"/>
    </row>
    <row r="51" spans="1:16" ht="33" customHeight="1" x14ac:dyDescent="0.25">
      <c r="A51" s="593" t="s">
        <v>1299</v>
      </c>
      <c r="B51" s="2216" t="s">
        <v>1150</v>
      </c>
      <c r="C51" s="2217"/>
      <c r="D51" s="2217"/>
      <c r="E51" s="2218"/>
      <c r="F51" s="324" t="s">
        <v>25</v>
      </c>
      <c r="G51" s="407" t="s">
        <v>991</v>
      </c>
      <c r="H51" s="853"/>
      <c r="I51" s="1289" t="b">
        <v>1</v>
      </c>
      <c r="P51" s="1888"/>
    </row>
    <row r="52" spans="1:16" ht="33" customHeight="1" x14ac:dyDescent="0.25">
      <c r="A52" s="593" t="s">
        <v>1299</v>
      </c>
      <c r="B52" s="2216" t="s">
        <v>1151</v>
      </c>
      <c r="C52" s="2217"/>
      <c r="D52" s="2217"/>
      <c r="E52" s="2218"/>
      <c r="F52" s="324" t="s">
        <v>1069</v>
      </c>
      <c r="G52" s="407" t="s">
        <v>991</v>
      </c>
      <c r="H52" s="853"/>
      <c r="I52" s="1289" t="b">
        <v>1</v>
      </c>
      <c r="P52" s="1888"/>
    </row>
    <row r="53" spans="1:16" ht="33" customHeight="1" x14ac:dyDescent="0.25">
      <c r="A53" s="593" t="s">
        <v>1299</v>
      </c>
      <c r="B53" s="2216" t="s">
        <v>1152</v>
      </c>
      <c r="C53" s="2217"/>
      <c r="D53" s="2217"/>
      <c r="E53" s="2218"/>
      <c r="F53" s="324" t="s">
        <v>25</v>
      </c>
      <c r="G53" s="407" t="s">
        <v>991</v>
      </c>
      <c r="H53" s="853"/>
      <c r="I53" s="1289" t="b">
        <v>1</v>
      </c>
      <c r="P53" s="1888"/>
    </row>
    <row r="54" spans="1:16" ht="64.5" customHeight="1" x14ac:dyDescent="0.25">
      <c r="A54" s="593" t="s">
        <v>1299</v>
      </c>
      <c r="B54" s="2216" t="s">
        <v>1153</v>
      </c>
      <c r="C54" s="2217"/>
      <c r="D54" s="2217"/>
      <c r="E54" s="2218"/>
      <c r="F54" s="324" t="s">
        <v>1069</v>
      </c>
      <c r="G54" s="407" t="s">
        <v>1042</v>
      </c>
      <c r="H54" s="853"/>
      <c r="I54" s="1289" t="b">
        <f ca="1">IF(J54=TRUE,TRUE,FALSE)</f>
        <v>1</v>
      </c>
      <c r="J54" s="1289" t="b">
        <f ca="1">IF(ISNA(VLOOKUP("3",OFFSET(GenHVACformatref,1,0,ROWS(GenHVACformatref)-1,1),1,FALSE)),IF(ISNA(VLOOKUP("4",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1</v>
      </c>
      <c r="P54" s="1888"/>
    </row>
    <row r="55" spans="1:16" ht="137.4" customHeight="1" x14ac:dyDescent="0.25">
      <c r="A55" s="593" t="s">
        <v>1299</v>
      </c>
      <c r="B55" s="2216" t="s">
        <v>2076</v>
      </c>
      <c r="C55" s="2217"/>
      <c r="D55" s="2217"/>
      <c r="E55" s="2218"/>
      <c r="F55" s="324" t="s">
        <v>25</v>
      </c>
      <c r="G55" s="407" t="s">
        <v>991</v>
      </c>
      <c r="H55" s="853"/>
      <c r="I55" s="1289" t="b">
        <v>1</v>
      </c>
      <c r="P55" s="1888"/>
    </row>
    <row r="56" spans="1:16" ht="33" customHeight="1" x14ac:dyDescent="0.25">
      <c r="A56" s="593" t="s">
        <v>1299</v>
      </c>
      <c r="B56" s="2216" t="s">
        <v>1154</v>
      </c>
      <c r="C56" s="2217"/>
      <c r="D56" s="2217"/>
      <c r="E56" s="2218"/>
      <c r="F56" s="324" t="s">
        <v>25</v>
      </c>
      <c r="G56" s="407" t="s">
        <v>991</v>
      </c>
      <c r="H56" s="853"/>
      <c r="I56" s="1289" t="b">
        <v>1</v>
      </c>
      <c r="P56" s="1888"/>
    </row>
    <row r="57" spans="1:16" ht="62.25" customHeight="1" x14ac:dyDescent="0.25">
      <c r="A57" s="593" t="s">
        <v>1299</v>
      </c>
      <c r="B57" s="2216" t="s">
        <v>1155</v>
      </c>
      <c r="C57" s="2217"/>
      <c r="D57" s="2217"/>
      <c r="E57" s="2218"/>
      <c r="F57" s="324" t="s">
        <v>25</v>
      </c>
      <c r="G57" s="407" t="s">
        <v>995</v>
      </c>
      <c r="H57" s="853"/>
      <c r="I57" s="1289" t="b">
        <f t="shared" ref="I57:I63" ca="1" si="1">IF(J57=TRUE,TRUE,FALSE)</f>
        <v>1</v>
      </c>
      <c r="J57" s="1289" t="b">
        <f ca="1">IF(ISNA(VLOOKUP("1",OFFSET(GenHVACformatref,1,0,ROWS(GenHVACformatref)-1,1),1,FALSE)),IF(ISNA(VLOOKUP("2",OFFSET(GenHVACformatref,1,0,ROWS(GenHVACformatref)-1,1),1,FALSE)),IF(ISNA(VLOOKUP("3",OFFSET(GenHVACformatref,1,0,ROWS(GenHVACformatref)-1,1),1,FALSE)),IF(ISNA(VLOOKUP("4",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TRUE),TRUE)</f>
        <v>1</v>
      </c>
      <c r="P57" s="1888"/>
    </row>
    <row r="58" spans="1:16" ht="50.25" customHeight="1" x14ac:dyDescent="0.25">
      <c r="A58" s="593" t="s">
        <v>1299</v>
      </c>
      <c r="B58" s="2216" t="s">
        <v>1156</v>
      </c>
      <c r="C58" s="2217"/>
      <c r="D58" s="2217"/>
      <c r="E58" s="2218"/>
      <c r="F58" s="1990"/>
      <c r="G58" s="407" t="s">
        <v>994</v>
      </c>
      <c r="H58" s="853"/>
      <c r="I58" s="1289" t="b">
        <f t="shared" ca="1" si="1"/>
        <v>0</v>
      </c>
      <c r="J58" s="1289" t="b">
        <f ca="1">IF(ISNA(VLOOKUP("9",OFFSET(GenHVACformatref,1,0,ROWS(GenHVACformatref)-1,1),1,FALSE)),IF(ISNA(VLOOKUP("10",OFFSET(GenHVACformatref,1,0,ROWS(GenHVACformatref)-1,1),1,FALSE)),FALSE,TRUE),TRUE)</f>
        <v>0</v>
      </c>
      <c r="P58" s="1888"/>
    </row>
    <row r="59" spans="1:16" ht="60.75" customHeight="1" x14ac:dyDescent="0.25">
      <c r="A59" s="593" t="s">
        <v>1299</v>
      </c>
      <c r="B59" s="2216" t="s">
        <v>1157</v>
      </c>
      <c r="C59" s="2217"/>
      <c r="D59" s="2217"/>
      <c r="E59" s="2218"/>
      <c r="F59" s="324" t="s">
        <v>25</v>
      </c>
      <c r="G59" s="355" t="s">
        <v>1248</v>
      </c>
      <c r="H59" s="855"/>
      <c r="I59" s="1289" t="b">
        <f t="shared" ca="1" si="1"/>
        <v>1</v>
      </c>
      <c r="J59" s="1289" t="b">
        <f ca="1">IF(ISNA(VLOOKUP("2",OFFSET(GenHVACformatref,1,0,ROWS(GenHVACformatref)-1,1),1,FALSE)),IF(ISNA(VLOOKUP("4",OFFSET(GenHVACformatref,1,0,ROWS(GenHVACformatref)-1,1),1,FALSE)),FALSE,TRUE),TRUE)</f>
        <v>1</v>
      </c>
      <c r="P59" s="1888"/>
    </row>
    <row r="60" spans="1:16" ht="33" customHeight="1" x14ac:dyDescent="0.25">
      <c r="A60" s="593" t="s">
        <v>1299</v>
      </c>
      <c r="B60" s="2216" t="s">
        <v>1158</v>
      </c>
      <c r="C60" s="2217"/>
      <c r="D60" s="2217"/>
      <c r="E60" s="2218"/>
      <c r="F60" s="324" t="s">
        <v>25</v>
      </c>
      <c r="G60" s="407" t="s">
        <v>993</v>
      </c>
      <c r="H60" s="853"/>
      <c r="I60" s="1289" t="b">
        <f t="shared" ca="1" si="1"/>
        <v>1</v>
      </c>
      <c r="J60" s="1289" t="b">
        <f ca="1">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f>
        <v>1</v>
      </c>
      <c r="P60" s="1888"/>
    </row>
    <row r="61" spans="1:16" ht="33" customHeight="1" x14ac:dyDescent="0.25">
      <c r="A61" s="593" t="s">
        <v>1299</v>
      </c>
      <c r="B61" s="2216" t="s">
        <v>1159</v>
      </c>
      <c r="C61" s="2217"/>
      <c r="D61" s="2217"/>
      <c r="E61" s="2218"/>
      <c r="F61" s="324" t="s">
        <v>25</v>
      </c>
      <c r="G61" s="407" t="s">
        <v>996</v>
      </c>
      <c r="H61" s="853"/>
      <c r="I61" s="1289" t="b">
        <f t="shared" ca="1" si="1"/>
        <v>1</v>
      </c>
      <c r="J61" s="1289" t="b">
        <f ca="1">IF(ISNA(VLOOKUP("5",OFFSET(GenHVACformatref,1,0,ROWS(GenHVACformatref)-1,1),1,FALSE)),IF(ISNA(VLOOKUP("7",OFFSET(GenHVACformatref,1,0,ROWS(GenHVACformatref)-1,1),1,FALSE)),FALSE,TRUE),TRUE)</f>
        <v>1</v>
      </c>
      <c r="P61" s="1888"/>
    </row>
    <row r="62" spans="1:16" ht="39.75" customHeight="1" x14ac:dyDescent="0.25">
      <c r="A62" s="593" t="s">
        <v>1299</v>
      </c>
      <c r="B62" s="2216" t="s">
        <v>1160</v>
      </c>
      <c r="C62" s="2217"/>
      <c r="D62" s="2217"/>
      <c r="E62" s="2218"/>
      <c r="F62" s="324" t="s">
        <v>25</v>
      </c>
      <c r="G62" s="355" t="s">
        <v>997</v>
      </c>
      <c r="H62" s="855"/>
      <c r="I62" s="1289" t="b">
        <f t="shared" ca="1" si="1"/>
        <v>1</v>
      </c>
      <c r="J62" s="1289" t="b">
        <f ca="1">IF(ISNA(VLOOKUP("6",OFFSET(GenHVACformatref,1,0,ROWS(GenHVACformatref)-1,1),1,FALSE)),IF(ISNA(VLOOKUP("8",OFFSET(GenHVACformatref,1,0,ROWS(GenHVACformatref)-1,1),1,FALSE)),FALSE,TRUE),TRUE)</f>
        <v>1</v>
      </c>
      <c r="P62" s="1888"/>
    </row>
    <row r="63" spans="1:16" ht="33" customHeight="1" x14ac:dyDescent="0.25">
      <c r="A63" s="593" t="s">
        <v>1299</v>
      </c>
      <c r="B63" s="2216" t="s">
        <v>1161</v>
      </c>
      <c r="C63" s="2217"/>
      <c r="D63" s="2217"/>
      <c r="E63" s="2218"/>
      <c r="F63" s="324" t="s">
        <v>25</v>
      </c>
      <c r="G63" s="407" t="s">
        <v>993</v>
      </c>
      <c r="H63" s="853"/>
      <c r="I63" s="1289" t="b">
        <f t="shared" ca="1" si="1"/>
        <v>1</v>
      </c>
      <c r="J63" s="1289" t="b">
        <f ca="1">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f>
        <v>1</v>
      </c>
      <c r="P63" s="1888"/>
    </row>
    <row r="64" spans="1:16" s="34" customFormat="1" ht="20.25" customHeight="1" x14ac:dyDescent="0.25">
      <c r="A64" s="593" t="s">
        <v>1299</v>
      </c>
      <c r="E64" s="25"/>
      <c r="F64" s="361"/>
      <c r="G64" s="361"/>
      <c r="H64" s="361"/>
    </row>
    <row r="65" spans="1:16" s="24" customFormat="1" ht="26.25" customHeight="1" x14ac:dyDescent="0.25">
      <c r="A65" s="593" t="s">
        <v>1299</v>
      </c>
      <c r="B65" s="105" t="s">
        <v>269</v>
      </c>
      <c r="C65" s="31"/>
      <c r="D65" s="31"/>
      <c r="E65" s="31"/>
      <c r="F65" s="404"/>
      <c r="G65" s="404"/>
      <c r="H65" s="404"/>
    </row>
    <row r="66" spans="1:16" ht="55.5" customHeight="1" x14ac:dyDescent="0.25">
      <c r="A66" s="593" t="s">
        <v>1299</v>
      </c>
      <c r="B66" s="2216" t="s">
        <v>1228</v>
      </c>
      <c r="C66" s="2217"/>
      <c r="D66" s="2217"/>
      <c r="E66" s="2218"/>
      <c r="F66" s="324" t="s">
        <v>25</v>
      </c>
      <c r="G66" s="355" t="s">
        <v>1250</v>
      </c>
      <c r="H66" s="855"/>
      <c r="I66" s="1289" t="b">
        <f ca="1">IF('General Information'!$J$59=TRUE,FALSE,IF(J66=TRUE,TRUE,IF(AND(K66=TRUE,'General Information'!$I$59=TRUE),TRUE,FALSE)))</f>
        <v>1</v>
      </c>
      <c r="J66" s="1289" t="b">
        <f ca="1">IF(ISNA(VLOOKUP("1",OFFSET(GenHVACformatref,1,0,ROWS(GenHVACformatref)-1,1),1,FALSE)),IF(ISNA(VLOOKUP("5",OFFSET(GenHVACformatref,1,0,ROWS(GenHVACformatref)-1,1),1,FALSE)),IF(ISNA(VLOOKUP("7",OFFSET(GenHVACformatref,1,0,ROWS(GenHVACformatref)-1,1),1,FALSE)),FALSE,TRUE),TRUE),TRUE)</f>
        <v>1</v>
      </c>
      <c r="K66" s="1289" t="b">
        <f ca="1">IF(ISNA(VLOOKUP("1",OFFSET(GenHVACformatref,1,0,ROWS(GenHVACformatref)-1,1),1,FALSE)),IF(ISNA(VLOOKUP("2",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1</v>
      </c>
      <c r="P66" s="1888"/>
    </row>
    <row r="67" spans="1:16" ht="54" customHeight="1" x14ac:dyDescent="0.25">
      <c r="A67" s="593" t="s">
        <v>1299</v>
      </c>
      <c r="B67" s="2216" t="s">
        <v>1229</v>
      </c>
      <c r="C67" s="2217"/>
      <c r="D67" s="2217"/>
      <c r="E67" s="2218"/>
      <c r="F67" s="324" t="s">
        <v>25</v>
      </c>
      <c r="G67" s="355" t="s">
        <v>1250</v>
      </c>
      <c r="H67" s="855"/>
      <c r="I67" s="1289" t="b">
        <f ca="1">IF('General Information'!$J$59=TRUE,FALSE,IF(J67=TRUE,TRUE,IF(AND(K67=TRUE,'General Information'!$I$59=TRUE),TRUE,FALSE)))</f>
        <v>1</v>
      </c>
      <c r="J67" s="1289" t="b">
        <f ca="1">IF(ISNA(VLOOKUP("1",OFFSET(GenHVACformatref,1,0,ROWS(GenHVACformatref)-1,1),1,FALSE)),IF(ISNA(VLOOKUP("5",OFFSET(GenHVACformatref,1,0,ROWS(GenHVACformatref)-1,1),1,FALSE)),IF(ISNA(VLOOKUP("7",OFFSET(GenHVACformatref,1,0,ROWS(GenHVACformatref)-1,1),1,FALSE)),FALSE,TRUE),TRUE),TRUE)</f>
        <v>1</v>
      </c>
      <c r="K67" s="1289" t="b">
        <f ca="1">IF(ISNA(VLOOKUP("1",OFFSET(GenHVACformatref,1,0,ROWS(GenHVACformatref)-1,1),1,FALSE)),IF(ISNA(VLOOKUP("2",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1</v>
      </c>
      <c r="P67" s="1888"/>
    </row>
    <row r="68" spans="1:16" ht="54" customHeight="1" x14ac:dyDescent="0.25">
      <c r="A68" s="593" t="s">
        <v>1299</v>
      </c>
      <c r="B68" s="2216" t="s">
        <v>1230</v>
      </c>
      <c r="C68" s="2217"/>
      <c r="D68" s="2217"/>
      <c r="E68" s="2218"/>
      <c r="F68" s="324" t="s">
        <v>25</v>
      </c>
      <c r="G68" s="355" t="s">
        <v>1250</v>
      </c>
      <c r="H68" s="855"/>
      <c r="I68" s="1289" t="b">
        <f ca="1">IF('General Information'!$J$59=TRUE,FALSE,IF(J68=TRUE,TRUE,IF(AND(K68=TRUE,'General Information'!$I$59=TRUE),TRUE,FALSE)))</f>
        <v>1</v>
      </c>
      <c r="J68" s="1289" t="b">
        <f ca="1">IF(ISNA(VLOOKUP("1",OFFSET(GenHVACformatref,1,0,ROWS(GenHVACformatref)-1,1),1,FALSE)),IF(ISNA(VLOOKUP("5",OFFSET(GenHVACformatref,1,0,ROWS(GenHVACformatref)-1,1),1,FALSE)),IF(ISNA(VLOOKUP("7",OFFSET(GenHVACformatref,1,0,ROWS(GenHVACformatref)-1,1),1,FALSE)),FALSE,TRUE),TRUE),TRUE)</f>
        <v>1</v>
      </c>
      <c r="K68" s="1289" t="b">
        <f ca="1">IF(ISNA(VLOOKUP("1",OFFSET(GenHVACformatref,1,0,ROWS(GenHVACformatref)-1,1),1,FALSE)),IF(ISNA(VLOOKUP("2",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1</v>
      </c>
      <c r="P68" s="1888"/>
    </row>
    <row r="69" spans="1:16" ht="54" customHeight="1" x14ac:dyDescent="0.25">
      <c r="A69" s="593" t="s">
        <v>1299</v>
      </c>
      <c r="B69" s="2216" t="s">
        <v>1231</v>
      </c>
      <c r="C69" s="2217"/>
      <c r="D69" s="2217"/>
      <c r="E69" s="2218"/>
      <c r="F69" s="324" t="s">
        <v>25</v>
      </c>
      <c r="G69" s="355" t="s">
        <v>1250</v>
      </c>
      <c r="H69" s="855"/>
      <c r="I69" s="1289" t="b">
        <f ca="1">IF('General Information'!$J$59=TRUE,FALSE,IF(J69=TRUE,TRUE,IF(AND(K69=TRUE,'General Information'!$I$59=TRUE),TRUE,FALSE)))</f>
        <v>1</v>
      </c>
      <c r="J69" s="1289" t="b">
        <f ca="1">IF(ISNA(VLOOKUP("1",OFFSET(GenHVACformatref,1,0,ROWS(GenHVACformatref)-1,1),1,FALSE)),IF(ISNA(VLOOKUP("5",OFFSET(GenHVACformatref,1,0,ROWS(GenHVACformatref)-1,1),1,FALSE)),IF(ISNA(VLOOKUP("7",OFFSET(GenHVACformatref,1,0,ROWS(GenHVACformatref)-1,1),1,FALSE)),FALSE,TRUE),TRUE),TRUE)</f>
        <v>1</v>
      </c>
      <c r="K69" s="1289" t="b">
        <f ca="1">IF(ISNA(VLOOKUP("1",OFFSET(GenHVACformatref,1,0,ROWS(GenHVACformatref)-1,1),1,FALSE)),IF(ISNA(VLOOKUP("2",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1</v>
      </c>
      <c r="P69" s="1888"/>
    </row>
    <row r="70" spans="1:16" ht="42.75" customHeight="1" x14ac:dyDescent="0.25">
      <c r="A70" s="593" t="s">
        <v>1299</v>
      </c>
      <c r="B70" s="2216" t="s">
        <v>1232</v>
      </c>
      <c r="C70" s="2217"/>
      <c r="D70" s="2217"/>
      <c r="E70" s="2218"/>
      <c r="F70" s="324" t="s">
        <v>25</v>
      </c>
      <c r="G70" s="355" t="s">
        <v>1035</v>
      </c>
      <c r="H70" s="855"/>
      <c r="I70" s="1289" t="b">
        <f ca="1">IF(OR('General Information'!$I$59=TRUE,'General Information'!$J$59=TRUE),TRUE,IF(J70=TRUE,TRUE,FALSE))</f>
        <v>1</v>
      </c>
      <c r="J70" s="1289" t="b">
        <f ca="1">IF(ISNA(VLOOKUP("1",OFFSET(GenHVACformatref,1,0,ROWS(GenHVACformatref)-1,1),1,FALSE)),IF(ISNA(VLOOKUP("5",OFFSET(GenHVACformatref,1,0,ROWS(GenHVACformatref)-1,1),1,FALSE)),IF(ISNA(VLOOKUP("7",OFFSET(GenHVACformatref,1,0,ROWS(GenHVACformatref)-1,1),1,FALSE)),IF(ISNA(VLOOKUP("8",OFFSET(GenHVACformatref,1,0,ROWS(GenHVACformatref)-1,1),1,FALSE)),FALSE,TRUE),TRUE),TRUE),TRUE)</f>
        <v>1</v>
      </c>
      <c r="P70" s="1888"/>
    </row>
    <row r="71" spans="1:16" ht="41.25" customHeight="1" x14ac:dyDescent="0.25">
      <c r="A71" s="593" t="s">
        <v>1299</v>
      </c>
      <c r="B71" s="2216" t="s">
        <v>1233</v>
      </c>
      <c r="C71" s="2217"/>
      <c r="D71" s="2217"/>
      <c r="E71" s="2218"/>
      <c r="F71" s="324" t="s">
        <v>25</v>
      </c>
      <c r="G71" s="355" t="s">
        <v>1249</v>
      </c>
      <c r="H71" s="855"/>
      <c r="I71" s="1289" t="b">
        <f ca="1">IF('General Information'!$I$59=TRUE,FALSE,IF(J71=TRUE,TRUE,FALSE))</f>
        <v>1</v>
      </c>
      <c r="J71" s="1289" t="b">
        <f t="shared" ref="J71:J78" ca="1" si="2">IF(ISNA(VLOOKUP("7",OFFSET(GenHVACformatref,1,0,ROWS(GenHVACformatref)-1,1),1,FALSE)),IF(ISNA(VLOOKUP("8",OFFSET(GenHVACformatref,1,0,ROWS(GenHVACformatref)-1,1),1,FALSE)),FALSE,TRUE),TRUE)</f>
        <v>1</v>
      </c>
      <c r="P71" s="1888"/>
    </row>
    <row r="72" spans="1:16" ht="33" customHeight="1" x14ac:dyDescent="0.25">
      <c r="A72" s="593" t="s">
        <v>1299</v>
      </c>
      <c r="B72" s="2216" t="s">
        <v>1234</v>
      </c>
      <c r="C72" s="2217"/>
      <c r="D72" s="2217"/>
      <c r="E72" s="2218"/>
      <c r="F72" s="324" t="s">
        <v>25</v>
      </c>
      <c r="G72" s="355" t="s">
        <v>1249</v>
      </c>
      <c r="H72" s="855"/>
      <c r="I72" s="1289" t="b">
        <f ca="1">IF('General Information'!$I$59=TRUE,FALSE,IF(J72=TRUE,TRUE,FALSE))</f>
        <v>1</v>
      </c>
      <c r="J72" s="1289" t="b">
        <f t="shared" ca="1" si="2"/>
        <v>1</v>
      </c>
      <c r="P72" s="1888"/>
    </row>
    <row r="73" spans="1:16" ht="51.75" customHeight="1" x14ac:dyDescent="0.25">
      <c r="A73" s="593" t="s">
        <v>1299</v>
      </c>
      <c r="B73" s="2216" t="s">
        <v>1235</v>
      </c>
      <c r="C73" s="2217"/>
      <c r="D73" s="2217"/>
      <c r="E73" s="2218"/>
      <c r="F73" s="324" t="s">
        <v>25</v>
      </c>
      <c r="G73" s="355" t="s">
        <v>1249</v>
      </c>
      <c r="H73" s="855"/>
      <c r="I73" s="1289" t="b">
        <f ca="1">IF('General Information'!$I$59=TRUE,FALSE,IF(J73=TRUE,TRUE,FALSE))</f>
        <v>1</v>
      </c>
      <c r="J73" s="1289" t="b">
        <f t="shared" ca="1" si="2"/>
        <v>1</v>
      </c>
      <c r="P73" s="1888"/>
    </row>
    <row r="74" spans="1:16" ht="42" customHeight="1" x14ac:dyDescent="0.25">
      <c r="A74" s="593" t="s">
        <v>1299</v>
      </c>
      <c r="B74" s="2216" t="s">
        <v>1236</v>
      </c>
      <c r="C74" s="2217"/>
      <c r="D74" s="2217"/>
      <c r="E74" s="2218"/>
      <c r="F74" s="324" t="s">
        <v>25</v>
      </c>
      <c r="G74" s="355" t="s">
        <v>1249</v>
      </c>
      <c r="H74" s="855"/>
      <c r="I74" s="1289" t="b">
        <f ca="1">IF('General Information'!$I$59=TRUE,FALSE,IF(J74=TRUE,TRUE,FALSE))</f>
        <v>1</v>
      </c>
      <c r="J74" s="1289" t="b">
        <f t="shared" ca="1" si="2"/>
        <v>1</v>
      </c>
      <c r="P74" s="1888"/>
    </row>
    <row r="75" spans="1:16" ht="42" customHeight="1" x14ac:dyDescent="0.25">
      <c r="A75" s="593" t="s">
        <v>1299</v>
      </c>
      <c r="B75" s="2216" t="s">
        <v>1237</v>
      </c>
      <c r="C75" s="2217"/>
      <c r="D75" s="2217"/>
      <c r="E75" s="2218"/>
      <c r="F75" s="324" t="s">
        <v>25</v>
      </c>
      <c r="G75" s="355" t="s">
        <v>1249</v>
      </c>
      <c r="H75" s="855"/>
      <c r="I75" s="1289" t="b">
        <f ca="1">IF('General Information'!$I$59=TRUE,FALSE,IF(J75=TRUE,TRUE,FALSE))</f>
        <v>1</v>
      </c>
      <c r="J75" s="1289" t="b">
        <f t="shared" ca="1" si="2"/>
        <v>1</v>
      </c>
      <c r="P75" s="1888"/>
    </row>
    <row r="76" spans="1:16" ht="42" customHeight="1" x14ac:dyDescent="0.25">
      <c r="A76" s="593" t="s">
        <v>1299</v>
      </c>
      <c r="B76" s="2216" t="s">
        <v>1238</v>
      </c>
      <c r="C76" s="2217"/>
      <c r="D76" s="2217"/>
      <c r="E76" s="2218"/>
      <c r="F76" s="324" t="s">
        <v>25</v>
      </c>
      <c r="G76" s="355" t="s">
        <v>1249</v>
      </c>
      <c r="H76" s="855"/>
      <c r="I76" s="1289" t="b">
        <f ca="1">IF('General Information'!$I$59=TRUE,FALSE,IF(J76=TRUE,TRUE,FALSE))</f>
        <v>1</v>
      </c>
      <c r="J76" s="1289" t="b">
        <f t="shared" ca="1" si="2"/>
        <v>1</v>
      </c>
      <c r="P76" s="1888"/>
    </row>
    <row r="77" spans="1:16" ht="42" customHeight="1" x14ac:dyDescent="0.25">
      <c r="A77" s="593" t="s">
        <v>1299</v>
      </c>
      <c r="B77" s="2216" t="s">
        <v>1239</v>
      </c>
      <c r="C77" s="2217"/>
      <c r="D77" s="2217"/>
      <c r="E77" s="2218"/>
      <c r="F77" s="324" t="s">
        <v>25</v>
      </c>
      <c r="G77" s="355" t="s">
        <v>1249</v>
      </c>
      <c r="H77" s="855"/>
      <c r="I77" s="1289" t="b">
        <f ca="1">IF('General Information'!$I$59=TRUE,FALSE,IF(J77=TRUE,TRUE,FALSE))</f>
        <v>1</v>
      </c>
      <c r="J77" s="1289" t="b">
        <f t="shared" ca="1" si="2"/>
        <v>1</v>
      </c>
      <c r="P77" s="1888"/>
    </row>
    <row r="78" spans="1:16" ht="42" customHeight="1" x14ac:dyDescent="0.25">
      <c r="A78" s="593" t="s">
        <v>1299</v>
      </c>
      <c r="B78" s="2216" t="s">
        <v>1240</v>
      </c>
      <c r="C78" s="2217"/>
      <c r="D78" s="2217"/>
      <c r="E78" s="2218"/>
      <c r="F78" s="324" t="s">
        <v>25</v>
      </c>
      <c r="G78" s="355" t="s">
        <v>1249</v>
      </c>
      <c r="H78" s="855"/>
      <c r="I78" s="1289" t="b">
        <f ca="1">IF('General Information'!$I$59=TRUE,FALSE,IF(J78=TRUE,TRUE,FALSE))</f>
        <v>1</v>
      </c>
      <c r="J78" s="1289" t="b">
        <f t="shared" ca="1" si="2"/>
        <v>1</v>
      </c>
      <c r="P78" s="1888"/>
    </row>
    <row r="79" spans="1:16" s="34" customFormat="1" ht="33" customHeight="1" x14ac:dyDescent="0.25">
      <c r="A79" s="593" t="s">
        <v>1299</v>
      </c>
      <c r="E79" s="25"/>
      <c r="F79" s="25"/>
      <c r="G79" s="361"/>
      <c r="H79" s="361"/>
    </row>
    <row r="80" spans="1:16" ht="54.9" customHeight="1" x14ac:dyDescent="0.25">
      <c r="A80" s="593" t="s">
        <v>1299</v>
      </c>
      <c r="B80" s="2620" t="s">
        <v>1162</v>
      </c>
      <c r="C80" s="2345"/>
      <c r="D80" s="2345"/>
      <c r="E80" s="2345"/>
      <c r="F80" s="2345"/>
      <c r="G80" s="2345"/>
      <c r="H80" s="36"/>
    </row>
    <row r="81" spans="1:8" ht="51" customHeight="1" x14ac:dyDescent="0.25">
      <c r="A81" s="593" t="s">
        <v>1299</v>
      </c>
      <c r="B81" s="2617"/>
      <c r="C81" s="2618"/>
      <c r="D81" s="2618"/>
      <c r="E81" s="2618"/>
      <c r="F81" s="2618"/>
      <c r="G81" s="2619"/>
      <c r="H81" s="946"/>
    </row>
    <row r="82" spans="1:8" x14ac:dyDescent="0.3">
      <c r="B82" s="43"/>
    </row>
    <row r="83" spans="1:8" x14ac:dyDescent="0.3">
      <c r="B83" s="43"/>
    </row>
    <row r="84" spans="1:8" x14ac:dyDescent="0.3">
      <c r="B84" s="43"/>
    </row>
  </sheetData>
  <sheetProtection algorithmName="SHA-512" hashValue="L5HosoAlVErfKnXBImFTUJqnuh22XOkhNxi4nzCG/5JAxDyaBRd8cCUWg6Q5Zoe9KT/+iLZWT9JoRxc7yUuSOg==" saltValue="vPsrG0macFtem0QG/9d9Rg==" spinCount="100000" sheet="1" objects="1" scenarios="1"/>
  <customSheetViews>
    <customSheetView guid="{75D6F8CE-A4F4-4FDD-BA92-7996F9E19FA9}" scale="90" showGridLines="0" hiddenRows="1">
      <selection activeCell="G5" sqref="G5"/>
      <pageMargins left="0.25" right="0.25" top="0.75" bottom="0.75" header="0.3" footer="0.3"/>
      <pageSetup scale="75" orientation="portrait" verticalDpi="1200" r:id="rId1"/>
    </customSheetView>
  </customSheetViews>
  <mergeCells count="64">
    <mergeCell ref="B5:G5"/>
    <mergeCell ref="B15:G15"/>
    <mergeCell ref="B14:G14"/>
    <mergeCell ref="B12:F12"/>
    <mergeCell ref="B10:F10"/>
    <mergeCell ref="B8:F8"/>
    <mergeCell ref="B6:F6"/>
    <mergeCell ref="B81:G81"/>
    <mergeCell ref="B80:G80"/>
    <mergeCell ref="B75:E75"/>
    <mergeCell ref="B55:E55"/>
    <mergeCell ref="B56:E56"/>
    <mergeCell ref="B57:E57"/>
    <mergeCell ref="B58:E58"/>
    <mergeCell ref="B59:E59"/>
    <mergeCell ref="B63:E63"/>
    <mergeCell ref="B60:E60"/>
    <mergeCell ref="B61:E61"/>
    <mergeCell ref="B62:E62"/>
    <mergeCell ref="B77:E77"/>
    <mergeCell ref="B74:E74"/>
    <mergeCell ref="B78:E78"/>
    <mergeCell ref="B66:E66"/>
    <mergeCell ref="B46:E46"/>
    <mergeCell ref="B47:E47"/>
    <mergeCell ref="B54:E54"/>
    <mergeCell ref="B42:E42"/>
    <mergeCell ref="B53:E53"/>
    <mergeCell ref="B50:E50"/>
    <mergeCell ref="B51:E51"/>
    <mergeCell ref="B52:E52"/>
    <mergeCell ref="B49:E49"/>
    <mergeCell ref="B48:E48"/>
    <mergeCell ref="F31:G31"/>
    <mergeCell ref="B39:E39"/>
    <mergeCell ref="F32:G32"/>
    <mergeCell ref="C27:D27"/>
    <mergeCell ref="B40:E40"/>
    <mergeCell ref="B38:E38"/>
    <mergeCell ref="F30:G30"/>
    <mergeCell ref="C18:E18"/>
    <mergeCell ref="F18:G18"/>
    <mergeCell ref="B45:E45"/>
    <mergeCell ref="C20:E20"/>
    <mergeCell ref="C21:E21"/>
    <mergeCell ref="C19:E19"/>
    <mergeCell ref="F19:G19"/>
    <mergeCell ref="F27:G27"/>
    <mergeCell ref="F21:G21"/>
    <mergeCell ref="F20:G20"/>
    <mergeCell ref="C22:E22"/>
    <mergeCell ref="F22:G22"/>
    <mergeCell ref="B36:G36"/>
    <mergeCell ref="B41:E41"/>
    <mergeCell ref="F29:G29"/>
    <mergeCell ref="F26:G26"/>
    <mergeCell ref="B73:E73"/>
    <mergeCell ref="B76:E76"/>
    <mergeCell ref="B71:E71"/>
    <mergeCell ref="B68:E68"/>
    <mergeCell ref="B67:E67"/>
    <mergeCell ref="B69:E69"/>
    <mergeCell ref="B70:E70"/>
    <mergeCell ref="B72:E72"/>
  </mergeCells>
  <conditionalFormatting sqref="B45:F45">
    <cfRule type="expression" dxfId="87" priority="7">
      <formula>IF($I45=TRUE,FALSE,TRUE)</formula>
    </cfRule>
  </conditionalFormatting>
  <conditionalFormatting sqref="B46:F63">
    <cfRule type="expression" dxfId="86" priority="3">
      <formula>IF($I46=TRUE,FALSE,TRUE)</formula>
    </cfRule>
  </conditionalFormatting>
  <conditionalFormatting sqref="B66:F78">
    <cfRule type="expression" dxfId="85" priority="2">
      <formula>IF($I66=TRUE,FALSE,TRUE)</formula>
    </cfRule>
  </conditionalFormatting>
  <dataValidations count="8">
    <dataValidation type="list" allowBlank="1" showInputMessage="1" showErrorMessage="1" sqref="F53 F55:F63 F66:F78 F45:F47 F49:F51" xr:uid="{00000000-0002-0000-0E00-000000000000}">
      <formula1>"Yes, No"</formula1>
    </dataValidation>
    <dataValidation type="list" allowBlank="1" showErrorMessage="1" sqref="F38:F42" xr:uid="{00000000-0002-0000-0E00-000001000000}">
      <formula1>"Yes, No"</formula1>
    </dataValidation>
    <dataValidation type="list" allowBlank="1" showInputMessage="1" showErrorMessage="1" sqref="F52 F54 F48" xr:uid="{00000000-0002-0000-0E00-000002000000}">
      <formula1>"Yes, No, N/A"</formula1>
    </dataValidation>
    <dataValidation type="list" allowBlank="1" showInputMessage="1" showErrorMessage="1" sqref="F7 F11 F9" xr:uid="{00000000-0002-0000-0E00-000003000000}">
      <formula1>"Yes,No"</formula1>
    </dataValidation>
    <dataValidation type="list" allowBlank="1" showInputMessage="1" showErrorMessage="1" sqref="G6 G8 G10 G12 F13" xr:uid="{00000000-0002-0000-0E00-000004000000}">
      <formula1>"Yes,No,N/A"</formula1>
    </dataValidation>
    <dataValidation type="list" allowBlank="1" showInputMessage="1" showErrorMessage="1" sqref="B20:B22 B29:B32" xr:uid="{00000000-0002-0000-0E00-000005000000}">
      <formula1>BuildingIDLookup</formula1>
    </dataValidation>
    <dataValidation type="list" allowBlank="1" showInputMessage="1" showErrorMessage="1" sqref="C29:C32" xr:uid="{00000000-0002-0000-0E00-000006000000}">
      <formula1>DD_GH_BaseSysList</formula1>
    </dataValidation>
    <dataValidation type="list" allowBlank="1" showInputMessage="1" showErrorMessage="1" sqref="D29:D32" xr:uid="{00000000-0002-0000-0E00-000007000000}">
      <formula1>IF($C29="Primary HVAC System",BaselineHVACSystems,BaselineSecondarySystems)</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9224" r:id="rId5" name="Button 8">
              <controlPr defaultSize="0" print="0" autoFill="0" autoPict="0" macro="[0]!addB">
                <anchor moveWithCells="1">
                  <from>
                    <xdr:col>1</xdr:col>
                    <xdr:colOff>38100</xdr:colOff>
                    <xdr:row>32</xdr:row>
                    <xdr:rowOff>114300</xdr:rowOff>
                  </from>
                  <to>
                    <xdr:col>2</xdr:col>
                    <xdr:colOff>571500</xdr:colOff>
                    <xdr:row>32</xdr:row>
                    <xdr:rowOff>381000</xdr:rowOff>
                  </to>
                </anchor>
              </controlPr>
            </control>
          </mc:Choice>
        </mc:AlternateContent>
        <mc:AlternateContent xmlns:mc="http://schemas.openxmlformats.org/markup-compatibility/2006">
          <mc:Choice Requires="x14">
            <control shapeId="9302" r:id="rId6" name="Button 86">
              <controlPr defaultSize="0" print="0" autoFill="0" autoPict="0" macro="[0]!addA">
                <anchor moveWithCells="1">
                  <from>
                    <xdr:col>1</xdr:col>
                    <xdr:colOff>22860</xdr:colOff>
                    <xdr:row>22</xdr:row>
                    <xdr:rowOff>137160</xdr:rowOff>
                  </from>
                  <to>
                    <xdr:col>2</xdr:col>
                    <xdr:colOff>556260</xdr:colOff>
                    <xdr:row>22</xdr:row>
                    <xdr:rowOff>403860</xdr:rowOff>
                  </to>
                </anchor>
              </controlPr>
            </control>
          </mc:Choice>
        </mc:AlternateContent>
        <mc:AlternateContent xmlns:mc="http://schemas.openxmlformats.org/markup-compatibility/2006">
          <mc:Choice Requires="x14">
            <control shapeId="9479" r:id="rId7" name="Button 263">
              <controlPr defaultSize="0" print="0" autoFill="0" autoPict="0" macro="[0]!DeleteSome">
                <anchor moveWithCells="1">
                  <from>
                    <xdr:col>2</xdr:col>
                    <xdr:colOff>632460</xdr:colOff>
                    <xdr:row>32</xdr:row>
                    <xdr:rowOff>121920</xdr:rowOff>
                  </from>
                  <to>
                    <xdr:col>3</xdr:col>
                    <xdr:colOff>274320</xdr:colOff>
                    <xdr:row>32</xdr:row>
                    <xdr:rowOff>388620</xdr:rowOff>
                  </to>
                </anchor>
              </controlPr>
            </control>
          </mc:Choice>
        </mc:AlternateContent>
        <mc:AlternateContent xmlns:mc="http://schemas.openxmlformats.org/markup-compatibility/2006">
          <mc:Choice Requires="x14">
            <control shapeId="9480" r:id="rId8" name="Button 264">
              <controlPr defaultSize="0" print="0" autoFill="0" autoPict="0" macro="[0]!DeleteSome">
                <anchor moveWithCells="1">
                  <from>
                    <xdr:col>2</xdr:col>
                    <xdr:colOff>632460</xdr:colOff>
                    <xdr:row>22</xdr:row>
                    <xdr:rowOff>144780</xdr:rowOff>
                  </from>
                  <to>
                    <xdr:col>3</xdr:col>
                    <xdr:colOff>274320</xdr:colOff>
                    <xdr:row>22</xdr:row>
                    <xdr:rowOff>411480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CT69"/>
  <sheetViews>
    <sheetView showGridLines="0" topLeftCell="A11" zoomScale="70" zoomScaleNormal="70" zoomScaleSheetLayoutView="120" zoomScalePageLayoutView="90" workbookViewId="0">
      <pane xSplit="9" topLeftCell="J1" activePane="topRight" state="frozen"/>
      <selection pane="topRight" activeCell="I25" sqref="I25"/>
    </sheetView>
  </sheetViews>
  <sheetFormatPr defaultColWidth="12.6640625" defaultRowHeight="13.2" outlineLevelCol="1" x14ac:dyDescent="0.25"/>
  <cols>
    <col min="1" max="1" width="2.6640625" style="78" customWidth="1"/>
    <col min="2" max="2" width="18.6640625" style="78" customWidth="1"/>
    <col min="3" max="4" width="40.6640625" style="78" customWidth="1"/>
    <col min="5" max="5" width="2.6640625" style="78" customWidth="1"/>
    <col min="6" max="6" width="20.6640625" style="78" customWidth="1"/>
    <col min="7" max="7" width="2.6640625" style="78" customWidth="1"/>
    <col min="8" max="9" width="14.6640625" style="78" customWidth="1"/>
    <col min="10" max="10" width="2.6640625" style="78" customWidth="1"/>
    <col min="11" max="19" width="24.6640625" style="78" customWidth="1"/>
    <col min="20" max="20" width="2.6640625" style="78" customWidth="1"/>
    <col min="21" max="45" width="24.6640625" style="78" customWidth="1"/>
    <col min="46" max="46" width="2.77734375" style="1" customWidth="1"/>
    <col min="47" max="47" width="12.6640625" style="1" hidden="1" customWidth="1" outlineLevel="1"/>
    <col min="48" max="48" width="2.77734375" style="1" customWidth="1" collapsed="1"/>
    <col min="49" max="49" width="2.77734375" style="1" customWidth="1"/>
    <col min="50" max="50" width="50.77734375" style="1" customWidth="1"/>
    <col min="51" max="59" width="12.6640625" style="1" customWidth="1"/>
    <col min="60" max="61" width="24.6640625" style="78" hidden="1" customWidth="1"/>
    <col min="62" max="98" width="12.6640625" style="1" customWidth="1"/>
    <col min="99" max="16384" width="12.6640625" style="78"/>
  </cols>
  <sheetData>
    <row r="1" spans="1:98" s="77" customFormat="1" x14ac:dyDescent="0.3">
      <c r="A1" s="75"/>
      <c r="B1" s="75"/>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76"/>
      <c r="AF1" s="76"/>
      <c r="AG1" s="76"/>
      <c r="AH1" s="76"/>
      <c r="AI1" s="76"/>
      <c r="AJ1" s="76"/>
      <c r="AK1" s="76"/>
      <c r="AL1" s="76"/>
      <c r="AM1" s="76"/>
      <c r="AN1" s="76"/>
      <c r="AO1" s="76"/>
      <c r="AP1" s="76"/>
      <c r="AQ1" s="76"/>
      <c r="AR1" s="76"/>
      <c r="AS1" s="76"/>
      <c r="AT1" s="100"/>
      <c r="AU1" s="100"/>
      <c r="AV1" s="100"/>
      <c r="AW1" s="100"/>
      <c r="AX1" s="100"/>
      <c r="AY1" s="100"/>
      <c r="AZ1" s="100"/>
      <c r="BA1" s="100"/>
      <c r="BB1" s="100"/>
      <c r="BC1" s="100"/>
      <c r="BD1" s="100"/>
      <c r="BE1" s="100"/>
      <c r="BF1" s="100"/>
      <c r="BG1" s="100"/>
      <c r="BH1" s="76"/>
      <c r="BI1" s="76"/>
      <c r="BJ1" s="100"/>
      <c r="BK1" s="100"/>
      <c r="BL1" s="100"/>
      <c r="BM1" s="100"/>
      <c r="BN1" s="100"/>
      <c r="BO1" s="100"/>
      <c r="BP1" s="100"/>
      <c r="BQ1" s="100"/>
      <c r="BR1" s="100"/>
      <c r="BS1" s="100"/>
      <c r="BT1" s="100"/>
      <c r="BU1" s="100"/>
      <c r="BV1" s="100"/>
      <c r="BW1" s="100"/>
      <c r="BX1" s="100"/>
      <c r="BY1" s="100"/>
      <c r="BZ1" s="100"/>
      <c r="CA1" s="100"/>
      <c r="CB1" s="100"/>
      <c r="CC1" s="100"/>
      <c r="CD1" s="100"/>
      <c r="CE1" s="100"/>
      <c r="CF1" s="100"/>
      <c r="CG1" s="100"/>
      <c r="CH1" s="100"/>
      <c r="CI1" s="100"/>
      <c r="CJ1" s="100"/>
      <c r="CK1" s="100"/>
      <c r="CL1" s="100"/>
      <c r="CM1" s="100"/>
      <c r="CN1" s="100"/>
      <c r="CO1" s="100"/>
      <c r="CP1" s="100"/>
      <c r="CQ1" s="100"/>
      <c r="CR1" s="100"/>
      <c r="CS1" s="100"/>
      <c r="CT1" s="100"/>
    </row>
    <row r="2" spans="1:98" s="77" customFormat="1" ht="24.75" customHeight="1" x14ac:dyDescent="0.3">
      <c r="A2" s="75"/>
      <c r="B2" s="68" t="s">
        <v>1044</v>
      </c>
      <c r="C2" s="76"/>
      <c r="D2" s="76"/>
      <c r="E2" s="44"/>
      <c r="F2" s="44"/>
      <c r="G2" s="44"/>
      <c r="H2" s="44"/>
      <c r="I2" s="44"/>
      <c r="J2" s="76"/>
      <c r="K2" s="76"/>
      <c r="L2" s="76"/>
      <c r="M2" s="76"/>
      <c r="N2" s="76"/>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100"/>
      <c r="AU2" s="100"/>
      <c r="AV2" s="100"/>
      <c r="AW2" s="100"/>
      <c r="AX2" s="100"/>
      <c r="AY2" s="100"/>
      <c r="AZ2" s="100"/>
      <c r="BA2" s="100"/>
      <c r="BB2" s="100"/>
      <c r="BC2" s="100"/>
      <c r="BD2" s="100"/>
      <c r="BE2" s="100"/>
      <c r="BF2" s="100"/>
      <c r="BG2" s="100"/>
      <c r="BH2" s="76"/>
      <c r="BI2" s="76"/>
      <c r="BJ2" s="100"/>
      <c r="BK2" s="100"/>
      <c r="BL2" s="100"/>
      <c r="BM2" s="100"/>
      <c r="BN2" s="100"/>
      <c r="BO2" s="100"/>
      <c r="BP2" s="100"/>
      <c r="BQ2" s="100"/>
      <c r="BR2" s="100"/>
      <c r="BS2" s="100"/>
      <c r="BT2" s="100"/>
      <c r="BU2" s="100"/>
      <c r="BV2" s="100"/>
      <c r="BW2" s="100"/>
      <c r="BX2" s="100"/>
      <c r="BY2" s="100"/>
      <c r="BZ2" s="100"/>
      <c r="CA2" s="100"/>
      <c r="CB2" s="100"/>
      <c r="CC2" s="100"/>
      <c r="CD2" s="100"/>
      <c r="CE2" s="100"/>
      <c r="CF2" s="100"/>
      <c r="CG2" s="100"/>
      <c r="CH2" s="100"/>
      <c r="CI2" s="100"/>
      <c r="CJ2" s="100"/>
      <c r="CK2" s="100"/>
      <c r="CL2" s="100"/>
      <c r="CM2" s="100"/>
      <c r="CN2" s="100"/>
      <c r="CO2" s="100"/>
      <c r="CP2" s="100"/>
      <c r="CQ2" s="100"/>
      <c r="CR2" s="100"/>
      <c r="CS2" s="100"/>
      <c r="CT2" s="100"/>
    </row>
    <row r="3" spans="1:98" s="77" customFormat="1" ht="15" customHeight="1" x14ac:dyDescent="0.3">
      <c r="A3" s="75"/>
      <c r="B3" s="75"/>
      <c r="C3" s="76"/>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100"/>
      <c r="AU3" s="100"/>
      <c r="AV3" s="100"/>
      <c r="AW3" s="100"/>
      <c r="AX3" s="100"/>
      <c r="AY3" s="100"/>
      <c r="AZ3" s="100"/>
      <c r="BA3" s="100"/>
      <c r="BB3" s="100"/>
      <c r="BC3" s="100"/>
      <c r="BD3" s="100"/>
      <c r="BE3" s="100"/>
      <c r="BF3" s="100"/>
      <c r="BG3" s="100"/>
      <c r="BH3" s="76"/>
      <c r="BI3" s="76"/>
      <c r="BJ3" s="100"/>
      <c r="BK3" s="100"/>
      <c r="BL3" s="100"/>
      <c r="BM3" s="100"/>
      <c r="BN3" s="100"/>
      <c r="BO3" s="100"/>
      <c r="BP3" s="100"/>
      <c r="BQ3" s="100"/>
      <c r="BR3" s="100"/>
      <c r="BS3" s="100"/>
      <c r="BT3" s="100"/>
      <c r="BU3" s="100"/>
      <c r="BV3" s="100"/>
      <c r="BW3" s="100"/>
      <c r="BX3" s="100"/>
      <c r="BY3" s="100"/>
      <c r="BZ3" s="100"/>
      <c r="CA3" s="100"/>
      <c r="CB3" s="100"/>
      <c r="CC3" s="100"/>
      <c r="CD3" s="100"/>
      <c r="CE3" s="100"/>
      <c r="CF3" s="100"/>
      <c r="CG3" s="100"/>
      <c r="CH3" s="100"/>
      <c r="CI3" s="100"/>
      <c r="CJ3" s="100"/>
      <c r="CK3" s="100"/>
      <c r="CL3" s="100"/>
      <c r="CM3" s="100"/>
      <c r="CN3" s="100"/>
      <c r="CO3" s="100"/>
      <c r="CP3" s="100"/>
      <c r="CQ3" s="100"/>
      <c r="CR3" s="100"/>
      <c r="CS3" s="100"/>
      <c r="CT3" s="100"/>
    </row>
    <row r="4" spans="1:98" ht="20.25" customHeight="1" x14ac:dyDescent="0.25"/>
    <row r="5" spans="1:98" s="79" customFormat="1" ht="91.5" customHeight="1" x14ac:dyDescent="0.3">
      <c r="B5" s="2620" t="s">
        <v>1163</v>
      </c>
      <c r="C5" s="2620"/>
      <c r="D5" s="2620"/>
      <c r="E5" s="2620"/>
      <c r="F5" s="2620"/>
      <c r="G5" s="2620"/>
      <c r="H5" s="2620"/>
      <c r="I5" s="2620"/>
      <c r="J5" s="493"/>
      <c r="K5" s="493"/>
      <c r="L5" s="493"/>
      <c r="M5" s="493"/>
      <c r="N5" s="493"/>
      <c r="O5" s="493"/>
      <c r="P5" s="493"/>
      <c r="Q5" s="493"/>
      <c r="R5" s="493"/>
      <c r="S5" s="493"/>
      <c r="T5" s="493"/>
      <c r="U5" s="493"/>
      <c r="V5" s="493"/>
      <c r="W5" s="493"/>
      <c r="X5" s="493"/>
      <c r="Y5" s="493"/>
      <c r="Z5" s="493"/>
      <c r="AA5" s="493"/>
      <c r="AB5" s="493"/>
      <c r="AC5" s="493"/>
      <c r="AD5" s="493"/>
      <c r="AE5" s="493"/>
      <c r="AF5" s="493"/>
      <c r="AG5" s="493"/>
      <c r="AH5" s="493"/>
      <c r="AI5" s="493"/>
      <c r="AJ5" s="493"/>
      <c r="AK5" s="493"/>
      <c r="AL5" s="493"/>
      <c r="AM5" s="493"/>
      <c r="AN5" s="493"/>
      <c r="AO5" s="493"/>
      <c r="AP5" s="493"/>
      <c r="AQ5" s="493"/>
      <c r="AR5" s="493"/>
      <c r="AS5" s="493"/>
      <c r="AT5" s="81"/>
      <c r="AU5" s="81"/>
      <c r="AV5" s="81"/>
      <c r="AW5" s="81"/>
      <c r="AX5" s="432" t="s">
        <v>2090</v>
      </c>
      <c r="AY5" s="81"/>
      <c r="AZ5" s="81"/>
      <c r="BA5" s="81"/>
      <c r="BB5" s="81"/>
      <c r="BC5" s="81"/>
      <c r="BD5" s="81"/>
      <c r="BE5" s="81"/>
      <c r="BF5" s="81"/>
      <c r="BG5" s="81"/>
      <c r="BH5" s="493"/>
      <c r="BI5" s="493"/>
      <c r="BJ5" s="81"/>
      <c r="BK5" s="81"/>
      <c r="BL5" s="81"/>
      <c r="BM5" s="81"/>
      <c r="BN5" s="81"/>
      <c r="BO5" s="81"/>
      <c r="BP5" s="81"/>
      <c r="BQ5" s="81"/>
      <c r="BR5" s="81"/>
      <c r="BS5" s="81"/>
      <c r="BT5" s="81"/>
      <c r="BU5" s="81"/>
      <c r="BV5" s="81"/>
      <c r="BW5" s="81"/>
      <c r="BX5" s="81"/>
      <c r="BY5" s="81"/>
      <c r="BZ5" s="81"/>
      <c r="CA5" s="81"/>
      <c r="CB5" s="81"/>
      <c r="CC5" s="81"/>
      <c r="CD5" s="81"/>
      <c r="CE5" s="81"/>
      <c r="CF5" s="81"/>
      <c r="CG5" s="81"/>
      <c r="CH5" s="81"/>
      <c r="CI5" s="81"/>
      <c r="CJ5" s="81"/>
      <c r="CK5" s="81"/>
      <c r="CL5" s="81"/>
      <c r="CM5" s="81"/>
      <c r="CN5" s="81"/>
      <c r="CO5" s="81"/>
      <c r="CP5" s="81"/>
      <c r="CQ5" s="81"/>
      <c r="CR5" s="81"/>
      <c r="CS5" s="81"/>
      <c r="CT5" s="81"/>
    </row>
    <row r="6" spans="1:98" s="24" customFormat="1" ht="21" customHeight="1" x14ac:dyDescent="0.3">
      <c r="C6" s="55"/>
      <c r="D6" s="55"/>
      <c r="H6" s="55"/>
      <c r="K6" s="55"/>
      <c r="L6" s="55"/>
      <c r="M6" s="55"/>
      <c r="N6" s="55"/>
      <c r="O6" s="55"/>
      <c r="P6" s="55"/>
      <c r="Q6" s="55"/>
      <c r="R6" s="55"/>
      <c r="S6" s="55"/>
      <c r="AT6" s="100"/>
      <c r="AU6" s="100"/>
      <c r="AV6" s="100"/>
      <c r="AW6" s="100"/>
      <c r="AX6" s="100"/>
      <c r="AY6" s="100"/>
      <c r="AZ6" s="100"/>
      <c r="BA6" s="100"/>
      <c r="BB6" s="100"/>
      <c r="BC6" s="100"/>
      <c r="BD6" s="100"/>
      <c r="BE6" s="100"/>
      <c r="BF6" s="100"/>
      <c r="BG6" s="100"/>
      <c r="BH6" s="55"/>
      <c r="BJ6" s="100"/>
      <c r="BK6" s="100"/>
      <c r="BL6" s="100"/>
      <c r="BM6" s="100"/>
      <c r="BN6" s="100"/>
      <c r="BO6" s="100"/>
      <c r="BP6" s="100"/>
      <c r="BQ6" s="100"/>
      <c r="BR6" s="100"/>
      <c r="BS6" s="100"/>
      <c r="BT6" s="100"/>
      <c r="BU6" s="100"/>
      <c r="BV6" s="100"/>
      <c r="BW6" s="100"/>
      <c r="BX6" s="100"/>
      <c r="BY6" s="100"/>
      <c r="BZ6" s="100"/>
      <c r="CA6" s="100"/>
      <c r="CB6" s="100"/>
      <c r="CC6" s="100"/>
      <c r="CD6" s="100"/>
      <c r="CE6" s="100"/>
      <c r="CF6" s="100"/>
      <c r="CG6" s="100"/>
      <c r="CH6" s="100"/>
      <c r="CI6" s="100"/>
      <c r="CJ6" s="100"/>
      <c r="CK6" s="100"/>
      <c r="CL6" s="100"/>
      <c r="CM6" s="100"/>
      <c r="CN6" s="100"/>
      <c r="CO6" s="100"/>
      <c r="CP6" s="100"/>
      <c r="CQ6" s="100"/>
      <c r="CR6" s="100"/>
      <c r="CS6" s="100"/>
      <c r="CT6" s="100"/>
    </row>
    <row r="7" spans="1:98" s="24" customFormat="1" ht="26.25" customHeight="1" x14ac:dyDescent="0.3">
      <c r="B7" s="26" t="s">
        <v>349</v>
      </c>
      <c r="H7" s="31"/>
      <c r="K7" s="31"/>
      <c r="L7" s="31"/>
      <c r="M7" s="31"/>
      <c r="N7" s="31"/>
      <c r="O7" s="31"/>
      <c r="P7" s="31"/>
      <c r="Q7" s="31"/>
      <c r="R7" s="31"/>
      <c r="S7" s="31"/>
      <c r="U7" s="31"/>
      <c r="V7" s="31"/>
      <c r="W7" s="31"/>
      <c r="X7" s="31"/>
      <c r="Y7" s="31"/>
      <c r="Z7" s="31"/>
      <c r="AA7" s="31"/>
      <c r="AB7" s="31"/>
      <c r="AC7" s="31"/>
      <c r="AD7" s="31"/>
      <c r="AE7" s="31"/>
      <c r="AF7" s="31"/>
      <c r="AG7" s="31"/>
      <c r="AH7" s="31"/>
      <c r="AI7" s="31"/>
      <c r="AJ7" s="31"/>
      <c r="AK7" s="31"/>
      <c r="AL7" s="31"/>
      <c r="AM7" s="31"/>
      <c r="AN7" s="31"/>
      <c r="AO7" s="31"/>
      <c r="AP7" s="31"/>
      <c r="AQ7" s="31"/>
      <c r="AR7" s="31"/>
      <c r="AS7" s="31"/>
      <c r="AT7" s="100"/>
      <c r="AU7" s="100"/>
      <c r="AV7" s="100"/>
      <c r="AW7" s="100"/>
      <c r="AX7" s="100"/>
      <c r="AY7" s="100"/>
      <c r="AZ7" s="100"/>
      <c r="BA7" s="100"/>
      <c r="BB7" s="100"/>
      <c r="BC7" s="100"/>
      <c r="BD7" s="100"/>
      <c r="BE7" s="100"/>
      <c r="BF7" s="100"/>
      <c r="BG7" s="100"/>
      <c r="BH7" s="31"/>
      <c r="BI7" s="31"/>
      <c r="BJ7" s="100"/>
      <c r="BK7" s="100"/>
      <c r="BL7" s="100"/>
      <c r="BM7" s="100"/>
      <c r="BN7" s="100"/>
      <c r="BO7" s="100"/>
      <c r="BP7" s="100"/>
      <c r="BQ7" s="100"/>
      <c r="BR7" s="100"/>
      <c r="BS7" s="100"/>
      <c r="BT7" s="100"/>
      <c r="BU7" s="100"/>
      <c r="BV7" s="100"/>
      <c r="BW7" s="100"/>
      <c r="BX7" s="100"/>
      <c r="BY7" s="100"/>
      <c r="BZ7" s="100"/>
      <c r="CA7" s="100"/>
      <c r="CB7" s="100"/>
      <c r="CC7" s="100"/>
      <c r="CD7" s="100"/>
      <c r="CE7" s="100"/>
      <c r="CF7" s="100"/>
      <c r="CG7" s="100"/>
      <c r="CH7" s="100"/>
      <c r="CI7" s="100"/>
      <c r="CJ7" s="100"/>
      <c r="CK7" s="100"/>
      <c r="CL7" s="100"/>
      <c r="CM7" s="100"/>
      <c r="CN7" s="100"/>
      <c r="CO7" s="100"/>
      <c r="CP7" s="100"/>
      <c r="CQ7" s="100"/>
      <c r="CR7" s="100"/>
      <c r="CS7" s="100"/>
      <c r="CT7" s="100"/>
    </row>
    <row r="8" spans="1:98" s="79" customFormat="1" ht="38.25" customHeight="1" x14ac:dyDescent="0.3">
      <c r="A8" s="80"/>
      <c r="B8" s="2626" t="s">
        <v>0</v>
      </c>
      <c r="C8" s="2627"/>
      <c r="D8" s="2643" t="s">
        <v>1888</v>
      </c>
      <c r="E8" s="709"/>
      <c r="F8" s="2632" t="s">
        <v>173</v>
      </c>
      <c r="G8" s="709"/>
      <c r="H8" s="2641" t="s">
        <v>147</v>
      </c>
      <c r="I8" s="2642"/>
      <c r="J8" s="709"/>
      <c r="K8" s="217" t="s">
        <v>347</v>
      </c>
      <c r="L8" s="217" t="s">
        <v>347</v>
      </c>
      <c r="M8" s="217" t="s">
        <v>347</v>
      </c>
      <c r="N8" s="217" t="s">
        <v>347</v>
      </c>
      <c r="O8" s="217" t="s">
        <v>347</v>
      </c>
      <c r="P8" s="217" t="s">
        <v>347</v>
      </c>
      <c r="Q8" s="217" t="s">
        <v>347</v>
      </c>
      <c r="R8" s="217" t="s">
        <v>347</v>
      </c>
      <c r="S8" s="217" t="s">
        <v>347</v>
      </c>
      <c r="T8" s="709"/>
      <c r="U8" s="260" t="s">
        <v>348</v>
      </c>
      <c r="V8" s="260" t="s">
        <v>348</v>
      </c>
      <c r="W8" s="260" t="s">
        <v>348</v>
      </c>
      <c r="X8" s="260" t="s">
        <v>348</v>
      </c>
      <c r="Y8" s="260" t="s">
        <v>348</v>
      </c>
      <c r="Z8" s="260" t="s">
        <v>348</v>
      </c>
      <c r="AA8" s="260" t="s">
        <v>348</v>
      </c>
      <c r="AB8" s="260" t="s">
        <v>348</v>
      </c>
      <c r="AC8" s="260" t="s">
        <v>348</v>
      </c>
      <c r="AD8" s="260" t="s">
        <v>348</v>
      </c>
      <c r="AE8" s="260" t="s">
        <v>348</v>
      </c>
      <c r="AF8" s="260" t="s">
        <v>348</v>
      </c>
      <c r="AG8" s="260" t="s">
        <v>348</v>
      </c>
      <c r="AH8" s="260" t="s">
        <v>348</v>
      </c>
      <c r="AI8" s="260" t="s">
        <v>348</v>
      </c>
      <c r="AJ8" s="260" t="s">
        <v>348</v>
      </c>
      <c r="AK8" s="260" t="s">
        <v>348</v>
      </c>
      <c r="AL8" s="260" t="s">
        <v>348</v>
      </c>
      <c r="AM8" s="260" t="s">
        <v>348</v>
      </c>
      <c r="AN8" s="260" t="s">
        <v>348</v>
      </c>
      <c r="AO8" s="260" t="s">
        <v>348</v>
      </c>
      <c r="AP8" s="260" t="s">
        <v>348</v>
      </c>
      <c r="AQ8" s="260" t="s">
        <v>348</v>
      </c>
      <c r="AR8" s="260" t="s">
        <v>348</v>
      </c>
      <c r="AS8" s="260" t="s">
        <v>348</v>
      </c>
      <c r="AT8" s="81"/>
      <c r="AU8" s="81"/>
      <c r="AV8" s="81"/>
      <c r="AW8" s="81"/>
      <c r="AX8" s="81"/>
      <c r="AY8" s="81"/>
      <c r="AZ8" s="81"/>
      <c r="BA8" s="81"/>
      <c r="BB8" s="81"/>
      <c r="BC8" s="81"/>
      <c r="BD8" s="81"/>
      <c r="BE8" s="81"/>
      <c r="BF8" s="81"/>
      <c r="BG8" s="81"/>
      <c r="BH8" s="217" t="s">
        <v>347</v>
      </c>
      <c r="BI8" s="260" t="s">
        <v>348</v>
      </c>
      <c r="BJ8" s="81"/>
      <c r="BK8" s="81"/>
      <c r="BL8" s="81"/>
      <c r="BM8" s="81"/>
      <c r="BN8" s="81"/>
      <c r="BO8" s="81"/>
      <c r="BP8" s="81"/>
      <c r="BQ8" s="81"/>
      <c r="BR8" s="81"/>
      <c r="BS8" s="81"/>
      <c r="BT8" s="81"/>
      <c r="BU8" s="81"/>
      <c r="BV8" s="81"/>
      <c r="BW8" s="81"/>
      <c r="BX8" s="81"/>
      <c r="BY8" s="81"/>
      <c r="BZ8" s="81"/>
      <c r="CA8" s="81"/>
      <c r="CB8" s="81"/>
      <c r="CC8" s="81"/>
      <c r="CD8" s="81"/>
      <c r="CE8" s="81"/>
      <c r="CF8" s="81"/>
      <c r="CG8" s="81"/>
      <c r="CH8" s="81"/>
      <c r="CI8" s="81"/>
      <c r="CJ8" s="81"/>
      <c r="CK8" s="81"/>
      <c r="CL8" s="81"/>
      <c r="CM8" s="81"/>
      <c r="CN8" s="81"/>
      <c r="CO8" s="81"/>
      <c r="CP8" s="81"/>
      <c r="CQ8" s="81"/>
      <c r="CR8" s="81"/>
      <c r="CS8" s="81"/>
      <c r="CT8" s="81"/>
    </row>
    <row r="9" spans="1:98" s="79" customFormat="1" ht="15" customHeight="1" x14ac:dyDescent="0.3">
      <c r="A9" s="80"/>
      <c r="B9" s="2628"/>
      <c r="C9" s="2629"/>
      <c r="D9" s="2644"/>
      <c r="E9" s="1317"/>
      <c r="F9" s="2633"/>
      <c r="G9" s="1317"/>
      <c r="H9" s="2635" t="s">
        <v>347</v>
      </c>
      <c r="I9" s="2638" t="s">
        <v>348</v>
      </c>
      <c r="J9" s="1317"/>
      <c r="K9" s="865" t="s">
        <v>1358</v>
      </c>
      <c r="L9" s="865" t="s">
        <v>1358</v>
      </c>
      <c r="M9" s="865" t="s">
        <v>1358</v>
      </c>
      <c r="N9" s="865" t="s">
        <v>1358</v>
      </c>
      <c r="O9" s="865" t="s">
        <v>1358</v>
      </c>
      <c r="P9" s="865" t="s">
        <v>1358</v>
      </c>
      <c r="Q9" s="865" t="s">
        <v>1358</v>
      </c>
      <c r="R9" s="865" t="s">
        <v>1358</v>
      </c>
      <c r="S9" s="865" t="s">
        <v>1358</v>
      </c>
      <c r="T9" s="866"/>
      <c r="U9" s="867" t="s">
        <v>1358</v>
      </c>
      <c r="V9" s="1877" t="s">
        <v>1358</v>
      </c>
      <c r="W9" s="1877" t="s">
        <v>1358</v>
      </c>
      <c r="X9" s="1877" t="s">
        <v>1358</v>
      </c>
      <c r="Y9" s="1877" t="s">
        <v>1358</v>
      </c>
      <c r="Z9" s="1877" t="s">
        <v>1358</v>
      </c>
      <c r="AA9" s="1877" t="s">
        <v>1358</v>
      </c>
      <c r="AB9" s="1877" t="s">
        <v>1358</v>
      </c>
      <c r="AC9" s="1877" t="s">
        <v>1358</v>
      </c>
      <c r="AD9" s="1877" t="s">
        <v>1358</v>
      </c>
      <c r="AE9" s="1877" t="s">
        <v>1358</v>
      </c>
      <c r="AF9" s="1877" t="s">
        <v>1358</v>
      </c>
      <c r="AG9" s="1877" t="s">
        <v>1358</v>
      </c>
      <c r="AH9" s="1877" t="s">
        <v>1358</v>
      </c>
      <c r="AI9" s="1877" t="s">
        <v>1358</v>
      </c>
      <c r="AJ9" s="1877" t="s">
        <v>1358</v>
      </c>
      <c r="AK9" s="1877" t="s">
        <v>1358</v>
      </c>
      <c r="AL9" s="1877" t="s">
        <v>1358</v>
      </c>
      <c r="AM9" s="1877" t="s">
        <v>1358</v>
      </c>
      <c r="AN9" s="1877" t="s">
        <v>1358</v>
      </c>
      <c r="AO9" s="1877" t="s">
        <v>1358</v>
      </c>
      <c r="AP9" s="1877" t="s">
        <v>1358</v>
      </c>
      <c r="AQ9" s="1877" t="s">
        <v>1358</v>
      </c>
      <c r="AR9" s="1877" t="s">
        <v>1358</v>
      </c>
      <c r="AS9" s="1877" t="s">
        <v>1358</v>
      </c>
      <c r="AT9" s="81"/>
      <c r="AU9" s="81"/>
      <c r="AV9" s="81"/>
      <c r="AW9" s="81"/>
      <c r="AX9" s="81"/>
      <c r="AY9" s="81"/>
      <c r="AZ9" s="81"/>
      <c r="BA9" s="81"/>
      <c r="BB9" s="81"/>
      <c r="BC9" s="81"/>
      <c r="BD9" s="81"/>
      <c r="BE9" s="81"/>
      <c r="BF9" s="81"/>
      <c r="BG9" s="81"/>
      <c r="BH9" s="865" t="s">
        <v>1358</v>
      </c>
      <c r="BI9" s="1877" t="s">
        <v>1358</v>
      </c>
      <c r="BJ9" s="81"/>
      <c r="BK9" s="81"/>
      <c r="BL9" s="81"/>
      <c r="BM9" s="81"/>
      <c r="BN9" s="81"/>
      <c r="BO9" s="81"/>
      <c r="BP9" s="81"/>
      <c r="BQ9" s="81"/>
      <c r="BR9" s="81"/>
      <c r="BS9" s="81"/>
      <c r="BT9" s="81"/>
      <c r="BU9" s="81"/>
      <c r="BV9" s="81"/>
      <c r="BW9" s="81"/>
      <c r="BX9" s="81"/>
      <c r="BY9" s="81"/>
      <c r="BZ9" s="81"/>
      <c r="CA9" s="81"/>
      <c r="CB9" s="81"/>
      <c r="CC9" s="81"/>
      <c r="CD9" s="81"/>
      <c r="CE9" s="81"/>
      <c r="CF9" s="81"/>
      <c r="CG9" s="81"/>
      <c r="CH9" s="81"/>
      <c r="CI9" s="81"/>
      <c r="CJ9" s="81"/>
      <c r="CK9" s="81"/>
      <c r="CL9" s="81"/>
      <c r="CM9" s="81"/>
      <c r="CN9" s="81"/>
      <c r="CO9" s="81"/>
      <c r="CP9" s="81"/>
      <c r="CQ9" s="81"/>
      <c r="CR9" s="81"/>
      <c r="CS9" s="81"/>
      <c r="CT9" s="81"/>
    </row>
    <row r="10" spans="1:98" s="79" customFormat="1" ht="15" customHeight="1" x14ac:dyDescent="0.3">
      <c r="A10" s="80"/>
      <c r="B10" s="2628"/>
      <c r="C10" s="2629"/>
      <c r="D10" s="2644"/>
      <c r="E10" s="1317"/>
      <c r="F10" s="2633"/>
      <c r="G10" s="1317"/>
      <c r="H10" s="2636"/>
      <c r="I10" s="2639"/>
      <c r="J10" s="866"/>
      <c r="K10" s="1259" t="s">
        <v>2237</v>
      </c>
      <c r="L10" s="1261" t="s">
        <v>2237</v>
      </c>
      <c r="M10" s="1261" t="s">
        <v>2237</v>
      </c>
      <c r="N10" s="1261" t="s">
        <v>2237</v>
      </c>
      <c r="O10" s="1261" t="s">
        <v>2237</v>
      </c>
      <c r="P10" s="1261" t="s">
        <v>2237</v>
      </c>
      <c r="Q10" s="1261" t="s">
        <v>2237</v>
      </c>
      <c r="R10" s="1261" t="s">
        <v>2237</v>
      </c>
      <c r="S10" s="1261" t="s">
        <v>2237</v>
      </c>
      <c r="T10" s="866"/>
      <c r="U10" s="1260" t="s">
        <v>2237</v>
      </c>
      <c r="V10" s="1878" t="s">
        <v>2237</v>
      </c>
      <c r="W10" s="1878" t="s">
        <v>2237</v>
      </c>
      <c r="X10" s="1878" t="s">
        <v>2237</v>
      </c>
      <c r="Y10" s="1878" t="s">
        <v>2237</v>
      </c>
      <c r="Z10" s="1878" t="s">
        <v>2237</v>
      </c>
      <c r="AA10" s="1878" t="s">
        <v>2237</v>
      </c>
      <c r="AB10" s="1878" t="s">
        <v>2237</v>
      </c>
      <c r="AC10" s="1878" t="s">
        <v>2237</v>
      </c>
      <c r="AD10" s="1878" t="s">
        <v>2237</v>
      </c>
      <c r="AE10" s="1878" t="s">
        <v>2237</v>
      </c>
      <c r="AF10" s="1878" t="s">
        <v>2237</v>
      </c>
      <c r="AG10" s="1878" t="s">
        <v>2237</v>
      </c>
      <c r="AH10" s="1878" t="s">
        <v>2237</v>
      </c>
      <c r="AI10" s="1878" t="s">
        <v>2237</v>
      </c>
      <c r="AJ10" s="1878" t="s">
        <v>2237</v>
      </c>
      <c r="AK10" s="1878" t="s">
        <v>2237</v>
      </c>
      <c r="AL10" s="1878" t="s">
        <v>2237</v>
      </c>
      <c r="AM10" s="1878" t="s">
        <v>2237</v>
      </c>
      <c r="AN10" s="1878" t="s">
        <v>2237</v>
      </c>
      <c r="AO10" s="1878" t="s">
        <v>2237</v>
      </c>
      <c r="AP10" s="1878" t="s">
        <v>2237</v>
      </c>
      <c r="AQ10" s="1878" t="s">
        <v>2237</v>
      </c>
      <c r="AR10" s="1878" t="s">
        <v>2237</v>
      </c>
      <c r="AS10" s="1878"/>
      <c r="AT10" s="81"/>
      <c r="AU10" s="81"/>
      <c r="AV10" s="81"/>
      <c r="AW10" s="81"/>
      <c r="AX10" s="1902"/>
      <c r="AY10" s="81"/>
      <c r="AZ10" s="81"/>
      <c r="BA10" s="81"/>
      <c r="BB10" s="81"/>
      <c r="BC10" s="81"/>
      <c r="BD10" s="81"/>
      <c r="BE10" s="81"/>
      <c r="BF10" s="81"/>
      <c r="BG10" s="81"/>
      <c r="BH10" s="1261"/>
      <c r="BI10" s="1878"/>
      <c r="BJ10" s="81"/>
      <c r="BK10" s="81"/>
      <c r="BL10" s="81"/>
      <c r="BM10" s="81"/>
      <c r="BN10" s="81"/>
      <c r="BO10" s="81"/>
      <c r="BP10" s="81"/>
      <c r="BQ10" s="81"/>
      <c r="BR10" s="81"/>
      <c r="BS10" s="81"/>
      <c r="BT10" s="81"/>
      <c r="BU10" s="81"/>
      <c r="BV10" s="81"/>
      <c r="BW10" s="81"/>
      <c r="BX10" s="81"/>
      <c r="BY10" s="81"/>
      <c r="BZ10" s="81"/>
      <c r="CA10" s="81"/>
      <c r="CB10" s="81"/>
      <c r="CC10" s="81"/>
      <c r="CD10" s="81"/>
      <c r="CE10" s="81"/>
      <c r="CF10" s="81"/>
      <c r="CG10" s="81"/>
      <c r="CH10" s="81"/>
      <c r="CI10" s="81"/>
      <c r="CJ10" s="81"/>
      <c r="CK10" s="81"/>
      <c r="CL10" s="81"/>
      <c r="CM10" s="81"/>
      <c r="CN10" s="81"/>
      <c r="CO10" s="81"/>
      <c r="CP10" s="81"/>
      <c r="CQ10" s="81"/>
      <c r="CR10" s="81"/>
      <c r="CS10" s="81"/>
      <c r="CT10" s="81"/>
    </row>
    <row r="11" spans="1:98" s="79" customFormat="1" ht="15" customHeight="1" x14ac:dyDescent="0.3">
      <c r="B11" s="2628"/>
      <c r="C11" s="2629"/>
      <c r="D11" s="2644"/>
      <c r="E11" s="710"/>
      <c r="F11" s="2633"/>
      <c r="G11" s="710"/>
      <c r="H11" s="2636"/>
      <c r="I11" s="2639"/>
      <c r="J11" s="710"/>
      <c r="K11" s="687" t="s">
        <v>431</v>
      </c>
      <c r="L11" s="256" t="s">
        <v>431</v>
      </c>
      <c r="M11" s="256" t="s">
        <v>431</v>
      </c>
      <c r="N11" s="256" t="s">
        <v>431</v>
      </c>
      <c r="O11" s="256" t="s">
        <v>431</v>
      </c>
      <c r="P11" s="256" t="s">
        <v>431</v>
      </c>
      <c r="Q11" s="256" t="s">
        <v>431</v>
      </c>
      <c r="R11" s="256" t="s">
        <v>431</v>
      </c>
      <c r="S11" s="256" t="s">
        <v>431</v>
      </c>
      <c r="T11" s="710"/>
      <c r="U11" s="256" t="s">
        <v>431</v>
      </c>
      <c r="V11" s="256" t="s">
        <v>431</v>
      </c>
      <c r="W11" s="256" t="s">
        <v>431</v>
      </c>
      <c r="X11" s="256" t="s">
        <v>431</v>
      </c>
      <c r="Y11" s="256" t="s">
        <v>431</v>
      </c>
      <c r="Z11" s="256" t="s">
        <v>431</v>
      </c>
      <c r="AA11" s="256" t="s">
        <v>431</v>
      </c>
      <c r="AB11" s="256" t="s">
        <v>431</v>
      </c>
      <c r="AC11" s="256" t="s">
        <v>431</v>
      </c>
      <c r="AD11" s="256" t="s">
        <v>431</v>
      </c>
      <c r="AE11" s="256" t="s">
        <v>431</v>
      </c>
      <c r="AF11" s="256" t="s">
        <v>431</v>
      </c>
      <c r="AG11" s="256" t="s">
        <v>431</v>
      </c>
      <c r="AH11" s="256" t="s">
        <v>431</v>
      </c>
      <c r="AI11" s="256" t="s">
        <v>431</v>
      </c>
      <c r="AJ11" s="256" t="s">
        <v>431</v>
      </c>
      <c r="AK11" s="256" t="s">
        <v>431</v>
      </c>
      <c r="AL11" s="256" t="s">
        <v>431</v>
      </c>
      <c r="AM11" s="256" t="s">
        <v>431</v>
      </c>
      <c r="AN11" s="256" t="s">
        <v>431</v>
      </c>
      <c r="AO11" s="256" t="s">
        <v>431</v>
      </c>
      <c r="AP11" s="256" t="s">
        <v>431</v>
      </c>
      <c r="AQ11" s="256" t="s">
        <v>431</v>
      </c>
      <c r="AR11" s="256" t="s">
        <v>431</v>
      </c>
      <c r="AS11" s="256" t="s">
        <v>431</v>
      </c>
      <c r="AT11" s="102"/>
      <c r="AU11" s="101"/>
      <c r="AV11" s="101"/>
      <c r="AW11" s="101"/>
      <c r="AX11" s="1901"/>
      <c r="AY11" s="101"/>
      <c r="AZ11" s="101"/>
      <c r="BA11" s="101"/>
      <c r="BB11" s="101"/>
      <c r="BC11" s="101"/>
      <c r="BD11" s="101"/>
      <c r="BE11" s="101"/>
      <c r="BF11" s="101"/>
      <c r="BG11" s="101"/>
      <c r="BH11" s="256" t="s">
        <v>431</v>
      </c>
      <c r="BI11" s="256" t="s">
        <v>431</v>
      </c>
      <c r="BJ11" s="102"/>
      <c r="BK11" s="101"/>
      <c r="BL11" s="101"/>
      <c r="BM11" s="101"/>
      <c r="BN11" s="101"/>
      <c r="BO11" s="101"/>
      <c r="BP11" s="101"/>
      <c r="BQ11" s="101"/>
      <c r="BR11" s="101"/>
      <c r="BS11" s="101"/>
      <c r="BT11" s="81"/>
      <c r="BU11" s="81"/>
      <c r="BV11" s="81"/>
      <c r="BW11" s="81"/>
      <c r="BX11" s="81"/>
      <c r="BY11" s="81"/>
      <c r="BZ11" s="81"/>
      <c r="CA11" s="81"/>
      <c r="CB11" s="81"/>
      <c r="CC11" s="81"/>
      <c r="CD11" s="81"/>
      <c r="CE11" s="81"/>
      <c r="CF11" s="81"/>
      <c r="CG11" s="81"/>
      <c r="CH11" s="81"/>
      <c r="CI11" s="81"/>
      <c r="CJ11" s="81"/>
      <c r="CK11" s="81"/>
      <c r="CL11" s="81"/>
      <c r="CM11" s="81"/>
      <c r="CN11" s="81"/>
      <c r="CO11" s="81"/>
      <c r="CP11" s="81"/>
      <c r="CQ11" s="81"/>
      <c r="CR11" s="81"/>
      <c r="CS11" s="81"/>
      <c r="CT11" s="81"/>
    </row>
    <row r="12" spans="1:98" s="79" customFormat="1" ht="15" customHeight="1" x14ac:dyDescent="0.3">
      <c r="B12" s="2628"/>
      <c r="C12" s="2629"/>
      <c r="D12" s="2644"/>
      <c r="E12" s="710"/>
      <c r="F12" s="2633"/>
      <c r="G12" s="710"/>
      <c r="H12" s="2636"/>
      <c r="I12" s="2639"/>
      <c r="J12" s="710"/>
      <c r="K12" s="688" t="s">
        <v>143</v>
      </c>
      <c r="L12" s="258" t="s">
        <v>143</v>
      </c>
      <c r="M12" s="258" t="s">
        <v>143</v>
      </c>
      <c r="N12" s="258" t="s">
        <v>143</v>
      </c>
      <c r="O12" s="258" t="s">
        <v>143</v>
      </c>
      <c r="P12" s="258" t="s">
        <v>142</v>
      </c>
      <c r="Q12" s="258" t="s">
        <v>139</v>
      </c>
      <c r="R12" s="258" t="s">
        <v>139</v>
      </c>
      <c r="S12" s="258" t="s">
        <v>139</v>
      </c>
      <c r="T12" s="710"/>
      <c r="U12" s="258" t="s">
        <v>2257</v>
      </c>
      <c r="V12" s="258" t="s">
        <v>2257</v>
      </c>
      <c r="W12" s="258" t="s">
        <v>2257</v>
      </c>
      <c r="X12" s="258" t="s">
        <v>2257</v>
      </c>
      <c r="Y12" s="258" t="s">
        <v>2257</v>
      </c>
      <c r="Z12" s="258" t="s">
        <v>2257</v>
      </c>
      <c r="AA12" s="258" t="s">
        <v>2257</v>
      </c>
      <c r="AB12" s="258" t="s">
        <v>2257</v>
      </c>
      <c r="AC12" s="258" t="s">
        <v>2257</v>
      </c>
      <c r="AD12" s="258" t="s">
        <v>2257</v>
      </c>
      <c r="AE12" s="258" t="s">
        <v>2257</v>
      </c>
      <c r="AF12" s="258" t="s">
        <v>2257</v>
      </c>
      <c r="AG12" s="258" t="s">
        <v>2257</v>
      </c>
      <c r="AH12" s="258" t="s">
        <v>2257</v>
      </c>
      <c r="AI12" s="258" t="s">
        <v>2257</v>
      </c>
      <c r="AJ12" s="258" t="s">
        <v>2257</v>
      </c>
      <c r="AK12" s="258" t="s">
        <v>2257</v>
      </c>
      <c r="AL12" s="258" t="s">
        <v>2257</v>
      </c>
      <c r="AM12" s="258" t="s">
        <v>2257</v>
      </c>
      <c r="AN12" s="258" t="s">
        <v>2257</v>
      </c>
      <c r="AO12" s="258" t="s">
        <v>2257</v>
      </c>
      <c r="AP12" s="258" t="s">
        <v>2257</v>
      </c>
      <c r="AQ12" s="258" t="s">
        <v>2257</v>
      </c>
      <c r="AR12" s="258" t="s">
        <v>2258</v>
      </c>
      <c r="AS12" s="258"/>
      <c r="AT12" s="102"/>
      <c r="AU12" s="101"/>
      <c r="AV12" s="101"/>
      <c r="AW12" s="1900"/>
      <c r="AX12" s="1902"/>
      <c r="AY12" s="102"/>
      <c r="AZ12" s="101"/>
      <c r="BA12" s="101"/>
      <c r="BB12" s="101"/>
      <c r="BC12" s="101"/>
      <c r="BD12" s="101"/>
      <c r="BE12" s="101"/>
      <c r="BF12" s="101"/>
      <c r="BG12" s="101"/>
      <c r="BH12" s="258"/>
      <c r="BI12" s="258"/>
      <c r="BJ12" s="102"/>
      <c r="BK12" s="101"/>
      <c r="BL12" s="101"/>
      <c r="BM12" s="101"/>
      <c r="BN12" s="101"/>
      <c r="BO12" s="101"/>
      <c r="BP12" s="101"/>
      <c r="BQ12" s="101"/>
      <c r="BR12" s="101"/>
      <c r="BS12" s="101"/>
      <c r="BT12" s="81"/>
      <c r="BU12" s="81"/>
      <c r="BV12" s="81"/>
      <c r="BW12" s="81"/>
      <c r="BX12" s="81"/>
      <c r="BY12" s="81"/>
      <c r="BZ12" s="81"/>
      <c r="CA12" s="81"/>
      <c r="CB12" s="81"/>
      <c r="CC12" s="81"/>
      <c r="CD12" s="81"/>
      <c r="CE12" s="81"/>
      <c r="CF12" s="81"/>
      <c r="CG12" s="81"/>
      <c r="CH12" s="81"/>
      <c r="CI12" s="81"/>
      <c r="CJ12" s="81"/>
      <c r="CK12" s="81"/>
      <c r="CL12" s="81"/>
      <c r="CM12" s="81"/>
      <c r="CN12" s="81"/>
      <c r="CO12" s="81"/>
      <c r="CP12" s="81"/>
      <c r="CQ12" s="81"/>
      <c r="CR12" s="81"/>
      <c r="CS12" s="81"/>
      <c r="CT12" s="81"/>
    </row>
    <row r="13" spans="1:98" s="79" customFormat="1" ht="15" customHeight="1" x14ac:dyDescent="0.3">
      <c r="B13" s="2628"/>
      <c r="C13" s="2629"/>
      <c r="D13" s="2644"/>
      <c r="E13" s="710"/>
      <c r="F13" s="2633"/>
      <c r="G13" s="710"/>
      <c r="H13" s="2636"/>
      <c r="I13" s="2639"/>
      <c r="J13" s="710"/>
      <c r="K13" s="687" t="s">
        <v>430</v>
      </c>
      <c r="L13" s="256" t="s">
        <v>430</v>
      </c>
      <c r="M13" s="256" t="s">
        <v>430</v>
      </c>
      <c r="N13" s="256" t="s">
        <v>430</v>
      </c>
      <c r="O13" s="256" t="s">
        <v>430</v>
      </c>
      <c r="P13" s="256" t="s">
        <v>430</v>
      </c>
      <c r="Q13" s="256" t="s">
        <v>430</v>
      </c>
      <c r="R13" s="256" t="s">
        <v>430</v>
      </c>
      <c r="S13" s="256" t="s">
        <v>430</v>
      </c>
      <c r="T13" s="710"/>
      <c r="U13" s="256" t="s">
        <v>430</v>
      </c>
      <c r="V13" s="256" t="s">
        <v>430</v>
      </c>
      <c r="W13" s="256" t="s">
        <v>430</v>
      </c>
      <c r="X13" s="256" t="s">
        <v>430</v>
      </c>
      <c r="Y13" s="256" t="s">
        <v>430</v>
      </c>
      <c r="Z13" s="256" t="s">
        <v>430</v>
      </c>
      <c r="AA13" s="256" t="s">
        <v>430</v>
      </c>
      <c r="AB13" s="256" t="s">
        <v>430</v>
      </c>
      <c r="AC13" s="256" t="s">
        <v>430</v>
      </c>
      <c r="AD13" s="256" t="s">
        <v>430</v>
      </c>
      <c r="AE13" s="256" t="s">
        <v>430</v>
      </c>
      <c r="AF13" s="256" t="s">
        <v>430</v>
      </c>
      <c r="AG13" s="256" t="s">
        <v>430</v>
      </c>
      <c r="AH13" s="256" t="s">
        <v>430</v>
      </c>
      <c r="AI13" s="256" t="s">
        <v>430</v>
      </c>
      <c r="AJ13" s="256" t="s">
        <v>430</v>
      </c>
      <c r="AK13" s="256" t="s">
        <v>430</v>
      </c>
      <c r="AL13" s="256" t="s">
        <v>430</v>
      </c>
      <c r="AM13" s="256" t="s">
        <v>430</v>
      </c>
      <c r="AN13" s="256" t="s">
        <v>430</v>
      </c>
      <c r="AO13" s="256" t="s">
        <v>430</v>
      </c>
      <c r="AP13" s="256" t="s">
        <v>430</v>
      </c>
      <c r="AQ13" s="256" t="s">
        <v>430</v>
      </c>
      <c r="AR13" s="256" t="s">
        <v>430</v>
      </c>
      <c r="AS13" s="256" t="s">
        <v>430</v>
      </c>
      <c r="AT13" s="102"/>
      <c r="AU13" s="101"/>
      <c r="AV13" s="101"/>
      <c r="AW13" s="101"/>
      <c r="AX13" s="1901"/>
      <c r="AY13" s="101"/>
      <c r="AZ13" s="101"/>
      <c r="BA13" s="101"/>
      <c r="BB13" s="101"/>
      <c r="BC13" s="101"/>
      <c r="BD13" s="101"/>
      <c r="BE13" s="101"/>
      <c r="BF13" s="101"/>
      <c r="BG13" s="101"/>
      <c r="BH13" s="256" t="s">
        <v>430</v>
      </c>
      <c r="BI13" s="256" t="s">
        <v>430</v>
      </c>
      <c r="BJ13" s="102"/>
      <c r="BK13" s="101"/>
      <c r="BL13" s="101"/>
      <c r="BM13" s="101"/>
      <c r="BN13" s="101"/>
      <c r="BO13" s="101"/>
      <c r="BP13" s="101"/>
      <c r="BQ13" s="101"/>
      <c r="BR13" s="101"/>
      <c r="BS13" s="101"/>
      <c r="BT13" s="81"/>
      <c r="BU13" s="81"/>
      <c r="BV13" s="81"/>
      <c r="BW13" s="81"/>
      <c r="BX13" s="81"/>
      <c r="BY13" s="81"/>
      <c r="BZ13" s="81"/>
      <c r="CA13" s="81"/>
      <c r="CB13" s="81"/>
      <c r="CC13" s="81"/>
      <c r="CD13" s="81"/>
      <c r="CE13" s="81"/>
      <c r="CF13" s="81"/>
      <c r="CG13" s="81"/>
      <c r="CH13" s="81"/>
      <c r="CI13" s="81"/>
      <c r="CJ13" s="81"/>
      <c r="CK13" s="81"/>
      <c r="CL13" s="81"/>
      <c r="CM13" s="81"/>
      <c r="CN13" s="81"/>
      <c r="CO13" s="81"/>
      <c r="CP13" s="81"/>
      <c r="CQ13" s="81"/>
      <c r="CR13" s="81"/>
      <c r="CS13" s="81"/>
      <c r="CT13" s="81"/>
    </row>
    <row r="14" spans="1:98" s="79" customFormat="1" ht="15" customHeight="1" x14ac:dyDescent="0.3">
      <c r="B14" s="2628"/>
      <c r="C14" s="2629"/>
      <c r="D14" s="2644"/>
      <c r="E14" s="42"/>
      <c r="F14" s="2633"/>
      <c r="G14" s="42"/>
      <c r="H14" s="2636"/>
      <c r="I14" s="2639"/>
      <c r="J14" s="42"/>
      <c r="K14" s="689" t="s">
        <v>2264</v>
      </c>
      <c r="L14" s="257" t="s">
        <v>2265</v>
      </c>
      <c r="M14" s="257" t="s">
        <v>2266</v>
      </c>
      <c r="N14" s="257" t="s">
        <v>2267</v>
      </c>
      <c r="O14" s="257" t="s">
        <v>2268</v>
      </c>
      <c r="P14" s="257" t="s">
        <v>2269</v>
      </c>
      <c r="Q14" s="257" t="s">
        <v>2270</v>
      </c>
      <c r="R14" s="257" t="s">
        <v>2270</v>
      </c>
      <c r="S14" s="257" t="s">
        <v>2270</v>
      </c>
      <c r="T14" s="42"/>
      <c r="U14" s="257" t="s">
        <v>2277</v>
      </c>
      <c r="V14" s="257" t="s">
        <v>2278</v>
      </c>
      <c r="W14" s="257" t="s">
        <v>2279</v>
      </c>
      <c r="X14" s="257" t="s">
        <v>2280</v>
      </c>
      <c r="Y14" s="257" t="s">
        <v>2281</v>
      </c>
      <c r="Z14" s="257" t="s">
        <v>2282</v>
      </c>
      <c r="AA14" s="257" t="s">
        <v>2283</v>
      </c>
      <c r="AB14" s="257" t="s">
        <v>2284</v>
      </c>
      <c r="AC14" s="257" t="s">
        <v>2285</v>
      </c>
      <c r="AD14" s="257" t="s">
        <v>2286</v>
      </c>
      <c r="AE14" s="257" t="s">
        <v>2287</v>
      </c>
      <c r="AF14" s="257" t="s">
        <v>2288</v>
      </c>
      <c r="AG14" s="257" t="s">
        <v>2289</v>
      </c>
      <c r="AH14" s="257" t="s">
        <v>2290</v>
      </c>
      <c r="AI14" s="257" t="s">
        <v>2291</v>
      </c>
      <c r="AJ14" s="257" t="s">
        <v>2292</v>
      </c>
      <c r="AK14" s="257" t="s">
        <v>2293</v>
      </c>
      <c r="AL14" s="257" t="s">
        <v>2294</v>
      </c>
      <c r="AM14" s="257" t="s">
        <v>2295</v>
      </c>
      <c r="AN14" s="257" t="s">
        <v>2296</v>
      </c>
      <c r="AO14" s="257" t="s">
        <v>2297</v>
      </c>
      <c r="AP14" s="257" t="s">
        <v>2298</v>
      </c>
      <c r="AQ14" s="257" t="s">
        <v>2299</v>
      </c>
      <c r="AR14" s="257" t="s">
        <v>2300</v>
      </c>
      <c r="AS14" s="257"/>
      <c r="AT14" s="102"/>
      <c r="AU14" s="101"/>
      <c r="AV14" s="101"/>
      <c r="AW14" s="1900"/>
      <c r="AX14" s="1902"/>
      <c r="AY14" s="102"/>
      <c r="AZ14" s="101"/>
      <c r="BA14" s="101"/>
      <c r="BB14" s="101"/>
      <c r="BC14" s="101"/>
      <c r="BD14" s="101"/>
      <c r="BE14" s="101"/>
      <c r="BF14" s="101"/>
      <c r="BG14" s="101"/>
      <c r="BH14" s="257"/>
      <c r="BI14" s="257"/>
      <c r="BJ14" s="102"/>
      <c r="BK14" s="101"/>
      <c r="BL14" s="101"/>
      <c r="BM14" s="101"/>
      <c r="BN14" s="101"/>
      <c r="BO14" s="101"/>
      <c r="BP14" s="101"/>
      <c r="BQ14" s="101"/>
      <c r="BR14" s="101"/>
      <c r="BS14" s="101"/>
      <c r="BT14" s="81"/>
      <c r="BU14" s="81"/>
      <c r="BV14" s="81"/>
      <c r="BW14" s="81"/>
      <c r="BX14" s="81"/>
      <c r="BY14" s="81"/>
      <c r="BZ14" s="81"/>
      <c r="CA14" s="81"/>
      <c r="CB14" s="81"/>
      <c r="CC14" s="81"/>
      <c r="CD14" s="81"/>
      <c r="CE14" s="81"/>
      <c r="CF14" s="81"/>
      <c r="CG14" s="81"/>
      <c r="CH14" s="81"/>
      <c r="CI14" s="81"/>
      <c r="CJ14" s="81"/>
      <c r="CK14" s="81"/>
      <c r="CL14" s="81"/>
      <c r="CM14" s="81"/>
      <c r="CN14" s="81"/>
      <c r="CO14" s="81"/>
      <c r="CP14" s="81"/>
      <c r="CQ14" s="81"/>
      <c r="CR14" s="81"/>
      <c r="CS14" s="81"/>
      <c r="CT14" s="81"/>
    </row>
    <row r="15" spans="1:98" s="79" customFormat="1" ht="15" customHeight="1" x14ac:dyDescent="0.3">
      <c r="B15" s="2628"/>
      <c r="C15" s="2629"/>
      <c r="D15" s="2644"/>
      <c r="E15" s="42"/>
      <c r="F15" s="2633"/>
      <c r="G15" s="42"/>
      <c r="H15" s="2636"/>
      <c r="I15" s="2639"/>
      <c r="J15" s="42"/>
      <c r="K15" s="690" t="s">
        <v>429</v>
      </c>
      <c r="L15" s="259" t="s">
        <v>429</v>
      </c>
      <c r="M15" s="259" t="s">
        <v>429</v>
      </c>
      <c r="N15" s="259" t="s">
        <v>429</v>
      </c>
      <c r="O15" s="259" t="s">
        <v>429</v>
      </c>
      <c r="P15" s="259" t="s">
        <v>429</v>
      </c>
      <c r="Q15" s="259" t="s">
        <v>429</v>
      </c>
      <c r="R15" s="259" t="s">
        <v>429</v>
      </c>
      <c r="S15" s="259" t="s">
        <v>429</v>
      </c>
      <c r="T15" s="42"/>
      <c r="U15" s="259" t="s">
        <v>429</v>
      </c>
      <c r="V15" s="259" t="s">
        <v>429</v>
      </c>
      <c r="W15" s="259" t="s">
        <v>429</v>
      </c>
      <c r="X15" s="259" t="s">
        <v>429</v>
      </c>
      <c r="Y15" s="259" t="s">
        <v>429</v>
      </c>
      <c r="Z15" s="259" t="s">
        <v>429</v>
      </c>
      <c r="AA15" s="259" t="s">
        <v>429</v>
      </c>
      <c r="AB15" s="259" t="s">
        <v>429</v>
      </c>
      <c r="AC15" s="259" t="s">
        <v>429</v>
      </c>
      <c r="AD15" s="259" t="s">
        <v>429</v>
      </c>
      <c r="AE15" s="259" t="s">
        <v>429</v>
      </c>
      <c r="AF15" s="259" t="s">
        <v>429</v>
      </c>
      <c r="AG15" s="259" t="s">
        <v>429</v>
      </c>
      <c r="AH15" s="259" t="s">
        <v>429</v>
      </c>
      <c r="AI15" s="259" t="s">
        <v>429</v>
      </c>
      <c r="AJ15" s="259" t="s">
        <v>429</v>
      </c>
      <c r="AK15" s="259" t="s">
        <v>429</v>
      </c>
      <c r="AL15" s="259" t="s">
        <v>429</v>
      </c>
      <c r="AM15" s="259" t="s">
        <v>429</v>
      </c>
      <c r="AN15" s="259" t="s">
        <v>429</v>
      </c>
      <c r="AO15" s="259" t="s">
        <v>429</v>
      </c>
      <c r="AP15" s="259" t="s">
        <v>429</v>
      </c>
      <c r="AQ15" s="259" t="s">
        <v>429</v>
      </c>
      <c r="AR15" s="259" t="s">
        <v>429</v>
      </c>
      <c r="AS15" s="259" t="s">
        <v>429</v>
      </c>
      <c r="AT15" s="102"/>
      <c r="AU15" s="101"/>
      <c r="AV15" s="101"/>
      <c r="AW15" s="101"/>
      <c r="AX15" s="1901"/>
      <c r="AY15" s="101"/>
      <c r="AZ15" s="101"/>
      <c r="BA15" s="101"/>
      <c r="BB15" s="101"/>
      <c r="BC15" s="101"/>
      <c r="BD15" s="101"/>
      <c r="BE15" s="101"/>
      <c r="BF15" s="101"/>
      <c r="BG15" s="101"/>
      <c r="BH15" s="259" t="s">
        <v>429</v>
      </c>
      <c r="BI15" s="259" t="s">
        <v>429</v>
      </c>
      <c r="BJ15" s="102"/>
      <c r="BK15" s="101"/>
      <c r="BL15" s="101"/>
      <c r="BM15" s="101"/>
      <c r="BN15" s="101"/>
      <c r="BO15" s="101"/>
      <c r="BP15" s="101"/>
      <c r="BQ15" s="101"/>
      <c r="BR15" s="101"/>
      <c r="BS15" s="101"/>
      <c r="BT15" s="81"/>
      <c r="BU15" s="81"/>
      <c r="BV15" s="81"/>
      <c r="BW15" s="81"/>
      <c r="BX15" s="81"/>
      <c r="BY15" s="81"/>
      <c r="BZ15" s="81"/>
      <c r="CA15" s="81"/>
      <c r="CB15" s="81"/>
      <c r="CC15" s="81"/>
      <c r="CD15" s="81"/>
      <c r="CE15" s="81"/>
      <c r="CF15" s="81"/>
      <c r="CG15" s="81"/>
      <c r="CH15" s="81"/>
      <c r="CI15" s="81"/>
      <c r="CJ15" s="81"/>
      <c r="CK15" s="81"/>
      <c r="CL15" s="81"/>
      <c r="CM15" s="81"/>
      <c r="CN15" s="81"/>
      <c r="CO15" s="81"/>
      <c r="CP15" s="81"/>
      <c r="CQ15" s="81"/>
      <c r="CR15" s="81"/>
      <c r="CS15" s="81"/>
      <c r="CT15" s="81"/>
    </row>
    <row r="16" spans="1:98" s="79" customFormat="1" ht="15" customHeight="1" x14ac:dyDescent="0.3">
      <c r="B16" s="2630"/>
      <c r="C16" s="2631"/>
      <c r="D16" s="2645"/>
      <c r="E16" s="42"/>
      <c r="F16" s="2634"/>
      <c r="G16" s="42"/>
      <c r="H16" s="2637"/>
      <c r="I16" s="2640"/>
      <c r="J16" s="42"/>
      <c r="K16" s="689">
        <v>1</v>
      </c>
      <c r="L16" s="257">
        <v>1</v>
      </c>
      <c r="M16" s="257">
        <v>1</v>
      </c>
      <c r="N16" s="257">
        <v>1</v>
      </c>
      <c r="O16" s="257">
        <v>1</v>
      </c>
      <c r="P16" s="257">
        <v>1</v>
      </c>
      <c r="Q16" s="257">
        <v>36</v>
      </c>
      <c r="R16" s="257">
        <v>5</v>
      </c>
      <c r="S16" s="257">
        <v>1</v>
      </c>
      <c r="T16" s="42"/>
      <c r="U16" s="257">
        <v>1</v>
      </c>
      <c r="V16" s="257">
        <v>1</v>
      </c>
      <c r="W16" s="257">
        <v>1</v>
      </c>
      <c r="X16" s="257">
        <v>1</v>
      </c>
      <c r="Y16" s="257">
        <v>1</v>
      </c>
      <c r="Z16" s="257">
        <v>1</v>
      </c>
      <c r="AA16" s="257">
        <v>1</v>
      </c>
      <c r="AB16" s="257">
        <v>1</v>
      </c>
      <c r="AC16" s="257">
        <v>1</v>
      </c>
      <c r="AD16" s="257">
        <v>1</v>
      </c>
      <c r="AE16" s="257">
        <v>1</v>
      </c>
      <c r="AF16" s="257">
        <v>1</v>
      </c>
      <c r="AG16" s="257">
        <v>1</v>
      </c>
      <c r="AH16" s="257">
        <v>1</v>
      </c>
      <c r="AI16" s="257">
        <v>1</v>
      </c>
      <c r="AJ16" s="257">
        <v>1</v>
      </c>
      <c r="AK16" s="257">
        <v>1</v>
      </c>
      <c r="AL16" s="257">
        <v>1</v>
      </c>
      <c r="AM16" s="257">
        <v>1</v>
      </c>
      <c r="AN16" s="257">
        <v>1</v>
      </c>
      <c r="AO16" s="257">
        <v>1</v>
      </c>
      <c r="AP16" s="257">
        <v>1</v>
      </c>
      <c r="AQ16" s="257">
        <v>1</v>
      </c>
      <c r="AR16" s="257">
        <v>70</v>
      </c>
      <c r="AS16" s="257"/>
      <c r="AT16" s="102"/>
      <c r="AU16" s="101"/>
      <c r="AV16" s="101"/>
      <c r="AW16" s="1900"/>
      <c r="AX16" s="1902"/>
      <c r="AY16" s="102"/>
      <c r="AZ16" s="101"/>
      <c r="BA16" s="101"/>
      <c r="BB16" s="101"/>
      <c r="BC16" s="101"/>
      <c r="BD16" s="101"/>
      <c r="BE16" s="101"/>
      <c r="BF16" s="101"/>
      <c r="BG16" s="101"/>
      <c r="BH16" s="257"/>
      <c r="BI16" s="257"/>
      <c r="BJ16" s="102"/>
      <c r="BK16" s="101"/>
      <c r="BL16" s="101"/>
      <c r="BM16" s="101"/>
      <c r="BN16" s="101"/>
      <c r="BO16" s="101"/>
      <c r="BP16" s="101"/>
      <c r="BQ16" s="101"/>
      <c r="BR16" s="101"/>
      <c r="BS16" s="101"/>
      <c r="BT16" s="81"/>
      <c r="BU16" s="81"/>
      <c r="BV16" s="81"/>
      <c r="BW16" s="81"/>
      <c r="BX16" s="81"/>
      <c r="BY16" s="81"/>
      <c r="BZ16" s="81"/>
      <c r="CA16" s="81"/>
      <c r="CB16" s="81"/>
      <c r="CC16" s="81"/>
      <c r="CD16" s="81"/>
      <c r="CE16" s="81"/>
      <c r="CF16" s="81"/>
      <c r="CG16" s="81"/>
      <c r="CH16" s="81"/>
      <c r="CI16" s="81"/>
      <c r="CJ16" s="81"/>
      <c r="CK16" s="81"/>
      <c r="CL16" s="81"/>
      <c r="CM16" s="81"/>
      <c r="CN16" s="81"/>
      <c r="CO16" s="81"/>
      <c r="CP16" s="81"/>
      <c r="CQ16" s="81"/>
      <c r="CR16" s="81"/>
      <c r="CS16" s="81"/>
      <c r="CT16" s="81"/>
    </row>
    <row r="17" spans="1:98" s="79" customFormat="1" ht="51" x14ac:dyDescent="0.3">
      <c r="B17" s="2646" t="s">
        <v>402</v>
      </c>
      <c r="C17" s="2647"/>
      <c r="D17" s="1903" t="s">
        <v>1889</v>
      </c>
      <c r="E17" s="1318"/>
      <c r="F17" s="672" t="s">
        <v>243</v>
      </c>
      <c r="G17" s="711"/>
      <c r="H17" s="224">
        <f>SUMIF($H$8:$LM$8, "Baseline", $H17:$LM17)</f>
        <v>3949.9700000000007</v>
      </c>
      <c r="I17" s="225">
        <f>SUMIF($H$8:$LM$8, "Proposed", $H17:$LM17)</f>
        <v>3292.7400000000002</v>
      </c>
      <c r="J17" s="711"/>
      <c r="K17" s="691">
        <v>845.71</v>
      </c>
      <c r="L17" s="226">
        <v>1028.78</v>
      </c>
      <c r="M17" s="226">
        <v>835.44</v>
      </c>
      <c r="N17" s="226">
        <v>571.94000000000005</v>
      </c>
      <c r="O17" s="226">
        <v>22.53</v>
      </c>
      <c r="P17" s="226">
        <v>224.38</v>
      </c>
      <c r="Q17" s="226">
        <v>256.47000000000003</v>
      </c>
      <c r="R17" s="226">
        <v>104.81</v>
      </c>
      <c r="S17" s="226">
        <v>59.91</v>
      </c>
      <c r="T17" s="711"/>
      <c r="U17" s="261">
        <v>45.1</v>
      </c>
      <c r="V17" s="261">
        <v>18.7</v>
      </c>
      <c r="W17" s="261">
        <v>52.15</v>
      </c>
      <c r="X17" s="261">
        <v>88</v>
      </c>
      <c r="Y17" s="261">
        <v>126</v>
      </c>
      <c r="Z17" s="261">
        <v>103</v>
      </c>
      <c r="AA17" s="261">
        <v>80.3</v>
      </c>
      <c r="AB17" s="261">
        <v>113.6</v>
      </c>
      <c r="AC17" s="261">
        <v>132.4</v>
      </c>
      <c r="AD17" s="261">
        <v>22.5</v>
      </c>
      <c r="AE17" s="261">
        <v>124</v>
      </c>
      <c r="AF17" s="261">
        <v>81.099999999999994</v>
      </c>
      <c r="AG17" s="261">
        <v>102.3</v>
      </c>
      <c r="AH17" s="261">
        <v>84.7</v>
      </c>
      <c r="AI17" s="261">
        <v>211.8</v>
      </c>
      <c r="AJ17" s="261">
        <v>334.6</v>
      </c>
      <c r="AK17" s="261">
        <v>88.23</v>
      </c>
      <c r="AL17" s="261">
        <v>390</v>
      </c>
      <c r="AM17" s="261">
        <v>241.28</v>
      </c>
      <c r="AN17" s="261">
        <v>399.74</v>
      </c>
      <c r="AO17" s="261">
        <v>56.3</v>
      </c>
      <c r="AP17" s="261">
        <v>40</v>
      </c>
      <c r="AQ17" s="261">
        <v>8</v>
      </c>
      <c r="AR17" s="261">
        <v>348.94</v>
      </c>
      <c r="AS17" s="261"/>
      <c r="AT17" s="102"/>
      <c r="AU17" s="101"/>
      <c r="AV17" s="101"/>
      <c r="AW17" s="1900"/>
      <c r="AX17" s="1902"/>
      <c r="AY17" s="102"/>
      <c r="AZ17" s="101"/>
      <c r="BA17" s="101"/>
      <c r="BB17" s="101"/>
      <c r="BC17" s="101"/>
      <c r="BD17" s="101"/>
      <c r="BE17" s="101"/>
      <c r="BF17" s="101"/>
      <c r="BG17" s="101"/>
      <c r="BH17" s="226"/>
      <c r="BI17" s="261"/>
      <c r="BJ17" s="102"/>
      <c r="BK17" s="101"/>
      <c r="BL17" s="101"/>
      <c r="BM17" s="101"/>
      <c r="BN17" s="101"/>
      <c r="BO17" s="101"/>
      <c r="BP17" s="101"/>
      <c r="BQ17" s="101"/>
      <c r="BR17" s="101"/>
      <c r="BS17" s="101"/>
      <c r="BT17" s="81"/>
      <c r="BU17" s="81"/>
      <c r="BV17" s="81"/>
      <c r="BW17" s="81"/>
      <c r="BX17" s="81"/>
      <c r="BY17" s="81"/>
      <c r="BZ17" s="81"/>
      <c r="CA17" s="81"/>
      <c r="CB17" s="81"/>
      <c r="CC17" s="81"/>
      <c r="CD17" s="81"/>
      <c r="CE17" s="81"/>
      <c r="CF17" s="81"/>
      <c r="CG17" s="81"/>
      <c r="CH17" s="81"/>
      <c r="CI17" s="81"/>
      <c r="CJ17" s="81"/>
      <c r="CK17" s="81"/>
      <c r="CL17" s="81"/>
      <c r="CM17" s="81"/>
      <c r="CN17" s="81"/>
      <c r="CO17" s="81"/>
      <c r="CP17" s="81"/>
      <c r="CQ17" s="81"/>
      <c r="CR17" s="81"/>
      <c r="CS17" s="81"/>
      <c r="CT17" s="81"/>
    </row>
    <row r="18" spans="1:98" s="79" customFormat="1" ht="102" x14ac:dyDescent="0.3">
      <c r="B18" s="2652" t="s">
        <v>345</v>
      </c>
      <c r="C18" s="72" t="s">
        <v>403</v>
      </c>
      <c r="D18" s="1903" t="s">
        <v>1890</v>
      </c>
      <c r="E18" s="1319"/>
      <c r="F18" s="672" t="str">
        <f>IF(SI_IP_Units="SI","kW","tons")</f>
        <v>kW</v>
      </c>
      <c r="G18" s="712"/>
      <c r="H18" s="227"/>
      <c r="I18" s="228"/>
      <c r="J18" s="712"/>
      <c r="K18" s="692" t="s">
        <v>1069</v>
      </c>
      <c r="L18" s="229" t="s">
        <v>1069</v>
      </c>
      <c r="M18" s="229" t="s">
        <v>1069</v>
      </c>
      <c r="N18" s="229" t="s">
        <v>1069</v>
      </c>
      <c r="O18" s="229" t="s">
        <v>1069</v>
      </c>
      <c r="P18" s="229" t="s">
        <v>1069</v>
      </c>
      <c r="Q18" s="229" t="s">
        <v>2271</v>
      </c>
      <c r="R18" s="229" t="s">
        <v>2272</v>
      </c>
      <c r="S18" s="229" t="s">
        <v>2273</v>
      </c>
      <c r="T18" s="712"/>
      <c r="U18" s="262" t="s">
        <v>337</v>
      </c>
      <c r="V18" s="262" t="s">
        <v>337</v>
      </c>
      <c r="W18" s="262" t="s">
        <v>337</v>
      </c>
      <c r="X18" s="262" t="s">
        <v>337</v>
      </c>
      <c r="Y18" s="262" t="s">
        <v>337</v>
      </c>
      <c r="Z18" s="262" t="s">
        <v>337</v>
      </c>
      <c r="AA18" s="262" t="s">
        <v>337</v>
      </c>
      <c r="AB18" s="262" t="s">
        <v>337</v>
      </c>
      <c r="AC18" s="262" t="s">
        <v>337</v>
      </c>
      <c r="AD18" s="262" t="s">
        <v>337</v>
      </c>
      <c r="AE18" s="262" t="s">
        <v>337</v>
      </c>
      <c r="AF18" s="262" t="s">
        <v>337</v>
      </c>
      <c r="AG18" s="262" t="s">
        <v>337</v>
      </c>
      <c r="AH18" s="262" t="s">
        <v>337</v>
      </c>
      <c r="AI18" s="262" t="s">
        <v>337</v>
      </c>
      <c r="AJ18" s="262" t="s">
        <v>337</v>
      </c>
      <c r="AK18" s="262" t="s">
        <v>337</v>
      </c>
      <c r="AL18" s="262" t="s">
        <v>337</v>
      </c>
      <c r="AM18" s="262" t="s">
        <v>337</v>
      </c>
      <c r="AN18" s="262" t="s">
        <v>337</v>
      </c>
      <c r="AO18" s="262" t="s">
        <v>337</v>
      </c>
      <c r="AP18" s="262" t="s">
        <v>337</v>
      </c>
      <c r="AQ18" s="262" t="s">
        <v>337</v>
      </c>
      <c r="AR18" s="262" t="s">
        <v>337</v>
      </c>
      <c r="AS18" s="262" t="s">
        <v>337</v>
      </c>
      <c r="AT18" s="102"/>
      <c r="AU18" s="101"/>
      <c r="AV18" s="101"/>
      <c r="AW18" s="1900"/>
      <c r="AX18" s="1902"/>
      <c r="AY18" s="102"/>
      <c r="AZ18" s="101"/>
      <c r="BA18" s="101"/>
      <c r="BB18" s="101"/>
      <c r="BC18" s="101"/>
      <c r="BD18" s="101"/>
      <c r="BE18" s="101"/>
      <c r="BF18" s="101"/>
      <c r="BG18" s="101"/>
      <c r="BH18" s="229"/>
      <c r="BI18" s="262" t="s">
        <v>337</v>
      </c>
      <c r="BJ18" s="102"/>
      <c r="BK18" s="101"/>
      <c r="BL18" s="101"/>
      <c r="BM18" s="101"/>
      <c r="BN18" s="101"/>
      <c r="BO18" s="101"/>
      <c r="BP18" s="101"/>
      <c r="BQ18" s="101"/>
      <c r="BR18" s="101"/>
      <c r="BS18" s="101"/>
      <c r="BT18" s="81"/>
      <c r="BU18" s="81"/>
      <c r="BV18" s="81"/>
      <c r="BW18" s="81"/>
      <c r="BX18" s="81"/>
      <c r="BY18" s="81"/>
      <c r="BZ18" s="81"/>
      <c r="CA18" s="81"/>
      <c r="CB18" s="81"/>
      <c r="CC18" s="81"/>
      <c r="CD18" s="81"/>
      <c r="CE18" s="81"/>
      <c r="CF18" s="81"/>
      <c r="CG18" s="81"/>
      <c r="CH18" s="81"/>
      <c r="CI18" s="81"/>
      <c r="CJ18" s="81"/>
      <c r="CK18" s="81"/>
      <c r="CL18" s="81"/>
      <c r="CM18" s="81"/>
      <c r="CN18" s="81"/>
      <c r="CO18" s="81"/>
      <c r="CP18" s="81"/>
      <c r="CQ18" s="81"/>
      <c r="CR18" s="81"/>
      <c r="CS18" s="81"/>
      <c r="CT18" s="81"/>
    </row>
    <row r="19" spans="1:98" s="79" customFormat="1" ht="173.4" x14ac:dyDescent="0.3">
      <c r="B19" s="2653"/>
      <c r="C19" s="70" t="s">
        <v>404</v>
      </c>
      <c r="D19" s="1903" t="s">
        <v>2091</v>
      </c>
      <c r="E19" s="710"/>
      <c r="F19" s="673" t="s">
        <v>2274</v>
      </c>
      <c r="G19" s="713"/>
      <c r="H19" s="231"/>
      <c r="I19" s="232"/>
      <c r="J19" s="713"/>
      <c r="K19" s="693" t="s">
        <v>1069</v>
      </c>
      <c r="L19" s="413" t="s">
        <v>1069</v>
      </c>
      <c r="M19" s="413" t="s">
        <v>1069</v>
      </c>
      <c r="N19" s="413" t="s">
        <v>1069</v>
      </c>
      <c r="O19" s="413" t="s">
        <v>1069</v>
      </c>
      <c r="P19" s="413" t="s">
        <v>1069</v>
      </c>
      <c r="Q19" s="413" t="s">
        <v>2275</v>
      </c>
      <c r="R19" s="413">
        <v>11</v>
      </c>
      <c r="S19" s="413">
        <v>10.6</v>
      </c>
      <c r="T19" s="713"/>
      <c r="U19" s="263" t="s">
        <v>1069</v>
      </c>
      <c r="V19" s="263" t="s">
        <v>1069</v>
      </c>
      <c r="W19" s="263" t="s">
        <v>1069</v>
      </c>
      <c r="X19" s="263" t="s">
        <v>1069</v>
      </c>
      <c r="Y19" s="263" t="s">
        <v>1069</v>
      </c>
      <c r="Z19" s="263" t="s">
        <v>1069</v>
      </c>
      <c r="AA19" s="263" t="s">
        <v>1069</v>
      </c>
      <c r="AB19" s="263" t="s">
        <v>1069</v>
      </c>
      <c r="AC19" s="263" t="s">
        <v>1069</v>
      </c>
      <c r="AD19" s="263" t="s">
        <v>1069</v>
      </c>
      <c r="AE19" s="263" t="s">
        <v>1069</v>
      </c>
      <c r="AF19" s="263" t="s">
        <v>1069</v>
      </c>
      <c r="AG19" s="263" t="s">
        <v>1069</v>
      </c>
      <c r="AH19" s="263" t="s">
        <v>1069</v>
      </c>
      <c r="AI19" s="263" t="s">
        <v>1069</v>
      </c>
      <c r="AJ19" s="263" t="s">
        <v>1069</v>
      </c>
      <c r="AK19" s="263" t="s">
        <v>1069</v>
      </c>
      <c r="AL19" s="263" t="s">
        <v>1069</v>
      </c>
      <c r="AM19" s="263" t="s">
        <v>1069</v>
      </c>
      <c r="AN19" s="263" t="s">
        <v>1069</v>
      </c>
      <c r="AO19" s="263" t="s">
        <v>1069</v>
      </c>
      <c r="AP19" s="263" t="s">
        <v>1069</v>
      </c>
      <c r="AQ19" s="263" t="s">
        <v>1069</v>
      </c>
      <c r="AR19" s="263" t="s">
        <v>1069</v>
      </c>
      <c r="AS19" s="263"/>
      <c r="AT19" s="102"/>
      <c r="AU19" s="101"/>
      <c r="AV19" s="101"/>
      <c r="AW19" s="1900"/>
      <c r="AX19" s="1902"/>
      <c r="AY19" s="102"/>
      <c r="AZ19" s="101"/>
      <c r="BA19" s="101"/>
      <c r="BB19" s="101"/>
      <c r="BC19" s="101"/>
      <c r="BD19" s="101"/>
      <c r="BE19" s="101"/>
      <c r="BF19" s="101"/>
      <c r="BG19" s="101"/>
      <c r="BH19" s="413"/>
      <c r="BI19" s="263"/>
      <c r="BJ19" s="102"/>
      <c r="BK19" s="101"/>
      <c r="BL19" s="101"/>
      <c r="BM19" s="101"/>
      <c r="BN19" s="101"/>
      <c r="BO19" s="101"/>
      <c r="BP19" s="101"/>
      <c r="BQ19" s="101"/>
      <c r="BR19" s="101"/>
      <c r="BS19" s="101"/>
      <c r="BT19" s="81"/>
      <c r="BU19" s="81"/>
      <c r="BV19" s="81"/>
      <c r="BW19" s="81"/>
      <c r="BX19" s="81"/>
      <c r="BY19" s="81"/>
      <c r="BZ19" s="81"/>
      <c r="CA19" s="81"/>
      <c r="CB19" s="81"/>
      <c r="CC19" s="81"/>
      <c r="CD19" s="81"/>
      <c r="CE19" s="81"/>
      <c r="CF19" s="81"/>
      <c r="CG19" s="81"/>
      <c r="CH19" s="81"/>
      <c r="CI19" s="81"/>
      <c r="CJ19" s="81"/>
      <c r="CK19" s="81"/>
      <c r="CL19" s="81"/>
      <c r="CM19" s="81"/>
      <c r="CN19" s="81"/>
      <c r="CO19" s="81"/>
      <c r="CP19" s="81"/>
      <c r="CQ19" s="81"/>
      <c r="CR19" s="81"/>
      <c r="CS19" s="81"/>
      <c r="CT19" s="81"/>
    </row>
    <row r="20" spans="1:98" s="79" customFormat="1" ht="40.799999999999997" x14ac:dyDescent="0.3">
      <c r="B20" s="2654"/>
      <c r="C20" s="71" t="s">
        <v>405</v>
      </c>
      <c r="D20" s="1903" t="s">
        <v>1891</v>
      </c>
      <c r="E20" s="710"/>
      <c r="F20" s="674" t="s">
        <v>2276</v>
      </c>
      <c r="G20" s="713"/>
      <c r="H20" s="233"/>
      <c r="I20" s="234"/>
      <c r="J20" s="713"/>
      <c r="K20" s="694" t="s">
        <v>1069</v>
      </c>
      <c r="L20" s="235" t="s">
        <v>1069</v>
      </c>
      <c r="M20" s="235" t="s">
        <v>1069</v>
      </c>
      <c r="N20" s="235" t="s">
        <v>1069</v>
      </c>
      <c r="O20" s="235" t="s">
        <v>1069</v>
      </c>
      <c r="P20" s="235" t="s">
        <v>1069</v>
      </c>
      <c r="Q20" s="235" t="s">
        <v>1069</v>
      </c>
      <c r="R20" s="235">
        <v>11.2</v>
      </c>
      <c r="S20" s="235">
        <v>10.7</v>
      </c>
      <c r="T20" s="713"/>
      <c r="U20" s="264" t="s">
        <v>1069</v>
      </c>
      <c r="V20" s="264" t="s">
        <v>1069</v>
      </c>
      <c r="W20" s="264" t="s">
        <v>1069</v>
      </c>
      <c r="X20" s="264" t="s">
        <v>1069</v>
      </c>
      <c r="Y20" s="264" t="s">
        <v>1069</v>
      </c>
      <c r="Z20" s="264" t="s">
        <v>1069</v>
      </c>
      <c r="AA20" s="264" t="s">
        <v>1069</v>
      </c>
      <c r="AB20" s="264" t="s">
        <v>1069</v>
      </c>
      <c r="AC20" s="264" t="s">
        <v>1069</v>
      </c>
      <c r="AD20" s="264" t="s">
        <v>1069</v>
      </c>
      <c r="AE20" s="264" t="s">
        <v>1069</v>
      </c>
      <c r="AF20" s="264" t="s">
        <v>1069</v>
      </c>
      <c r="AG20" s="264" t="s">
        <v>1069</v>
      </c>
      <c r="AH20" s="264" t="s">
        <v>1069</v>
      </c>
      <c r="AI20" s="264" t="s">
        <v>1069</v>
      </c>
      <c r="AJ20" s="264" t="s">
        <v>1069</v>
      </c>
      <c r="AK20" s="264" t="s">
        <v>1069</v>
      </c>
      <c r="AL20" s="264" t="s">
        <v>1069</v>
      </c>
      <c r="AM20" s="264" t="s">
        <v>1069</v>
      </c>
      <c r="AN20" s="264" t="s">
        <v>1069</v>
      </c>
      <c r="AO20" s="264" t="s">
        <v>1069</v>
      </c>
      <c r="AP20" s="264" t="s">
        <v>1069</v>
      </c>
      <c r="AQ20" s="264" t="s">
        <v>1069</v>
      </c>
      <c r="AR20" s="264" t="s">
        <v>1069</v>
      </c>
      <c r="AS20" s="264"/>
      <c r="AT20" s="102"/>
      <c r="AU20" s="101"/>
      <c r="AV20" s="101"/>
      <c r="AW20" s="1900"/>
      <c r="AX20" s="1902"/>
      <c r="AY20" s="102"/>
      <c r="AZ20" s="101"/>
      <c r="BA20" s="101"/>
      <c r="BB20" s="101"/>
      <c r="BC20" s="101"/>
      <c r="BD20" s="101"/>
      <c r="BE20" s="101"/>
      <c r="BF20" s="101"/>
      <c r="BG20" s="101"/>
      <c r="BH20" s="235"/>
      <c r="BI20" s="264"/>
      <c r="BJ20" s="102"/>
      <c r="BK20" s="101"/>
      <c r="BL20" s="101"/>
      <c r="BM20" s="101"/>
      <c r="BN20" s="101"/>
      <c r="BO20" s="101"/>
      <c r="BP20" s="101"/>
      <c r="BQ20" s="101"/>
      <c r="BR20" s="101"/>
      <c r="BS20" s="101"/>
      <c r="BT20" s="81"/>
      <c r="BU20" s="81"/>
      <c r="BV20" s="81"/>
      <c r="BW20" s="81"/>
      <c r="BX20" s="81"/>
      <c r="BY20" s="81"/>
      <c r="BZ20" s="81"/>
      <c r="CA20" s="81"/>
      <c r="CB20" s="81"/>
      <c r="CC20" s="81"/>
      <c r="CD20" s="81"/>
      <c r="CE20" s="81"/>
      <c r="CF20" s="81"/>
      <c r="CG20" s="81"/>
      <c r="CH20" s="81"/>
      <c r="CI20" s="81"/>
      <c r="CJ20" s="81"/>
      <c r="CK20" s="81"/>
      <c r="CL20" s="81"/>
      <c r="CM20" s="81"/>
      <c r="CN20" s="81"/>
      <c r="CO20" s="81"/>
      <c r="CP20" s="81"/>
      <c r="CQ20" s="81"/>
      <c r="CR20" s="81"/>
      <c r="CS20" s="81"/>
      <c r="CT20" s="81"/>
    </row>
    <row r="21" spans="1:98" s="79" customFormat="1" ht="51" x14ac:dyDescent="0.3">
      <c r="B21" s="2646" t="s">
        <v>406</v>
      </c>
      <c r="C21" s="2647"/>
      <c r="D21" s="1903" t="s">
        <v>1892</v>
      </c>
      <c r="E21" s="1318"/>
      <c r="F21" s="672" t="str">
        <f>IF(SI_IP_Units="SI","kW","kBtu/h")</f>
        <v>kW</v>
      </c>
      <c r="G21" s="711"/>
      <c r="H21" s="224">
        <f>SUMIF($H$8:$LM$8, "Baseline", $H21:$LM21)</f>
        <v>504.98</v>
      </c>
      <c r="I21" s="225">
        <f>SUMIF($H$8:$LM$8, "Proposed", $H21:$LM21)</f>
        <v>466.4</v>
      </c>
      <c r="J21" s="711"/>
      <c r="K21" s="691">
        <v>44.83</v>
      </c>
      <c r="L21" s="226">
        <v>22.23</v>
      </c>
      <c r="M21" s="226">
        <v>0</v>
      </c>
      <c r="N21" s="226">
        <v>13.81</v>
      </c>
      <c r="O21" s="226">
        <v>0.18</v>
      </c>
      <c r="P21" s="226">
        <v>2.74</v>
      </c>
      <c r="Q21" s="226">
        <v>256.47000000000003</v>
      </c>
      <c r="R21" s="226">
        <v>104.81</v>
      </c>
      <c r="S21" s="226">
        <v>59.91</v>
      </c>
      <c r="T21" s="711"/>
      <c r="U21" s="261">
        <v>11.55</v>
      </c>
      <c r="V21" s="261">
        <v>4.91</v>
      </c>
      <c r="W21" s="261">
        <v>3.27</v>
      </c>
      <c r="X21" s="261">
        <v>11.05</v>
      </c>
      <c r="Y21" s="261">
        <v>7.89</v>
      </c>
      <c r="Z21" s="261">
        <v>17.14</v>
      </c>
      <c r="AA21" s="261">
        <v>2.72</v>
      </c>
      <c r="AB21" s="261">
        <f>7.66*(6450/(6450+8539))</f>
        <v>3.2962172259657083</v>
      </c>
      <c r="AC21" s="261">
        <f>7.66*(8539/(6450+8539))</f>
        <v>4.3637827740342923</v>
      </c>
      <c r="AD21" s="261">
        <v>6.47</v>
      </c>
      <c r="AE21" s="261">
        <v>4.26</v>
      </c>
      <c r="AF21" s="261">
        <v>7.04</v>
      </c>
      <c r="AG21" s="261">
        <v>5.75</v>
      </c>
      <c r="AH21" s="261">
        <v>14.05</v>
      </c>
      <c r="AI21" s="261">
        <v>30</v>
      </c>
      <c r="AJ21" s="261">
        <v>13.38</v>
      </c>
      <c r="AK21" s="261">
        <v>24</v>
      </c>
      <c r="AL21" s="261">
        <v>31.72</v>
      </c>
      <c r="AM21" s="261">
        <v>45</v>
      </c>
      <c r="AN21" s="261">
        <v>60</v>
      </c>
      <c r="AO21" s="261">
        <v>42</v>
      </c>
      <c r="AP21" s="261">
        <v>42.03</v>
      </c>
      <c r="AQ21" s="261">
        <v>14.1</v>
      </c>
      <c r="AR21" s="261">
        <v>60.41</v>
      </c>
      <c r="AS21" s="261"/>
      <c r="AT21" s="102"/>
      <c r="AU21" s="101"/>
      <c r="AV21" s="101"/>
      <c r="AW21" s="1900"/>
      <c r="AX21" s="1902"/>
      <c r="AY21" s="102"/>
      <c r="AZ21" s="101"/>
      <c r="BA21" s="101"/>
      <c r="BB21" s="101"/>
      <c r="BC21" s="101"/>
      <c r="BD21" s="101"/>
      <c r="BE21" s="101"/>
      <c r="BF21" s="101"/>
      <c r="BG21" s="101"/>
      <c r="BH21" s="226"/>
      <c r="BI21" s="261"/>
      <c r="BJ21" s="102"/>
      <c r="BK21" s="101"/>
      <c r="BL21" s="101"/>
      <c r="BM21" s="101"/>
      <c r="BN21" s="101"/>
      <c r="BO21" s="101"/>
      <c r="BP21" s="101"/>
      <c r="BQ21" s="101"/>
      <c r="BR21" s="101"/>
      <c r="BS21" s="101"/>
      <c r="BT21" s="81"/>
      <c r="BU21" s="81"/>
      <c r="BV21" s="81"/>
      <c r="BW21" s="81"/>
      <c r="BX21" s="81"/>
      <c r="BY21" s="81"/>
      <c r="BZ21" s="81"/>
      <c r="CA21" s="81"/>
      <c r="CB21" s="81"/>
      <c r="CC21" s="81"/>
      <c r="CD21" s="81"/>
      <c r="CE21" s="81"/>
      <c r="CF21" s="81"/>
      <c r="CG21" s="81"/>
      <c r="CH21" s="81"/>
      <c r="CI21" s="81"/>
      <c r="CJ21" s="81"/>
      <c r="CK21" s="81"/>
      <c r="CL21" s="81"/>
      <c r="CM21" s="81"/>
      <c r="CN21" s="81"/>
      <c r="CO21" s="81"/>
      <c r="CP21" s="81"/>
      <c r="CQ21" s="81"/>
      <c r="CR21" s="81"/>
      <c r="CS21" s="81"/>
      <c r="CT21" s="81"/>
    </row>
    <row r="22" spans="1:98" s="79" customFormat="1" ht="40.799999999999997" x14ac:dyDescent="0.3">
      <c r="B22" s="2652" t="s">
        <v>346</v>
      </c>
      <c r="C22" s="72" t="s">
        <v>407</v>
      </c>
      <c r="D22" s="1903" t="s">
        <v>1893</v>
      </c>
      <c r="E22" s="1319"/>
      <c r="F22" s="672" t="str">
        <f>IF(SI_IP_Units="SI","kW","kBtu/h")</f>
        <v>kW</v>
      </c>
      <c r="G22" s="712"/>
      <c r="H22" s="245"/>
      <c r="I22" s="255"/>
      <c r="J22" s="712"/>
      <c r="K22" s="692" t="s">
        <v>1069</v>
      </c>
      <c r="L22" s="229" t="s">
        <v>1069</v>
      </c>
      <c r="M22" s="229" t="s">
        <v>1069</v>
      </c>
      <c r="N22" s="229" t="s">
        <v>1069</v>
      </c>
      <c r="O22" s="229" t="s">
        <v>1069</v>
      </c>
      <c r="P22" s="229" t="s">
        <v>1069</v>
      </c>
      <c r="Q22" s="229" t="s">
        <v>2271</v>
      </c>
      <c r="R22" s="229" t="s">
        <v>2272</v>
      </c>
      <c r="S22" s="229" t="s">
        <v>2342</v>
      </c>
      <c r="T22" s="712"/>
      <c r="U22" s="262" t="s">
        <v>337</v>
      </c>
      <c r="V22" s="262" t="s">
        <v>337</v>
      </c>
      <c r="W22" s="262" t="s">
        <v>337</v>
      </c>
      <c r="X22" s="262" t="s">
        <v>337</v>
      </c>
      <c r="Y22" s="262" t="s">
        <v>337</v>
      </c>
      <c r="Z22" s="262" t="s">
        <v>337</v>
      </c>
      <c r="AA22" s="262" t="s">
        <v>337</v>
      </c>
      <c r="AB22" s="262" t="s">
        <v>337</v>
      </c>
      <c r="AC22" s="262" t="s">
        <v>337</v>
      </c>
      <c r="AD22" s="262" t="s">
        <v>337</v>
      </c>
      <c r="AE22" s="262" t="s">
        <v>337</v>
      </c>
      <c r="AF22" s="262" t="s">
        <v>337</v>
      </c>
      <c r="AG22" s="262" t="s">
        <v>337</v>
      </c>
      <c r="AH22" s="262" t="s">
        <v>337</v>
      </c>
      <c r="AI22" s="262" t="s">
        <v>337</v>
      </c>
      <c r="AJ22" s="262" t="s">
        <v>337</v>
      </c>
      <c r="AK22" s="262" t="s">
        <v>337</v>
      </c>
      <c r="AL22" s="262" t="s">
        <v>337</v>
      </c>
      <c r="AM22" s="262" t="s">
        <v>337</v>
      </c>
      <c r="AN22" s="262" t="s">
        <v>337</v>
      </c>
      <c r="AO22" s="262" t="s">
        <v>337</v>
      </c>
      <c r="AP22" s="262" t="s">
        <v>337</v>
      </c>
      <c r="AQ22" s="262" t="s">
        <v>337</v>
      </c>
      <c r="AR22" s="262" t="s">
        <v>337</v>
      </c>
      <c r="AS22" s="262" t="s">
        <v>337</v>
      </c>
      <c r="AT22" s="102"/>
      <c r="AU22" s="101"/>
      <c r="AV22" s="101"/>
      <c r="AW22" s="1900"/>
      <c r="AX22" s="1902"/>
      <c r="AY22" s="102"/>
      <c r="AZ22" s="101"/>
      <c r="BA22" s="101"/>
      <c r="BB22" s="101"/>
      <c r="BC22" s="101"/>
      <c r="BD22" s="101"/>
      <c r="BE22" s="101"/>
      <c r="BF22" s="101"/>
      <c r="BG22" s="101"/>
      <c r="BH22" s="229"/>
      <c r="BI22" s="262" t="s">
        <v>337</v>
      </c>
      <c r="BJ22" s="102"/>
      <c r="BK22" s="101"/>
      <c r="BL22" s="101"/>
      <c r="BM22" s="101"/>
      <c r="BN22" s="101"/>
      <c r="BO22" s="101"/>
      <c r="BP22" s="101"/>
      <c r="BQ22" s="101"/>
      <c r="BR22" s="101"/>
      <c r="BS22" s="101"/>
      <c r="BT22" s="81"/>
      <c r="BU22" s="81"/>
      <c r="BV22" s="81"/>
      <c r="BW22" s="81"/>
      <c r="BX22" s="81"/>
      <c r="BY22" s="81"/>
      <c r="BZ22" s="81"/>
      <c r="CA22" s="81"/>
      <c r="CB22" s="81"/>
      <c r="CC22" s="81"/>
      <c r="CD22" s="81"/>
      <c r="CE22" s="81"/>
      <c r="CF22" s="81"/>
      <c r="CG22" s="81"/>
      <c r="CH22" s="81"/>
      <c r="CI22" s="81"/>
      <c r="CJ22" s="81"/>
      <c r="CK22" s="81"/>
      <c r="CL22" s="81"/>
      <c r="CM22" s="81"/>
      <c r="CN22" s="81"/>
      <c r="CO22" s="81"/>
      <c r="CP22" s="81"/>
      <c r="CQ22" s="81"/>
      <c r="CR22" s="81"/>
      <c r="CS22" s="81"/>
      <c r="CT22" s="81"/>
    </row>
    <row r="23" spans="1:98" s="79" customFormat="1" ht="40.799999999999997" x14ac:dyDescent="0.3">
      <c r="B23" s="2654"/>
      <c r="C23" s="71" t="s">
        <v>408</v>
      </c>
      <c r="D23" s="1903" t="s">
        <v>1894</v>
      </c>
      <c r="E23" s="710"/>
      <c r="F23" s="674" t="s">
        <v>750</v>
      </c>
      <c r="G23" s="713"/>
      <c r="H23" s="249"/>
      <c r="I23" s="250"/>
      <c r="J23" s="713"/>
      <c r="K23" s="694" t="s">
        <v>1069</v>
      </c>
      <c r="L23" s="235" t="s">
        <v>1069</v>
      </c>
      <c r="M23" s="235" t="s">
        <v>1069</v>
      </c>
      <c r="N23" s="235" t="s">
        <v>1069</v>
      </c>
      <c r="O23" s="235" t="s">
        <v>1069</v>
      </c>
      <c r="P23" s="235" t="s">
        <v>1069</v>
      </c>
      <c r="Q23" s="235" t="s">
        <v>2341</v>
      </c>
      <c r="R23" s="235">
        <v>3.3</v>
      </c>
      <c r="S23" s="235">
        <v>3.2</v>
      </c>
      <c r="T23" s="713"/>
      <c r="U23" s="264" t="s">
        <v>1069</v>
      </c>
      <c r="V23" s="264" t="s">
        <v>1069</v>
      </c>
      <c r="W23" s="264" t="s">
        <v>1069</v>
      </c>
      <c r="X23" s="264" t="s">
        <v>1069</v>
      </c>
      <c r="Y23" s="264" t="s">
        <v>1069</v>
      </c>
      <c r="Z23" s="264" t="s">
        <v>1069</v>
      </c>
      <c r="AA23" s="264" t="s">
        <v>1069</v>
      </c>
      <c r="AB23" s="264" t="s">
        <v>1069</v>
      </c>
      <c r="AC23" s="264" t="s">
        <v>1069</v>
      </c>
      <c r="AD23" s="264" t="s">
        <v>1069</v>
      </c>
      <c r="AE23" s="264" t="s">
        <v>1069</v>
      </c>
      <c r="AF23" s="264" t="s">
        <v>1069</v>
      </c>
      <c r="AG23" s="264" t="s">
        <v>1069</v>
      </c>
      <c r="AH23" s="264" t="s">
        <v>1069</v>
      </c>
      <c r="AI23" s="264" t="s">
        <v>1069</v>
      </c>
      <c r="AJ23" s="264" t="s">
        <v>1069</v>
      </c>
      <c r="AK23" s="264" t="s">
        <v>1069</v>
      </c>
      <c r="AL23" s="264" t="s">
        <v>1069</v>
      </c>
      <c r="AM23" s="264" t="s">
        <v>1069</v>
      </c>
      <c r="AN23" s="264" t="s">
        <v>1069</v>
      </c>
      <c r="AO23" s="264" t="s">
        <v>1069</v>
      </c>
      <c r="AP23" s="264" t="s">
        <v>1069</v>
      </c>
      <c r="AQ23" s="264" t="s">
        <v>1069</v>
      </c>
      <c r="AR23" s="264" t="s">
        <v>1069</v>
      </c>
      <c r="AS23" s="264"/>
      <c r="AT23" s="102"/>
      <c r="AU23" s="101"/>
      <c r="AV23" s="101"/>
      <c r="AW23" s="1900"/>
      <c r="AX23" s="1902"/>
      <c r="AY23" s="102"/>
      <c r="AZ23" s="101"/>
      <c r="BA23" s="101"/>
      <c r="BB23" s="101"/>
      <c r="BC23" s="101"/>
      <c r="BD23" s="101"/>
      <c r="BE23" s="101"/>
      <c r="BF23" s="101"/>
      <c r="BG23" s="101"/>
      <c r="BH23" s="235"/>
      <c r="BI23" s="264"/>
      <c r="BJ23" s="102"/>
      <c r="BK23" s="101"/>
      <c r="BL23" s="101"/>
      <c r="BM23" s="101"/>
      <c r="BN23" s="101"/>
      <c r="BO23" s="101"/>
      <c r="BP23" s="101"/>
      <c r="BQ23" s="101"/>
      <c r="BR23" s="101"/>
      <c r="BS23" s="101"/>
      <c r="BT23" s="81"/>
      <c r="BU23" s="81"/>
      <c r="BV23" s="81"/>
      <c r="BW23" s="81"/>
      <c r="BX23" s="81"/>
      <c r="BY23" s="81"/>
      <c r="BZ23" s="81"/>
      <c r="CA23" s="81"/>
      <c r="CB23" s="81"/>
      <c r="CC23" s="81"/>
      <c r="CD23" s="81"/>
      <c r="CE23" s="81"/>
      <c r="CF23" s="81"/>
      <c r="CG23" s="81"/>
      <c r="CH23" s="81"/>
      <c r="CI23" s="81"/>
      <c r="CJ23" s="81"/>
      <c r="CK23" s="81"/>
      <c r="CL23" s="81"/>
      <c r="CM23" s="81"/>
      <c r="CN23" s="81"/>
      <c r="CO23" s="81"/>
      <c r="CP23" s="81"/>
      <c r="CQ23" s="81"/>
      <c r="CR23" s="81"/>
      <c r="CS23" s="81"/>
      <c r="CT23" s="81"/>
    </row>
    <row r="24" spans="1:98" s="79" customFormat="1" ht="20.399999999999999" x14ac:dyDescent="0.3">
      <c r="B24" s="2646" t="s">
        <v>409</v>
      </c>
      <c r="C24" s="2647"/>
      <c r="D24" s="1903" t="s">
        <v>1895</v>
      </c>
      <c r="E24" s="425"/>
      <c r="F24" s="675"/>
      <c r="G24" s="426"/>
      <c r="H24" s="243"/>
      <c r="I24" s="244"/>
      <c r="J24" s="426"/>
      <c r="K24" s="695" t="s">
        <v>2301</v>
      </c>
      <c r="L24" s="238" t="s">
        <v>2301</v>
      </c>
      <c r="M24" s="238" t="s">
        <v>2301</v>
      </c>
      <c r="N24" s="238" t="s">
        <v>2301</v>
      </c>
      <c r="O24" s="238" t="s">
        <v>2301</v>
      </c>
      <c r="P24" s="238" t="s">
        <v>2301</v>
      </c>
      <c r="Q24" s="238" t="s">
        <v>2302</v>
      </c>
      <c r="R24" s="238" t="s">
        <v>2302</v>
      </c>
      <c r="S24" s="238" t="s">
        <v>2302</v>
      </c>
      <c r="T24" s="426"/>
      <c r="U24" s="265" t="s">
        <v>2301</v>
      </c>
      <c r="V24" s="265" t="s">
        <v>2301</v>
      </c>
      <c r="W24" s="265" t="s">
        <v>2301</v>
      </c>
      <c r="X24" s="265" t="s">
        <v>2301</v>
      </c>
      <c r="Y24" s="265" t="s">
        <v>2301</v>
      </c>
      <c r="Z24" s="265" t="s">
        <v>2301</v>
      </c>
      <c r="AA24" s="265" t="s">
        <v>2301</v>
      </c>
      <c r="AB24" s="265" t="s">
        <v>2301</v>
      </c>
      <c r="AC24" s="265" t="s">
        <v>2301</v>
      </c>
      <c r="AD24" s="265" t="s">
        <v>2301</v>
      </c>
      <c r="AE24" s="265" t="s">
        <v>2301</v>
      </c>
      <c r="AF24" s="265" t="s">
        <v>2301</v>
      </c>
      <c r="AG24" s="265" t="s">
        <v>2301</v>
      </c>
      <c r="AH24" s="265" t="s">
        <v>2301</v>
      </c>
      <c r="AI24" s="265" t="s">
        <v>2301</v>
      </c>
      <c r="AJ24" s="265" t="s">
        <v>2301</v>
      </c>
      <c r="AK24" s="265" t="s">
        <v>2301</v>
      </c>
      <c r="AL24" s="265" t="s">
        <v>2301</v>
      </c>
      <c r="AM24" s="265" t="s">
        <v>2301</v>
      </c>
      <c r="AN24" s="265" t="s">
        <v>2301</v>
      </c>
      <c r="AO24" s="265" t="s">
        <v>2301</v>
      </c>
      <c r="AP24" s="265" t="s">
        <v>2302</v>
      </c>
      <c r="AQ24" s="265" t="s">
        <v>2302</v>
      </c>
      <c r="AR24" s="265" t="s">
        <v>2302</v>
      </c>
      <c r="AS24" s="265"/>
      <c r="AT24" s="102"/>
      <c r="AU24" s="101"/>
      <c r="AV24" s="101"/>
      <c r="AW24" s="1900"/>
      <c r="AX24" s="1902"/>
      <c r="AY24" s="102"/>
      <c r="AZ24" s="101"/>
      <c r="BA24" s="101"/>
      <c r="BB24" s="101"/>
      <c r="BC24" s="101"/>
      <c r="BD24" s="101"/>
      <c r="BE24" s="101"/>
      <c r="BF24" s="101"/>
      <c r="BG24" s="101"/>
      <c r="BH24" s="238"/>
      <c r="BI24" s="265"/>
      <c r="BJ24" s="102"/>
      <c r="BK24" s="101"/>
      <c r="BL24" s="101"/>
      <c r="BM24" s="101"/>
      <c r="BN24" s="101"/>
      <c r="BO24" s="101"/>
      <c r="BP24" s="101"/>
      <c r="BQ24" s="101"/>
      <c r="BR24" s="101"/>
      <c r="BS24" s="101"/>
      <c r="BT24" s="81"/>
      <c r="BU24" s="81"/>
      <c r="BV24" s="81"/>
      <c r="BW24" s="81"/>
      <c r="BX24" s="81"/>
      <c r="BY24" s="81"/>
      <c r="BZ24" s="81"/>
      <c r="CA24" s="81"/>
      <c r="CB24" s="81"/>
      <c r="CC24" s="81"/>
      <c r="CD24" s="81"/>
      <c r="CE24" s="81"/>
      <c r="CF24" s="81"/>
      <c r="CG24" s="81"/>
      <c r="CH24" s="81"/>
      <c r="CI24" s="81"/>
      <c r="CJ24" s="81"/>
      <c r="CK24" s="81"/>
      <c r="CL24" s="81"/>
      <c r="CM24" s="81"/>
      <c r="CN24" s="81"/>
      <c r="CO24" s="81"/>
      <c r="CP24" s="81"/>
      <c r="CQ24" s="81"/>
      <c r="CR24" s="81"/>
      <c r="CS24" s="81"/>
      <c r="CT24" s="81"/>
    </row>
    <row r="25" spans="1:98" s="79" customFormat="1" ht="20.399999999999999" x14ac:dyDescent="0.3">
      <c r="B25" s="2646" t="s">
        <v>410</v>
      </c>
      <c r="C25" s="2647"/>
      <c r="D25" s="1903" t="s">
        <v>1896</v>
      </c>
      <c r="E25" s="1318"/>
      <c r="F25" s="676" t="str">
        <f>IF('General Information'!$I$12="IP","cfm","L/s")</f>
        <v>L/s</v>
      </c>
      <c r="G25" s="711"/>
      <c r="H25" s="224">
        <f>SUMIF($H$8:$LM$8, "Baseline", $H25:$LM25)</f>
        <v>163960</v>
      </c>
      <c r="I25" s="225">
        <f>SUMIF($H$8:$LM$8, "Proposed", $H25:$LM25)</f>
        <v>134546</v>
      </c>
      <c r="J25" s="711"/>
      <c r="K25" s="691">
        <v>33810</v>
      </c>
      <c r="L25" s="226">
        <v>41380</v>
      </c>
      <c r="M25" s="226">
        <v>35820</v>
      </c>
      <c r="N25" s="226">
        <v>23350</v>
      </c>
      <c r="O25" s="226">
        <v>910</v>
      </c>
      <c r="P25" s="226">
        <v>9660</v>
      </c>
      <c r="Q25" s="226">
        <v>12080</v>
      </c>
      <c r="R25" s="226">
        <v>4330</v>
      </c>
      <c r="S25" s="226">
        <v>2620</v>
      </c>
      <c r="T25" s="711"/>
      <c r="U25" s="261">
        <v>3996</v>
      </c>
      <c r="V25" s="261">
        <v>1700</v>
      </c>
      <c r="W25" s="261">
        <v>3157</v>
      </c>
      <c r="X25" s="261">
        <v>5185</v>
      </c>
      <c r="Y25" s="261">
        <v>7261</v>
      </c>
      <c r="Z25" s="261">
        <v>5930</v>
      </c>
      <c r="AA25" s="261">
        <v>4605</v>
      </c>
      <c r="AB25" s="261">
        <v>6450</v>
      </c>
      <c r="AC25" s="261">
        <v>8539</v>
      </c>
      <c r="AD25" s="261">
        <v>2240</v>
      </c>
      <c r="AE25" s="261">
        <v>8512</v>
      </c>
      <c r="AF25" s="261">
        <v>4652</v>
      </c>
      <c r="AG25" s="261">
        <v>5863</v>
      </c>
      <c r="AH25" s="261">
        <v>4860</v>
      </c>
      <c r="AI25" s="261">
        <v>2930</v>
      </c>
      <c r="AJ25" s="261">
        <v>4630</v>
      </c>
      <c r="AK25" s="261">
        <v>1170</v>
      </c>
      <c r="AL25" s="261">
        <v>10975</v>
      </c>
      <c r="AM25" s="261">
        <v>5745</v>
      </c>
      <c r="AN25" s="261">
        <v>9607</v>
      </c>
      <c r="AO25" s="261">
        <v>2520</v>
      </c>
      <c r="AP25" s="261">
        <v>2400</v>
      </c>
      <c r="AQ25" s="261">
        <v>770</v>
      </c>
      <c r="AR25" s="261">
        <v>20849</v>
      </c>
      <c r="AS25" s="261"/>
      <c r="AT25" s="102"/>
      <c r="AU25" s="101"/>
      <c r="AV25" s="101"/>
      <c r="AW25" s="1900"/>
      <c r="AX25" s="1902"/>
      <c r="AY25" s="102"/>
      <c r="AZ25" s="101"/>
      <c r="BA25" s="101"/>
      <c r="BB25" s="101"/>
      <c r="BC25" s="101"/>
      <c r="BD25" s="101"/>
      <c r="BE25" s="101"/>
      <c r="BF25" s="101"/>
      <c r="BG25" s="101"/>
      <c r="BH25" s="226"/>
      <c r="BI25" s="261"/>
      <c r="BJ25" s="102"/>
      <c r="BK25" s="101"/>
      <c r="BL25" s="101"/>
      <c r="BM25" s="101"/>
      <c r="BN25" s="101"/>
      <c r="BO25" s="101"/>
      <c r="BP25" s="101"/>
      <c r="BQ25" s="101"/>
      <c r="BR25" s="101"/>
      <c r="BS25" s="101"/>
      <c r="BT25" s="81"/>
      <c r="BU25" s="81"/>
      <c r="BV25" s="81"/>
      <c r="BW25" s="81"/>
      <c r="BX25" s="81"/>
      <c r="BY25" s="81"/>
      <c r="BZ25" s="81"/>
      <c r="CA25" s="81"/>
      <c r="CB25" s="81"/>
      <c r="CC25" s="81"/>
      <c r="CD25" s="81"/>
      <c r="CE25" s="81"/>
      <c r="CF25" s="81"/>
      <c r="CG25" s="81"/>
      <c r="CH25" s="81"/>
      <c r="CI25" s="81"/>
      <c r="CJ25" s="81"/>
      <c r="CK25" s="81"/>
      <c r="CL25" s="81"/>
      <c r="CM25" s="81"/>
      <c r="CN25" s="81"/>
      <c r="CO25" s="81"/>
      <c r="CP25" s="81"/>
      <c r="CQ25" s="81"/>
      <c r="CR25" s="81"/>
      <c r="CS25" s="81"/>
      <c r="CT25" s="81"/>
    </row>
    <row r="26" spans="1:98" s="79" customFormat="1" ht="40.799999999999997" x14ac:dyDescent="0.3">
      <c r="B26" s="2646" t="s">
        <v>411</v>
      </c>
      <c r="C26" s="2647"/>
      <c r="D26" s="1903" t="s">
        <v>1897</v>
      </c>
      <c r="E26" s="1318"/>
      <c r="F26" s="676" t="str">
        <f>IF('General Information'!$I$12="IP","cfm","L/s")</f>
        <v>L/s</v>
      </c>
      <c r="G26" s="711"/>
      <c r="H26" s="224">
        <f>SUMIF($H$8:$LM$8, "Baseline", $H26:$LM26)</f>
        <v>22495</v>
      </c>
      <c r="I26" s="225">
        <f>SUMIF($H$8:$LM$8, "Proposed", $H26:$LM26)</f>
        <v>34204</v>
      </c>
      <c r="J26" s="711"/>
      <c r="K26" s="691">
        <v>6330</v>
      </c>
      <c r="L26" s="226">
        <v>6100</v>
      </c>
      <c r="M26" s="226">
        <v>3880</v>
      </c>
      <c r="N26" s="226">
        <v>3520</v>
      </c>
      <c r="O26" s="226">
        <v>0</v>
      </c>
      <c r="P26" s="226">
        <v>1290</v>
      </c>
      <c r="Q26" s="226">
        <v>477</v>
      </c>
      <c r="R26" s="226">
        <v>695</v>
      </c>
      <c r="S26" s="226">
        <v>203</v>
      </c>
      <c r="T26" s="711"/>
      <c r="U26" s="261">
        <v>0</v>
      </c>
      <c r="V26" s="261">
        <v>0</v>
      </c>
      <c r="W26" s="261">
        <v>0</v>
      </c>
      <c r="X26" s="261">
        <v>0</v>
      </c>
      <c r="Y26" s="261">
        <v>0</v>
      </c>
      <c r="Z26" s="261">
        <v>0</v>
      </c>
      <c r="AA26" s="261">
        <v>0</v>
      </c>
      <c r="AB26" s="261">
        <v>2773</v>
      </c>
      <c r="AC26" s="261">
        <v>0</v>
      </c>
      <c r="AD26" s="261">
        <v>0</v>
      </c>
      <c r="AE26" s="261">
        <v>0</v>
      </c>
      <c r="AF26" s="261">
        <v>0</v>
      </c>
      <c r="AG26" s="261">
        <v>0</v>
      </c>
      <c r="AH26" s="261">
        <v>0</v>
      </c>
      <c r="AI26" s="261">
        <v>2930</v>
      </c>
      <c r="AJ26" s="261">
        <v>4630</v>
      </c>
      <c r="AK26" s="261">
        <v>1170</v>
      </c>
      <c r="AL26" s="261">
        <v>4829</v>
      </c>
      <c r="AM26" s="261">
        <v>5745</v>
      </c>
      <c r="AN26" s="261">
        <v>9607</v>
      </c>
      <c r="AO26" s="261">
        <v>2520</v>
      </c>
      <c r="AP26" s="261">
        <v>0</v>
      </c>
      <c r="AQ26" s="261">
        <v>0</v>
      </c>
      <c r="AR26" s="261">
        <v>0</v>
      </c>
      <c r="AS26" s="261"/>
      <c r="AT26" s="102"/>
      <c r="AU26" s="101"/>
      <c r="AV26" s="101"/>
      <c r="AW26" s="1900"/>
      <c r="AX26" s="1902"/>
      <c r="AY26" s="102"/>
      <c r="AZ26" s="101"/>
      <c r="BA26" s="101"/>
      <c r="BB26" s="101"/>
      <c r="BC26" s="101"/>
      <c r="BD26" s="101"/>
      <c r="BE26" s="101"/>
      <c r="BF26" s="101"/>
      <c r="BG26" s="101"/>
      <c r="BH26" s="226"/>
      <c r="BI26" s="261"/>
      <c r="BJ26" s="102"/>
      <c r="BK26" s="101"/>
      <c r="BL26" s="101"/>
      <c r="BM26" s="101"/>
      <c r="BN26" s="101"/>
      <c r="BO26" s="101"/>
      <c r="BP26" s="101"/>
      <c r="BQ26" s="101"/>
      <c r="BR26" s="101"/>
      <c r="BS26" s="101"/>
      <c r="BT26" s="81"/>
      <c r="BU26" s="81"/>
      <c r="BV26" s="81"/>
      <c r="BW26" s="81"/>
      <c r="BX26" s="81"/>
      <c r="BY26" s="81"/>
      <c r="BZ26" s="81"/>
      <c r="CA26" s="81"/>
      <c r="CB26" s="81"/>
      <c r="CC26" s="81"/>
      <c r="CD26" s="81"/>
      <c r="CE26" s="81"/>
      <c r="CF26" s="81"/>
      <c r="CG26" s="81"/>
      <c r="CH26" s="81"/>
      <c r="CI26" s="81"/>
      <c r="CJ26" s="81"/>
      <c r="CK26" s="81"/>
      <c r="CL26" s="81"/>
      <c r="CM26" s="81"/>
      <c r="CN26" s="81"/>
      <c r="CO26" s="81"/>
      <c r="CP26" s="81"/>
      <c r="CQ26" s="81"/>
      <c r="CR26" s="81"/>
      <c r="CS26" s="81"/>
      <c r="CT26" s="81"/>
    </row>
    <row r="27" spans="1:98" s="79" customFormat="1" ht="20.399999999999999" x14ac:dyDescent="0.3">
      <c r="B27" s="2646" t="s">
        <v>412</v>
      </c>
      <c r="C27" s="2647"/>
      <c r="D27" s="1903" t="s">
        <v>1898</v>
      </c>
      <c r="E27" s="425"/>
      <c r="F27" s="262" t="s">
        <v>337</v>
      </c>
      <c r="G27" s="426"/>
      <c r="H27" s="243"/>
      <c r="I27" s="244"/>
      <c r="J27" s="426"/>
      <c r="K27" s="695" t="s">
        <v>1959</v>
      </c>
      <c r="L27" s="238" t="s">
        <v>1959</v>
      </c>
      <c r="M27" s="238" t="s">
        <v>1959</v>
      </c>
      <c r="N27" s="238" t="s">
        <v>1959</v>
      </c>
      <c r="O27" s="238" t="s">
        <v>1959</v>
      </c>
      <c r="P27" s="238" t="s">
        <v>1959</v>
      </c>
      <c r="Q27" s="238" t="s">
        <v>1959</v>
      </c>
      <c r="R27" s="238" t="s">
        <v>1959</v>
      </c>
      <c r="S27" s="238" t="s">
        <v>1959</v>
      </c>
      <c r="T27" s="426"/>
      <c r="U27" s="266" t="s">
        <v>1959</v>
      </c>
      <c r="V27" s="266" t="s">
        <v>1959</v>
      </c>
      <c r="W27" s="266" t="s">
        <v>1959</v>
      </c>
      <c r="X27" s="266" t="s">
        <v>1959</v>
      </c>
      <c r="Y27" s="266" t="s">
        <v>1959</v>
      </c>
      <c r="Z27" s="266" t="s">
        <v>1959</v>
      </c>
      <c r="AA27" s="266" t="s">
        <v>1959</v>
      </c>
      <c r="AB27" s="266" t="s">
        <v>1959</v>
      </c>
      <c r="AC27" s="266" t="s">
        <v>1959</v>
      </c>
      <c r="AD27" s="266" t="s">
        <v>1959</v>
      </c>
      <c r="AE27" s="266" t="s">
        <v>1959</v>
      </c>
      <c r="AF27" s="266" t="s">
        <v>1959</v>
      </c>
      <c r="AG27" s="266" t="s">
        <v>1959</v>
      </c>
      <c r="AH27" s="266" t="s">
        <v>1959</v>
      </c>
      <c r="AI27" s="266" t="s">
        <v>1959</v>
      </c>
      <c r="AJ27" s="266" t="s">
        <v>1959</v>
      </c>
      <c r="AK27" s="266" t="s">
        <v>25</v>
      </c>
      <c r="AL27" s="266" t="s">
        <v>25</v>
      </c>
      <c r="AM27" s="266" t="s">
        <v>1959</v>
      </c>
      <c r="AN27" s="266" t="s">
        <v>25</v>
      </c>
      <c r="AO27" s="266" t="s">
        <v>1959</v>
      </c>
      <c r="AP27" s="266" t="s">
        <v>1959</v>
      </c>
      <c r="AQ27" s="266" t="s">
        <v>1959</v>
      </c>
      <c r="AR27" s="266" t="s">
        <v>1959</v>
      </c>
      <c r="AS27" s="266"/>
      <c r="AT27" s="102"/>
      <c r="AU27" s="101"/>
      <c r="AV27" s="101"/>
      <c r="AW27" s="1900"/>
      <c r="AX27" s="1902"/>
      <c r="AY27" s="102"/>
      <c r="AZ27" s="101"/>
      <c r="BA27" s="101"/>
      <c r="BB27" s="101"/>
      <c r="BC27" s="101"/>
      <c r="BD27" s="101"/>
      <c r="BE27" s="101"/>
      <c r="BF27" s="101"/>
      <c r="BG27" s="101"/>
      <c r="BH27" s="238"/>
      <c r="BI27" s="266"/>
      <c r="BJ27" s="102"/>
      <c r="BK27" s="101"/>
      <c r="BL27" s="101"/>
      <c r="BM27" s="101"/>
      <c r="BN27" s="101"/>
      <c r="BO27" s="101"/>
      <c r="BP27" s="101"/>
      <c r="BQ27" s="101"/>
      <c r="BR27" s="101"/>
      <c r="BS27" s="101"/>
      <c r="BT27" s="81"/>
      <c r="BU27" s="81"/>
      <c r="BV27" s="81"/>
      <c r="BW27" s="81"/>
      <c r="BX27" s="81"/>
      <c r="BY27" s="81"/>
      <c r="BZ27" s="81"/>
      <c r="CA27" s="81"/>
      <c r="CB27" s="81"/>
      <c r="CC27" s="81"/>
      <c r="CD27" s="81"/>
      <c r="CE27" s="81"/>
      <c r="CF27" s="81"/>
      <c r="CG27" s="81"/>
      <c r="CH27" s="81"/>
      <c r="CI27" s="81"/>
      <c r="CJ27" s="81"/>
      <c r="CK27" s="81"/>
      <c r="CL27" s="81"/>
      <c r="CM27" s="81"/>
      <c r="CN27" s="81"/>
      <c r="CO27" s="81"/>
      <c r="CP27" s="81"/>
      <c r="CQ27" s="81"/>
      <c r="CR27" s="81"/>
      <c r="CS27" s="81"/>
      <c r="CT27" s="81"/>
    </row>
    <row r="28" spans="1:98" s="79" customFormat="1" ht="61.2" x14ac:dyDescent="0.3">
      <c r="B28" s="2646" t="s">
        <v>811</v>
      </c>
      <c r="C28" s="2647"/>
      <c r="D28" s="1903" t="s">
        <v>1899</v>
      </c>
      <c r="E28" s="710"/>
      <c r="F28" s="677"/>
      <c r="G28" s="1323"/>
      <c r="H28" s="253"/>
      <c r="I28" s="254"/>
      <c r="J28" s="1329"/>
      <c r="K28" s="696" t="s">
        <v>2304</v>
      </c>
      <c r="L28" s="586" t="s">
        <v>2304</v>
      </c>
      <c r="M28" s="586" t="s">
        <v>2304</v>
      </c>
      <c r="N28" s="586" t="s">
        <v>2304</v>
      </c>
      <c r="O28" s="586" t="s">
        <v>2304</v>
      </c>
      <c r="P28" s="586" t="s">
        <v>2304</v>
      </c>
      <c r="Q28" s="586" t="s">
        <v>2304</v>
      </c>
      <c r="R28" s="586" t="s">
        <v>2304</v>
      </c>
      <c r="S28" s="586" t="s">
        <v>2304</v>
      </c>
      <c r="T28" s="713"/>
      <c r="U28" s="265" t="s">
        <v>1069</v>
      </c>
      <c r="V28" s="265" t="s">
        <v>1069</v>
      </c>
      <c r="W28" s="265" t="s">
        <v>1069</v>
      </c>
      <c r="X28" s="265" t="s">
        <v>1069</v>
      </c>
      <c r="Y28" s="265" t="s">
        <v>1069</v>
      </c>
      <c r="Z28" s="265" t="s">
        <v>1069</v>
      </c>
      <c r="AA28" s="265" t="s">
        <v>1069</v>
      </c>
      <c r="AB28" s="265" t="s">
        <v>1069</v>
      </c>
      <c r="AC28" s="265" t="s">
        <v>1069</v>
      </c>
      <c r="AD28" s="265" t="s">
        <v>1069</v>
      </c>
      <c r="AE28" s="265" t="s">
        <v>1069</v>
      </c>
      <c r="AF28" s="265" t="s">
        <v>1069</v>
      </c>
      <c r="AG28" s="265" t="s">
        <v>1069</v>
      </c>
      <c r="AH28" s="265" t="s">
        <v>1069</v>
      </c>
      <c r="AI28" s="265" t="s">
        <v>1069</v>
      </c>
      <c r="AJ28" s="265" t="s">
        <v>1069</v>
      </c>
      <c r="AK28" s="265" t="s">
        <v>1069</v>
      </c>
      <c r="AL28" s="265" t="s">
        <v>1069</v>
      </c>
      <c r="AM28" s="265" t="s">
        <v>1069</v>
      </c>
      <c r="AN28" s="265" t="s">
        <v>1069</v>
      </c>
      <c r="AO28" s="265" t="s">
        <v>1069</v>
      </c>
      <c r="AP28" s="265" t="s">
        <v>1069</v>
      </c>
      <c r="AQ28" s="265" t="s">
        <v>1069</v>
      </c>
      <c r="AR28" s="265" t="s">
        <v>1069</v>
      </c>
      <c r="AS28" s="265"/>
      <c r="AT28" s="102"/>
      <c r="AU28" s="101"/>
      <c r="AV28" s="101"/>
      <c r="AW28" s="1900"/>
      <c r="AX28" s="1902"/>
      <c r="AY28" s="102"/>
      <c r="AZ28" s="101"/>
      <c r="BA28" s="101"/>
      <c r="BB28" s="101"/>
      <c r="BC28" s="101"/>
      <c r="BD28" s="101"/>
      <c r="BE28" s="101"/>
      <c r="BF28" s="101"/>
      <c r="BG28" s="101"/>
      <c r="BH28" s="586"/>
      <c r="BI28" s="265"/>
      <c r="BJ28" s="102"/>
      <c r="BK28" s="101"/>
      <c r="BL28" s="101"/>
      <c r="BM28" s="101"/>
      <c r="BN28" s="101"/>
      <c r="BO28" s="101"/>
      <c r="BP28" s="101"/>
      <c r="BQ28" s="101"/>
      <c r="BR28" s="101"/>
      <c r="BS28" s="101"/>
      <c r="BT28" s="81"/>
      <c r="BU28" s="81"/>
      <c r="BV28" s="81"/>
      <c r="BW28" s="81"/>
      <c r="BX28" s="81"/>
      <c r="BY28" s="81"/>
      <c r="BZ28" s="81"/>
      <c r="CA28" s="81"/>
      <c r="CB28" s="81"/>
      <c r="CC28" s="81"/>
      <c r="CD28" s="81"/>
      <c r="CE28" s="81"/>
      <c r="CF28" s="81"/>
      <c r="CG28" s="81"/>
      <c r="CH28" s="81"/>
      <c r="CI28" s="81"/>
      <c r="CJ28" s="81"/>
      <c r="CK28" s="81"/>
      <c r="CL28" s="81"/>
      <c r="CM28" s="81"/>
      <c r="CN28" s="81"/>
      <c r="CO28" s="81"/>
      <c r="CP28" s="81"/>
      <c r="CQ28" s="81"/>
      <c r="CR28" s="81"/>
      <c r="CS28" s="81"/>
      <c r="CT28" s="81"/>
    </row>
    <row r="29" spans="1:98" s="79" customFormat="1" ht="40.799999999999997" x14ac:dyDescent="0.3">
      <c r="B29" s="2646" t="s">
        <v>413</v>
      </c>
      <c r="C29" s="2647"/>
      <c r="D29" s="1903" t="s">
        <v>1900</v>
      </c>
      <c r="E29" s="425"/>
      <c r="F29" s="262" t="s">
        <v>337</v>
      </c>
      <c r="G29" s="426"/>
      <c r="H29" s="243"/>
      <c r="I29" s="244"/>
      <c r="J29" s="426"/>
      <c r="K29" s="697" t="s">
        <v>2305</v>
      </c>
      <c r="L29" s="239" t="s">
        <v>2305</v>
      </c>
      <c r="M29" s="239" t="s">
        <v>2305</v>
      </c>
      <c r="N29" s="239" t="s">
        <v>2305</v>
      </c>
      <c r="O29" s="239" t="s">
        <v>2305</v>
      </c>
      <c r="P29" s="239" t="s">
        <v>2305</v>
      </c>
      <c r="Q29" s="239" t="s">
        <v>2304</v>
      </c>
      <c r="R29" s="239" t="s">
        <v>2304</v>
      </c>
      <c r="S29" s="239" t="s">
        <v>2304</v>
      </c>
      <c r="T29" s="426"/>
      <c r="U29" s="267" t="s">
        <v>2303</v>
      </c>
      <c r="V29" s="267" t="s">
        <v>2303</v>
      </c>
      <c r="W29" s="267" t="s">
        <v>2303</v>
      </c>
      <c r="X29" s="267" t="s">
        <v>2303</v>
      </c>
      <c r="Y29" s="267" t="s">
        <v>2303</v>
      </c>
      <c r="Z29" s="267" t="s">
        <v>2303</v>
      </c>
      <c r="AA29" s="267" t="s">
        <v>2303</v>
      </c>
      <c r="AB29" s="267" t="s">
        <v>2303</v>
      </c>
      <c r="AC29" s="267" t="s">
        <v>2303</v>
      </c>
      <c r="AD29" s="267" t="s">
        <v>2303</v>
      </c>
      <c r="AE29" s="267" t="s">
        <v>2303</v>
      </c>
      <c r="AF29" s="267" t="s">
        <v>2303</v>
      </c>
      <c r="AG29" s="267" t="s">
        <v>2303</v>
      </c>
      <c r="AH29" s="267" t="s">
        <v>2303</v>
      </c>
      <c r="AI29" s="267" t="s">
        <v>2303</v>
      </c>
      <c r="AJ29" s="267" t="s">
        <v>2303</v>
      </c>
      <c r="AK29" s="267" t="s">
        <v>2303</v>
      </c>
      <c r="AL29" s="267" t="s">
        <v>2303</v>
      </c>
      <c r="AM29" s="267" t="s">
        <v>2303</v>
      </c>
      <c r="AN29" s="267" t="s">
        <v>2303</v>
      </c>
      <c r="AO29" s="267" t="s">
        <v>2303</v>
      </c>
      <c r="AP29" s="267" t="s">
        <v>2303</v>
      </c>
      <c r="AQ29" s="267" t="s">
        <v>2303</v>
      </c>
      <c r="AR29" s="267" t="s">
        <v>2303</v>
      </c>
      <c r="AS29" s="267"/>
      <c r="AT29" s="102"/>
      <c r="AU29" s="101"/>
      <c r="AV29" s="101"/>
      <c r="AW29" s="1900"/>
      <c r="AX29" s="1902"/>
      <c r="AY29" s="102"/>
      <c r="AZ29" s="101"/>
      <c r="BA29" s="101"/>
      <c r="BB29" s="101"/>
      <c r="BC29" s="101"/>
      <c r="BD29" s="101"/>
      <c r="BE29" s="101"/>
      <c r="BF29" s="101"/>
      <c r="BG29" s="101"/>
      <c r="BH29" s="239"/>
      <c r="BI29" s="267"/>
      <c r="BJ29" s="102"/>
      <c r="BK29" s="101"/>
      <c r="BL29" s="101"/>
      <c r="BM29" s="101"/>
      <c r="BN29" s="101"/>
      <c r="BO29" s="101"/>
      <c r="BP29" s="101"/>
      <c r="BQ29" s="101"/>
      <c r="BR29" s="101"/>
      <c r="BS29" s="101"/>
      <c r="BT29" s="81"/>
      <c r="BU29" s="81"/>
      <c r="BV29" s="81"/>
      <c r="BW29" s="81"/>
      <c r="BX29" s="81"/>
      <c r="BY29" s="81"/>
      <c r="BZ29" s="81"/>
      <c r="CA29" s="81"/>
      <c r="CB29" s="81"/>
      <c r="CC29" s="81"/>
      <c r="CD29" s="81"/>
      <c r="CE29" s="81"/>
      <c r="CF29" s="81"/>
      <c r="CG29" s="81"/>
      <c r="CH29" s="81"/>
      <c r="CI29" s="81"/>
      <c r="CJ29" s="81"/>
      <c r="CK29" s="81"/>
      <c r="CL29" s="81"/>
      <c r="CM29" s="81"/>
      <c r="CN29" s="81"/>
      <c r="CO29" s="81"/>
      <c r="CP29" s="81"/>
      <c r="CQ29" s="81"/>
      <c r="CR29" s="81"/>
      <c r="CS29" s="81"/>
      <c r="CT29" s="81"/>
    </row>
    <row r="30" spans="1:98" s="79" customFormat="1" ht="66" x14ac:dyDescent="0.3">
      <c r="B30" s="2664" t="s">
        <v>1179</v>
      </c>
      <c r="C30" s="72" t="s">
        <v>1189</v>
      </c>
      <c r="D30" s="1903" t="s">
        <v>1901</v>
      </c>
      <c r="E30" s="425"/>
      <c r="F30" s="230" t="s">
        <v>337</v>
      </c>
      <c r="G30" s="1324"/>
      <c r="H30" s="245"/>
      <c r="I30" s="251"/>
      <c r="J30" s="1330"/>
      <c r="K30" s="698" t="s">
        <v>1959</v>
      </c>
      <c r="L30" s="597" t="s">
        <v>1959</v>
      </c>
      <c r="M30" s="597" t="s">
        <v>1959</v>
      </c>
      <c r="N30" s="597" t="s">
        <v>1959</v>
      </c>
      <c r="O30" s="597" t="s">
        <v>1959</v>
      </c>
      <c r="P30" s="597" t="s">
        <v>1959</v>
      </c>
      <c r="Q30" s="597" t="s">
        <v>1959</v>
      </c>
      <c r="R30" s="597" t="s">
        <v>1959</v>
      </c>
      <c r="S30" s="597" t="s">
        <v>1959</v>
      </c>
      <c r="T30" s="426"/>
      <c r="U30" s="597" t="s">
        <v>1959</v>
      </c>
      <c r="V30" s="1879" t="s">
        <v>1959</v>
      </c>
      <c r="W30" s="1879" t="s">
        <v>1959</v>
      </c>
      <c r="X30" s="1879" t="s">
        <v>1959</v>
      </c>
      <c r="Y30" s="1879" t="s">
        <v>1959</v>
      </c>
      <c r="Z30" s="1879" t="s">
        <v>1959</v>
      </c>
      <c r="AA30" s="1879" t="s">
        <v>1959</v>
      </c>
      <c r="AB30" s="1879" t="s">
        <v>1959</v>
      </c>
      <c r="AC30" s="1879" t="s">
        <v>1959</v>
      </c>
      <c r="AD30" s="1879" t="s">
        <v>1959</v>
      </c>
      <c r="AE30" s="1879" t="s">
        <v>1959</v>
      </c>
      <c r="AF30" s="1879" t="s">
        <v>1959</v>
      </c>
      <c r="AG30" s="1879" t="s">
        <v>1959</v>
      </c>
      <c r="AH30" s="1879" t="s">
        <v>1959</v>
      </c>
      <c r="AI30" s="1879" t="s">
        <v>1959</v>
      </c>
      <c r="AJ30" s="1879" t="s">
        <v>1959</v>
      </c>
      <c r="AK30" s="1879" t="s">
        <v>1959</v>
      </c>
      <c r="AL30" s="1879" t="s">
        <v>25</v>
      </c>
      <c r="AM30" s="1879" t="s">
        <v>25</v>
      </c>
      <c r="AN30" s="1879" t="s">
        <v>25</v>
      </c>
      <c r="AO30" s="1879" t="s">
        <v>1959</v>
      </c>
      <c r="AP30" s="1879" t="s">
        <v>1959</v>
      </c>
      <c r="AQ30" s="1879" t="s">
        <v>1959</v>
      </c>
      <c r="AR30" s="1879" t="s">
        <v>1959</v>
      </c>
      <c r="AS30" s="1879" t="s">
        <v>1959</v>
      </c>
      <c r="AT30" s="102"/>
      <c r="AU30" s="101"/>
      <c r="AV30" s="101"/>
      <c r="AW30" s="1900"/>
      <c r="AX30" s="1902"/>
      <c r="AY30" s="102"/>
      <c r="AZ30" s="101"/>
      <c r="BA30" s="101"/>
      <c r="BB30" s="101"/>
      <c r="BC30" s="101"/>
      <c r="BD30" s="101"/>
      <c r="BE30" s="101"/>
      <c r="BF30" s="101"/>
      <c r="BG30" s="101"/>
      <c r="BH30" s="597"/>
      <c r="BI30" s="1879" t="s">
        <v>1959</v>
      </c>
      <c r="BJ30" s="102"/>
      <c r="BK30" s="101"/>
      <c r="BL30" s="101"/>
      <c r="BM30" s="101"/>
      <c r="BN30" s="101"/>
      <c r="BO30" s="101"/>
      <c r="BP30" s="101"/>
      <c r="BQ30" s="101"/>
      <c r="BR30" s="101"/>
      <c r="BS30" s="101"/>
      <c r="BT30" s="81"/>
      <c r="BU30" s="81"/>
      <c r="BV30" s="81"/>
      <c r="BW30" s="81"/>
      <c r="BX30" s="81"/>
      <c r="BY30" s="81"/>
      <c r="BZ30" s="81"/>
      <c r="CA30" s="81"/>
      <c r="CB30" s="81"/>
      <c r="CC30" s="81"/>
      <c r="CD30" s="81"/>
      <c r="CE30" s="81"/>
      <c r="CF30" s="81"/>
      <c r="CG30" s="81"/>
      <c r="CH30" s="81"/>
      <c r="CI30" s="81"/>
      <c r="CJ30" s="81"/>
      <c r="CK30" s="81"/>
      <c r="CL30" s="81"/>
      <c r="CM30" s="81"/>
      <c r="CN30" s="81"/>
      <c r="CO30" s="81"/>
      <c r="CP30" s="81"/>
      <c r="CQ30" s="81"/>
      <c r="CR30" s="81"/>
      <c r="CS30" s="81"/>
      <c r="CT30" s="81"/>
    </row>
    <row r="31" spans="1:98" ht="40.799999999999997" x14ac:dyDescent="0.25">
      <c r="A31" s="79"/>
      <c r="B31" s="2665"/>
      <c r="C31" s="71" t="s">
        <v>414</v>
      </c>
      <c r="D31" s="1903" t="s">
        <v>1902</v>
      </c>
      <c r="E31" s="425"/>
      <c r="F31" s="678" t="s">
        <v>1190</v>
      </c>
      <c r="G31" s="1324"/>
      <c r="H31" s="249"/>
      <c r="I31" s="252"/>
      <c r="J31" s="1330"/>
      <c r="K31" s="1993" t="str">
        <f t="shared" ref="K31:S31" si="0">IF(K30="Yes",50%,"n/a")</f>
        <v>n/a</v>
      </c>
      <c r="L31" s="1969" t="str">
        <f t="shared" si="0"/>
        <v>n/a</v>
      </c>
      <c r="M31" s="1969" t="str">
        <f t="shared" si="0"/>
        <v>n/a</v>
      </c>
      <c r="N31" s="1969" t="str">
        <f t="shared" si="0"/>
        <v>n/a</v>
      </c>
      <c r="O31" s="1969" t="str">
        <f t="shared" si="0"/>
        <v>n/a</v>
      </c>
      <c r="P31" s="1969" t="str">
        <f t="shared" si="0"/>
        <v>n/a</v>
      </c>
      <c r="Q31" s="1969" t="str">
        <f t="shared" si="0"/>
        <v>n/a</v>
      </c>
      <c r="R31" s="1969" t="str">
        <f t="shared" si="0"/>
        <v>n/a</v>
      </c>
      <c r="S31" s="1969" t="str">
        <f t="shared" si="0"/>
        <v>n/a</v>
      </c>
      <c r="T31" s="426"/>
      <c r="U31" s="1969"/>
      <c r="V31" s="1970" t="str">
        <f t="shared" ref="V31:AS31" si="1">IF(V30="Yes","","n/a")</f>
        <v>n/a</v>
      </c>
      <c r="W31" s="1970" t="str">
        <f t="shared" si="1"/>
        <v>n/a</v>
      </c>
      <c r="X31" s="1970" t="str">
        <f t="shared" si="1"/>
        <v>n/a</v>
      </c>
      <c r="Y31" s="1970" t="str">
        <f t="shared" si="1"/>
        <v>n/a</v>
      </c>
      <c r="Z31" s="1970" t="str">
        <f t="shared" si="1"/>
        <v>n/a</v>
      </c>
      <c r="AA31" s="1970" t="str">
        <f t="shared" si="1"/>
        <v>n/a</v>
      </c>
      <c r="AB31" s="1970" t="str">
        <f t="shared" si="1"/>
        <v>n/a</v>
      </c>
      <c r="AC31" s="1970" t="str">
        <f t="shared" si="1"/>
        <v>n/a</v>
      </c>
      <c r="AD31" s="1970" t="str">
        <f t="shared" si="1"/>
        <v>n/a</v>
      </c>
      <c r="AE31" s="1970" t="str">
        <f t="shared" si="1"/>
        <v>n/a</v>
      </c>
      <c r="AF31" s="1970" t="str">
        <f t="shared" si="1"/>
        <v>n/a</v>
      </c>
      <c r="AG31" s="1970" t="str">
        <f t="shared" si="1"/>
        <v>n/a</v>
      </c>
      <c r="AH31" s="1970" t="str">
        <f t="shared" si="1"/>
        <v>n/a</v>
      </c>
      <c r="AI31" s="1970" t="str">
        <f t="shared" si="1"/>
        <v>n/a</v>
      </c>
      <c r="AJ31" s="1970" t="str">
        <f t="shared" si="1"/>
        <v>n/a</v>
      </c>
      <c r="AK31" s="1970" t="str">
        <f t="shared" si="1"/>
        <v>n/a</v>
      </c>
      <c r="AL31" s="1971" t="str">
        <f t="shared" si="1"/>
        <v/>
      </c>
      <c r="AM31" s="1971" t="str">
        <f t="shared" si="1"/>
        <v/>
      </c>
      <c r="AN31" s="1971" t="str">
        <f t="shared" si="1"/>
        <v/>
      </c>
      <c r="AO31" s="1970" t="str">
        <f t="shared" si="1"/>
        <v>n/a</v>
      </c>
      <c r="AP31" s="1970" t="str">
        <f t="shared" si="1"/>
        <v>n/a</v>
      </c>
      <c r="AQ31" s="1970" t="str">
        <f t="shared" si="1"/>
        <v>n/a</v>
      </c>
      <c r="AR31" s="1970" t="str">
        <f t="shared" si="1"/>
        <v>n/a</v>
      </c>
      <c r="AS31" s="1970" t="str">
        <f t="shared" si="1"/>
        <v>n/a</v>
      </c>
      <c r="AT31" s="102"/>
      <c r="AU31" s="101"/>
      <c r="AV31" s="101"/>
      <c r="AW31" s="1900"/>
      <c r="AX31" s="1902"/>
      <c r="AY31" s="102"/>
      <c r="AZ31" s="101"/>
      <c r="BA31" s="101"/>
      <c r="BB31" s="101"/>
      <c r="BC31" s="101"/>
      <c r="BD31" s="101"/>
      <c r="BE31" s="101"/>
      <c r="BF31" s="101"/>
      <c r="BG31" s="101"/>
      <c r="BH31" s="1969" t="str">
        <f>IF(BH30="Yes",50%,"n/a")</f>
        <v>n/a</v>
      </c>
      <c r="BI31" s="1970" t="str">
        <f>IF(BI30="Yes","","n/a")</f>
        <v>n/a</v>
      </c>
      <c r="BJ31" s="102"/>
      <c r="BK31" s="101"/>
      <c r="BL31" s="101"/>
      <c r="BM31" s="101"/>
      <c r="BN31" s="101"/>
      <c r="BO31" s="101"/>
      <c r="BP31" s="101"/>
      <c r="BQ31" s="101"/>
      <c r="BR31" s="101"/>
      <c r="BS31" s="101"/>
    </row>
    <row r="32" spans="1:98" s="79" customFormat="1" x14ac:dyDescent="0.3">
      <c r="B32" s="2650" t="s">
        <v>344</v>
      </c>
      <c r="C32" s="72" t="s">
        <v>415</v>
      </c>
      <c r="D32" s="2667" t="s">
        <v>1903</v>
      </c>
      <c r="E32" s="1320"/>
      <c r="F32" s="679" t="s">
        <v>243</v>
      </c>
      <c r="G32" s="714"/>
      <c r="H32" s="227"/>
      <c r="I32" s="228"/>
      <c r="J32" s="714"/>
      <c r="K32" s="699">
        <v>83</v>
      </c>
      <c r="L32" s="240">
        <v>100.9</v>
      </c>
      <c r="M32" s="240">
        <v>88.5</v>
      </c>
      <c r="N32" s="240">
        <v>56.6</v>
      </c>
      <c r="O32" s="240">
        <v>2.2000000000000002</v>
      </c>
      <c r="P32" s="240">
        <v>23.2</v>
      </c>
      <c r="Q32" s="240">
        <v>21.9</v>
      </c>
      <c r="R32" s="240">
        <v>7.7</v>
      </c>
      <c r="S32" s="240">
        <v>5.2</v>
      </c>
      <c r="T32" s="714"/>
      <c r="U32" s="269">
        <v>5.37</v>
      </c>
      <c r="V32" s="269">
        <v>1.88</v>
      </c>
      <c r="W32" s="269">
        <v>4.45</v>
      </c>
      <c r="X32" s="269">
        <v>8.66</v>
      </c>
      <c r="Y32" s="269">
        <v>12.27</v>
      </c>
      <c r="Z32" s="269">
        <v>10.02</v>
      </c>
      <c r="AA32" s="269">
        <v>7.79</v>
      </c>
      <c r="AB32" s="269">
        <f>21.82*(6450/(6450+8539))</f>
        <v>9.3894856227900458</v>
      </c>
      <c r="AC32" s="269">
        <f>21.82*(8539/(6450+8539))</f>
        <v>12.430514377209954</v>
      </c>
      <c r="AD32" s="269">
        <v>3.05</v>
      </c>
      <c r="AE32" s="269">
        <v>13.95</v>
      </c>
      <c r="AF32" s="269">
        <v>7.2450000000000001</v>
      </c>
      <c r="AG32" s="269">
        <v>9.3000000000000007</v>
      </c>
      <c r="AH32" s="269">
        <v>7.7480000000000002</v>
      </c>
      <c r="AI32" s="269">
        <v>4.32</v>
      </c>
      <c r="AJ32" s="269">
        <v>7.02</v>
      </c>
      <c r="AK32" s="269">
        <v>2.44</v>
      </c>
      <c r="AL32" s="269">
        <v>22.14</v>
      </c>
      <c r="AM32" s="269">
        <v>11.04</v>
      </c>
      <c r="AN32" s="269">
        <v>19.260000000000002</v>
      </c>
      <c r="AO32" s="269">
        <v>2.84</v>
      </c>
      <c r="AP32" s="269">
        <v>0.4</v>
      </c>
      <c r="AQ32" s="269">
        <v>0.28000000000000003</v>
      </c>
      <c r="AR32" s="269">
        <v>19.212</v>
      </c>
      <c r="AS32" s="269"/>
      <c r="AT32" s="102"/>
      <c r="AU32" s="101"/>
      <c r="AV32" s="101"/>
      <c r="AW32" s="1900"/>
      <c r="AX32" s="1902"/>
      <c r="AY32" s="102"/>
      <c r="AZ32" s="101"/>
      <c r="BA32" s="101"/>
      <c r="BB32" s="101"/>
      <c r="BC32" s="101"/>
      <c r="BD32" s="101"/>
      <c r="BE32" s="101"/>
      <c r="BF32" s="101"/>
      <c r="BG32" s="101"/>
      <c r="BH32" s="240"/>
      <c r="BI32" s="269"/>
      <c r="BJ32" s="102"/>
      <c r="BK32" s="101"/>
      <c r="BL32" s="101"/>
      <c r="BM32" s="101"/>
      <c r="BN32" s="101"/>
      <c r="BO32" s="101"/>
      <c r="BP32" s="101"/>
      <c r="BQ32" s="101"/>
      <c r="BR32" s="101"/>
      <c r="BS32" s="101"/>
      <c r="BT32" s="81"/>
      <c r="BU32" s="81"/>
      <c r="BV32" s="81"/>
      <c r="BW32" s="81"/>
      <c r="BX32" s="81"/>
      <c r="BY32" s="81"/>
      <c r="BZ32" s="81"/>
      <c r="CA32" s="81"/>
      <c r="CB32" s="81"/>
      <c r="CC32" s="81"/>
      <c r="CD32" s="81"/>
      <c r="CE32" s="81"/>
      <c r="CF32" s="81"/>
      <c r="CG32" s="81"/>
      <c r="CH32" s="81"/>
      <c r="CI32" s="81"/>
      <c r="CJ32" s="81"/>
      <c r="CK32" s="81"/>
      <c r="CL32" s="81"/>
      <c r="CM32" s="81"/>
      <c r="CN32" s="81"/>
      <c r="CO32" s="81"/>
      <c r="CP32" s="81"/>
      <c r="CQ32" s="81"/>
      <c r="CR32" s="81"/>
      <c r="CS32" s="81"/>
      <c r="CT32" s="81"/>
    </row>
    <row r="33" spans="2:98" s="79" customFormat="1" x14ac:dyDescent="0.3">
      <c r="B33" s="2651"/>
      <c r="C33" s="70" t="s">
        <v>416</v>
      </c>
      <c r="D33" s="2668"/>
      <c r="E33" s="1320"/>
      <c r="F33" s="680" t="s">
        <v>243</v>
      </c>
      <c r="G33" s="714"/>
      <c r="H33" s="231"/>
      <c r="I33" s="236"/>
      <c r="J33" s="714"/>
      <c r="K33" s="700"/>
      <c r="L33" s="241"/>
      <c r="M33" s="241"/>
      <c r="N33" s="241"/>
      <c r="O33" s="241"/>
      <c r="P33" s="241"/>
      <c r="Q33" s="241"/>
      <c r="R33" s="241"/>
      <c r="S33" s="241"/>
      <c r="T33" s="714"/>
      <c r="U33" s="270"/>
      <c r="V33" s="270"/>
      <c r="W33" s="270"/>
      <c r="X33" s="270"/>
      <c r="Y33" s="270"/>
      <c r="Z33" s="270"/>
      <c r="AA33" s="270"/>
      <c r="AB33" s="270"/>
      <c r="AC33" s="270"/>
      <c r="AD33" s="270"/>
      <c r="AE33" s="270"/>
      <c r="AF33" s="270"/>
      <c r="AG33" s="270"/>
      <c r="AH33" s="270"/>
      <c r="AI33" s="270"/>
      <c r="AJ33" s="270"/>
      <c r="AK33" s="270"/>
      <c r="AL33" s="270"/>
      <c r="AM33" s="270"/>
      <c r="AN33" s="270"/>
      <c r="AO33" s="270"/>
      <c r="AP33" s="270"/>
      <c r="AQ33" s="270"/>
      <c r="AR33" s="270"/>
      <c r="AS33" s="270"/>
      <c r="AT33" s="102"/>
      <c r="AU33" s="101"/>
      <c r="AV33" s="101"/>
      <c r="AW33" s="1900"/>
      <c r="AX33" s="1902"/>
      <c r="AY33" s="102"/>
      <c r="AZ33" s="101"/>
      <c r="BA33" s="101"/>
      <c r="BB33" s="101"/>
      <c r="BC33" s="101"/>
      <c r="BD33" s="101"/>
      <c r="BE33" s="101"/>
      <c r="BF33" s="101"/>
      <c r="BG33" s="101"/>
      <c r="BH33" s="241"/>
      <c r="BI33" s="270"/>
      <c r="BJ33" s="102"/>
      <c r="BK33" s="101"/>
      <c r="BL33" s="101"/>
      <c r="BM33" s="101"/>
      <c r="BN33" s="101"/>
      <c r="BO33" s="101"/>
      <c r="BP33" s="101"/>
      <c r="BQ33" s="101"/>
      <c r="BR33" s="101"/>
      <c r="BS33" s="101"/>
      <c r="BT33" s="81"/>
      <c r="BU33" s="81"/>
      <c r="BV33" s="81"/>
      <c r="BW33" s="81"/>
      <c r="BX33" s="81"/>
      <c r="BY33" s="81"/>
      <c r="BZ33" s="81"/>
      <c r="CA33" s="81"/>
      <c r="CB33" s="81"/>
      <c r="CC33" s="81"/>
      <c r="CD33" s="81"/>
      <c r="CE33" s="81"/>
      <c r="CF33" s="81"/>
      <c r="CG33" s="81"/>
      <c r="CH33" s="81"/>
      <c r="CI33" s="81"/>
      <c r="CJ33" s="81"/>
      <c r="CK33" s="81"/>
      <c r="CL33" s="81"/>
      <c r="CM33" s="81"/>
      <c r="CN33" s="81"/>
      <c r="CO33" s="81"/>
      <c r="CP33" s="81"/>
      <c r="CQ33" s="81"/>
      <c r="CR33" s="81"/>
      <c r="CS33" s="81"/>
      <c r="CT33" s="81"/>
    </row>
    <row r="34" spans="2:98" s="79" customFormat="1" x14ac:dyDescent="0.3">
      <c r="B34" s="2651"/>
      <c r="C34" s="70" t="s">
        <v>417</v>
      </c>
      <c r="D34" s="2668"/>
      <c r="E34" s="1320"/>
      <c r="F34" s="680" t="s">
        <v>243</v>
      </c>
      <c r="G34" s="714"/>
      <c r="H34" s="233"/>
      <c r="I34" s="237"/>
      <c r="J34" s="714"/>
      <c r="K34" s="700"/>
      <c r="L34" s="241"/>
      <c r="M34" s="241"/>
      <c r="N34" s="241"/>
      <c r="O34" s="241"/>
      <c r="P34" s="241"/>
      <c r="Q34" s="241"/>
      <c r="R34" s="241"/>
      <c r="S34" s="241"/>
      <c r="T34" s="714"/>
      <c r="U34" s="270"/>
      <c r="V34" s="270"/>
      <c r="W34" s="270"/>
      <c r="X34" s="270"/>
      <c r="Y34" s="270"/>
      <c r="Z34" s="270"/>
      <c r="AA34" s="270"/>
      <c r="AB34" s="270"/>
      <c r="AC34" s="270"/>
      <c r="AD34" s="270"/>
      <c r="AE34" s="270"/>
      <c r="AF34" s="270"/>
      <c r="AG34" s="270"/>
      <c r="AH34" s="270"/>
      <c r="AI34" s="270"/>
      <c r="AJ34" s="270"/>
      <c r="AK34" s="270"/>
      <c r="AL34" s="270">
        <v>5.96</v>
      </c>
      <c r="AM34" s="270">
        <v>5.5</v>
      </c>
      <c r="AN34" s="270">
        <v>10.14</v>
      </c>
      <c r="AO34" s="270"/>
      <c r="AP34" s="270"/>
      <c r="AQ34" s="270"/>
      <c r="AR34" s="270"/>
      <c r="AS34" s="270"/>
      <c r="AT34" s="102"/>
      <c r="AU34" s="101"/>
      <c r="AV34" s="101"/>
      <c r="AW34" s="1900"/>
      <c r="AX34" s="1902"/>
      <c r="AY34" s="102"/>
      <c r="AZ34" s="101"/>
      <c r="BA34" s="101"/>
      <c r="BB34" s="101"/>
      <c r="BC34" s="101"/>
      <c r="BD34" s="101"/>
      <c r="BE34" s="101"/>
      <c r="BF34" s="101"/>
      <c r="BG34" s="101"/>
      <c r="BH34" s="241"/>
      <c r="BI34" s="270"/>
      <c r="BJ34" s="102"/>
      <c r="BK34" s="101"/>
      <c r="BL34" s="101"/>
      <c r="BM34" s="101"/>
      <c r="BN34" s="101"/>
      <c r="BO34" s="101"/>
      <c r="BP34" s="101"/>
      <c r="BQ34" s="101"/>
      <c r="BR34" s="101"/>
      <c r="BS34" s="101"/>
      <c r="BT34" s="81"/>
      <c r="BU34" s="81"/>
      <c r="BV34" s="81"/>
      <c r="BW34" s="81"/>
      <c r="BX34" s="81"/>
      <c r="BY34" s="81"/>
      <c r="BZ34" s="81"/>
      <c r="CA34" s="81"/>
      <c r="CB34" s="81"/>
      <c r="CC34" s="81"/>
      <c r="CD34" s="81"/>
      <c r="CE34" s="81"/>
      <c r="CF34" s="81"/>
      <c r="CG34" s="81"/>
      <c r="CH34" s="81"/>
      <c r="CI34" s="81"/>
      <c r="CJ34" s="81"/>
      <c r="CK34" s="81"/>
      <c r="CL34" s="81"/>
      <c r="CM34" s="81"/>
      <c r="CN34" s="81"/>
      <c r="CO34" s="81"/>
      <c r="CP34" s="81"/>
      <c r="CQ34" s="81"/>
      <c r="CR34" s="81"/>
      <c r="CS34" s="81"/>
      <c r="CT34" s="81"/>
    </row>
    <row r="35" spans="2:98" s="79" customFormat="1" x14ac:dyDescent="0.3">
      <c r="B35" s="2651"/>
      <c r="C35" s="70" t="s">
        <v>418</v>
      </c>
      <c r="D35" s="2668"/>
      <c r="E35" s="1320"/>
      <c r="F35" s="680" t="s">
        <v>243</v>
      </c>
      <c r="G35" s="1325"/>
      <c r="H35" s="224">
        <f>SUMIF($H$8:$LM$8, "Baseline", $H35:$LM35)</f>
        <v>389.19999999999993</v>
      </c>
      <c r="I35" s="225">
        <f>SUMIF($H$8:$LM$8, "Proposed", $H35:$LM35)</f>
        <v>224.10499999999999</v>
      </c>
      <c r="J35" s="1331"/>
      <c r="K35" s="701">
        <f t="shared" ref="K35:S35" si="2">SUM(K32:K34)</f>
        <v>83</v>
      </c>
      <c r="L35" s="242">
        <f t="shared" si="2"/>
        <v>100.9</v>
      </c>
      <c r="M35" s="242">
        <f t="shared" si="2"/>
        <v>88.5</v>
      </c>
      <c r="N35" s="242">
        <f t="shared" si="2"/>
        <v>56.6</v>
      </c>
      <c r="O35" s="242">
        <f t="shared" si="2"/>
        <v>2.2000000000000002</v>
      </c>
      <c r="P35" s="242">
        <f t="shared" si="2"/>
        <v>23.2</v>
      </c>
      <c r="Q35" s="242">
        <f t="shared" si="2"/>
        <v>21.9</v>
      </c>
      <c r="R35" s="242">
        <f t="shared" si="2"/>
        <v>7.7</v>
      </c>
      <c r="S35" s="242">
        <f t="shared" si="2"/>
        <v>5.2</v>
      </c>
      <c r="T35" s="714"/>
      <c r="U35" s="271">
        <f t="shared" ref="U35:AS35" si="3">SUM(U32:U34)</f>
        <v>5.37</v>
      </c>
      <c r="V35" s="271">
        <f t="shared" si="3"/>
        <v>1.88</v>
      </c>
      <c r="W35" s="271">
        <f t="shared" si="3"/>
        <v>4.45</v>
      </c>
      <c r="X35" s="271">
        <f t="shared" si="3"/>
        <v>8.66</v>
      </c>
      <c r="Y35" s="271">
        <f t="shared" si="3"/>
        <v>12.27</v>
      </c>
      <c r="Z35" s="271">
        <f t="shared" si="3"/>
        <v>10.02</v>
      </c>
      <c r="AA35" s="271">
        <f t="shared" si="3"/>
        <v>7.79</v>
      </c>
      <c r="AB35" s="271">
        <f t="shared" si="3"/>
        <v>9.3894856227900458</v>
      </c>
      <c r="AC35" s="271">
        <f t="shared" si="3"/>
        <v>12.430514377209954</v>
      </c>
      <c r="AD35" s="271">
        <f t="shared" si="3"/>
        <v>3.05</v>
      </c>
      <c r="AE35" s="271">
        <f t="shared" si="3"/>
        <v>13.95</v>
      </c>
      <c r="AF35" s="271">
        <f t="shared" si="3"/>
        <v>7.2450000000000001</v>
      </c>
      <c r="AG35" s="271">
        <f t="shared" si="3"/>
        <v>9.3000000000000007</v>
      </c>
      <c r="AH35" s="271">
        <f t="shared" si="3"/>
        <v>7.7480000000000002</v>
      </c>
      <c r="AI35" s="271">
        <f t="shared" si="3"/>
        <v>4.32</v>
      </c>
      <c r="AJ35" s="271">
        <f t="shared" si="3"/>
        <v>7.02</v>
      </c>
      <c r="AK35" s="271">
        <f t="shared" si="3"/>
        <v>2.44</v>
      </c>
      <c r="AL35" s="271">
        <f t="shared" si="3"/>
        <v>28.1</v>
      </c>
      <c r="AM35" s="271">
        <f t="shared" si="3"/>
        <v>16.54</v>
      </c>
      <c r="AN35" s="271">
        <f t="shared" si="3"/>
        <v>29.400000000000002</v>
      </c>
      <c r="AO35" s="271">
        <f t="shared" si="3"/>
        <v>2.84</v>
      </c>
      <c r="AP35" s="271">
        <f t="shared" si="3"/>
        <v>0.4</v>
      </c>
      <c r="AQ35" s="271">
        <f t="shared" si="3"/>
        <v>0.28000000000000003</v>
      </c>
      <c r="AR35" s="271">
        <f t="shared" si="3"/>
        <v>19.212</v>
      </c>
      <c r="AS35" s="271">
        <f t="shared" si="3"/>
        <v>0</v>
      </c>
      <c r="AT35" s="102"/>
      <c r="AU35" s="101"/>
      <c r="AV35" s="101"/>
      <c r="AW35" s="1900"/>
      <c r="AX35" s="1902"/>
      <c r="AY35" s="102"/>
      <c r="AZ35" s="101"/>
      <c r="BA35" s="101"/>
      <c r="BB35" s="101"/>
      <c r="BC35" s="101"/>
      <c r="BD35" s="101"/>
      <c r="BE35" s="101"/>
      <c r="BF35" s="101"/>
      <c r="BG35" s="101"/>
      <c r="BH35" s="242">
        <f>SUM(BH32:BH34)</f>
        <v>0</v>
      </c>
      <c r="BI35" s="271">
        <f>SUM(BI32:BI34)</f>
        <v>0</v>
      </c>
      <c r="BJ35" s="102"/>
      <c r="BK35" s="101"/>
      <c r="BL35" s="101"/>
      <c r="BM35" s="101"/>
      <c r="BN35" s="101"/>
      <c r="BO35" s="101"/>
      <c r="BP35" s="101"/>
      <c r="BQ35" s="101"/>
      <c r="BR35" s="101"/>
      <c r="BS35" s="101"/>
      <c r="BT35" s="81"/>
      <c r="BU35" s="81"/>
      <c r="BV35" s="81"/>
      <c r="BW35" s="81"/>
      <c r="BX35" s="81"/>
      <c r="BY35" s="81"/>
      <c r="BZ35" s="81"/>
      <c r="CA35" s="81"/>
      <c r="CB35" s="81"/>
      <c r="CC35" s="81"/>
      <c r="CD35" s="81"/>
      <c r="CE35" s="81"/>
      <c r="CF35" s="81"/>
      <c r="CG35" s="81"/>
      <c r="CH35" s="81"/>
      <c r="CI35" s="81"/>
      <c r="CJ35" s="81"/>
      <c r="CK35" s="81"/>
      <c r="CL35" s="81"/>
      <c r="CM35" s="81"/>
      <c r="CN35" s="81"/>
      <c r="CO35" s="81"/>
      <c r="CP35" s="81"/>
      <c r="CQ35" s="81"/>
      <c r="CR35" s="81"/>
      <c r="CS35" s="81"/>
      <c r="CT35" s="81"/>
    </row>
    <row r="36" spans="2:98" s="79" customFormat="1" x14ac:dyDescent="0.3">
      <c r="B36" s="513"/>
      <c r="C36" s="71" t="s">
        <v>419</v>
      </c>
      <c r="D36" s="2669"/>
      <c r="E36" s="1319"/>
      <c r="F36" s="681" t="s">
        <v>243</v>
      </c>
      <c r="G36" s="712"/>
      <c r="H36" s="243"/>
      <c r="I36" s="244"/>
      <c r="J36" s="712"/>
      <c r="K36" s="702">
        <f t="shared" ref="K36:S36" si="4">IF(OR(ISERROR(1/K$25),ISERROR(1/K$16)),"",IF(VLOOKUP(K$12,Fanslookup,13,FALSE)=1,(IF(SI_IP_Units="SI",VLOOKUP((VLOOKUP(K$12,Fanslookup,12,FALSE)*K$25+K$66)/K$16,Motor_Horsepower_Nominal_Efficiency_SI,4,TRUE)*(VLOOKUP(K$12,Fanslookup,12,FALSE)*K$25+K$66),VLOOKUP((VLOOKUP(K$12,Fanslookup,11,FALSE)*K$25+K$66)/K$16,Motor_Horsepower_Nominal_Efficiency_IP,5,TRUE)*(VLOOKUP(K$12,Fanslookup,11,FALSE)*K$25+K$66))),(IF(SI_IP_Units="IP",VLOOKUP(K$12,Fanslookup,11,FALSE),VLOOKUP(K$12,Fanslookup,12,FALSE))*K$25+VLOOKUP(K$12,Fanslookup,15,FALSE)*K$67*$K$68)))</f>
        <v>82.959706959706963</v>
      </c>
      <c r="L36" s="702">
        <f t="shared" si="4"/>
        <v>100.90554655870446</v>
      </c>
      <c r="M36" s="702">
        <f t="shared" si="4"/>
        <v>88.542490842490849</v>
      </c>
      <c r="N36" s="702">
        <f t="shared" si="4"/>
        <v>56.637783045859564</v>
      </c>
      <c r="O36" s="702">
        <f t="shared" si="4"/>
        <v>2.1839999999999997</v>
      </c>
      <c r="P36" s="702">
        <f t="shared" si="4"/>
        <v>23.232017982017979</v>
      </c>
      <c r="Q36" s="702">
        <f t="shared" si="4"/>
        <v>21.963636363636365</v>
      </c>
      <c r="R36" s="702">
        <f t="shared" si="4"/>
        <v>7.7321428571428568</v>
      </c>
      <c r="S36" s="702">
        <f t="shared" si="4"/>
        <v>5.2481306403094115</v>
      </c>
      <c r="T36" s="712"/>
      <c r="U36" s="268" t="s">
        <v>337</v>
      </c>
      <c r="V36" s="268" t="s">
        <v>337</v>
      </c>
      <c r="W36" s="268" t="s">
        <v>337</v>
      </c>
      <c r="X36" s="268" t="s">
        <v>337</v>
      </c>
      <c r="Y36" s="268" t="s">
        <v>337</v>
      </c>
      <c r="Z36" s="268" t="s">
        <v>337</v>
      </c>
      <c r="AA36" s="268" t="s">
        <v>337</v>
      </c>
      <c r="AB36" s="268" t="s">
        <v>337</v>
      </c>
      <c r="AC36" s="268" t="s">
        <v>337</v>
      </c>
      <c r="AD36" s="268" t="s">
        <v>337</v>
      </c>
      <c r="AE36" s="268" t="s">
        <v>337</v>
      </c>
      <c r="AF36" s="268" t="s">
        <v>337</v>
      </c>
      <c r="AG36" s="268" t="s">
        <v>337</v>
      </c>
      <c r="AH36" s="268" t="s">
        <v>337</v>
      </c>
      <c r="AI36" s="268" t="s">
        <v>337</v>
      </c>
      <c r="AJ36" s="268" t="s">
        <v>337</v>
      </c>
      <c r="AK36" s="268" t="s">
        <v>337</v>
      </c>
      <c r="AL36" s="268" t="s">
        <v>337</v>
      </c>
      <c r="AM36" s="268" t="s">
        <v>337</v>
      </c>
      <c r="AN36" s="268" t="s">
        <v>337</v>
      </c>
      <c r="AO36" s="268" t="s">
        <v>337</v>
      </c>
      <c r="AP36" s="268" t="s">
        <v>337</v>
      </c>
      <c r="AQ36" s="268" t="s">
        <v>337</v>
      </c>
      <c r="AR36" s="268" t="s">
        <v>337</v>
      </c>
      <c r="AS36" s="268" t="s">
        <v>337</v>
      </c>
      <c r="AT36" s="102"/>
      <c r="AU36" s="101"/>
      <c r="AV36" s="101"/>
      <c r="AW36" s="1900"/>
      <c r="AX36" s="1902"/>
      <c r="AY36" s="102"/>
      <c r="AZ36" s="101"/>
      <c r="BA36" s="101"/>
      <c r="BB36" s="101"/>
      <c r="BC36" s="101"/>
      <c r="BD36" s="101"/>
      <c r="BE36" s="101"/>
      <c r="BF36" s="101"/>
      <c r="BG36" s="101"/>
      <c r="BH36" s="702" t="str">
        <f>IF(OR(ISERROR(1/BH$25),ISERROR(1/BH$16)),"",IF(VLOOKUP(BH$12,Fanslookup,13,FALSE)=1,(IF(SI_IP_Units="SI",VLOOKUP((VLOOKUP(BH$12,Fanslookup,12,FALSE)*BH$25+BH$66)/BH$16,Motor_Horsepower_Nominal_Efficiency_SI,4,TRUE)*(VLOOKUP(BH$12,Fanslookup,12,FALSE)*BH$25+BH$66),VLOOKUP((VLOOKUP(BH$12,Fanslookup,11,FALSE)*BH$25+BH$66)/BH$16,Motor_Horsepower_Nominal_Efficiency_IP,5,TRUE)*(VLOOKUP(BH$12,Fanslookup,11,FALSE)*BH$25+BH$66))),(IF(SI_IP_Units="IP",VLOOKUP(BH$12,Fanslookup,11,FALSE),VLOOKUP(BH$12,Fanslookup,12,FALSE))*BH$25+VLOOKUP(BH$12,Fanslookup,15,FALSE)*BH$67*$K$68)))</f>
        <v/>
      </c>
      <c r="BI36" s="268" t="s">
        <v>337</v>
      </c>
      <c r="BJ36" s="102"/>
      <c r="BK36" s="101"/>
      <c r="BL36" s="101"/>
      <c r="BM36" s="101"/>
      <c r="BN36" s="101"/>
      <c r="BO36" s="101"/>
      <c r="BP36" s="101"/>
      <c r="BQ36" s="101"/>
      <c r="BR36" s="101"/>
      <c r="BS36" s="101"/>
      <c r="BT36" s="81"/>
      <c r="BU36" s="81"/>
      <c r="BV36" s="81"/>
      <c r="BW36" s="81"/>
      <c r="BX36" s="81"/>
      <c r="BY36" s="81"/>
      <c r="BZ36" s="81"/>
      <c r="CA36" s="81"/>
      <c r="CB36" s="81"/>
      <c r="CC36" s="81"/>
      <c r="CD36" s="81"/>
      <c r="CE36" s="81"/>
      <c r="CF36" s="81"/>
      <c r="CG36" s="81"/>
      <c r="CH36" s="81"/>
      <c r="CI36" s="81"/>
      <c r="CJ36" s="81"/>
      <c r="CK36" s="81"/>
      <c r="CL36" s="81"/>
      <c r="CM36" s="81"/>
      <c r="CN36" s="81"/>
      <c r="CO36" s="81"/>
      <c r="CP36" s="81"/>
      <c r="CQ36" s="81"/>
      <c r="CR36" s="81"/>
      <c r="CS36" s="81"/>
      <c r="CT36" s="81"/>
    </row>
    <row r="37" spans="2:98" s="79" customFormat="1" ht="31.5" customHeight="1" x14ac:dyDescent="0.3">
      <c r="B37" s="1231"/>
      <c r="C37" s="2658" t="s">
        <v>1904</v>
      </c>
      <c r="D37" s="2442"/>
      <c r="E37" s="1321"/>
      <c r="F37" s="1233"/>
      <c r="G37" s="1236"/>
      <c r="H37" s="1234"/>
      <c r="I37" s="1234"/>
      <c r="J37" s="1236"/>
      <c r="K37" s="1235"/>
      <c r="L37" s="1232"/>
      <c r="M37" s="1232"/>
      <c r="N37" s="1232"/>
      <c r="O37" s="1232"/>
      <c r="P37" s="1232"/>
      <c r="Q37" s="1232"/>
      <c r="R37" s="1232"/>
      <c r="S37" s="1232"/>
      <c r="T37" s="1236"/>
      <c r="U37" s="1237"/>
      <c r="V37" s="512"/>
      <c r="W37" s="512"/>
      <c r="X37" s="512"/>
      <c r="Y37" s="512"/>
      <c r="Z37" s="512"/>
      <c r="AA37" s="512"/>
      <c r="AB37" s="512"/>
      <c r="AC37" s="512"/>
      <c r="AD37" s="512"/>
      <c r="AE37" s="512"/>
      <c r="AF37" s="512"/>
      <c r="AG37" s="512"/>
      <c r="AH37" s="512"/>
      <c r="AI37" s="512"/>
      <c r="AJ37" s="512"/>
      <c r="AK37" s="512"/>
      <c r="AL37" s="512"/>
      <c r="AM37" s="512"/>
      <c r="AN37" s="512"/>
      <c r="AO37" s="512"/>
      <c r="AP37" s="512"/>
      <c r="AQ37" s="512"/>
      <c r="AR37" s="512"/>
      <c r="AS37" s="512"/>
      <c r="AT37" s="1237"/>
      <c r="AU37" s="101"/>
      <c r="AV37" s="101"/>
      <c r="AW37" s="101"/>
      <c r="AX37" s="1901"/>
      <c r="AY37" s="101"/>
      <c r="AZ37" s="101"/>
      <c r="BA37" s="101"/>
      <c r="BB37" s="101"/>
      <c r="BC37" s="101"/>
      <c r="BD37" s="101"/>
      <c r="BE37" s="101"/>
      <c r="BF37" s="101"/>
      <c r="BG37" s="101"/>
      <c r="BH37" s="1232"/>
      <c r="BI37" s="512"/>
      <c r="BJ37" s="102"/>
      <c r="BK37" s="101"/>
      <c r="BL37" s="101"/>
      <c r="BM37" s="101"/>
      <c r="BN37" s="101"/>
      <c r="BO37" s="101"/>
      <c r="BP37" s="101"/>
      <c r="BQ37" s="101"/>
      <c r="BR37" s="101"/>
      <c r="BS37" s="101"/>
      <c r="BT37" s="81"/>
      <c r="BU37" s="81"/>
      <c r="BV37" s="81"/>
      <c r="BW37" s="81"/>
      <c r="BX37" s="81"/>
      <c r="BY37" s="81"/>
      <c r="BZ37" s="81"/>
      <c r="CA37" s="81"/>
      <c r="CB37" s="81"/>
      <c r="CC37" s="81"/>
      <c r="CD37" s="81"/>
      <c r="CE37" s="81"/>
      <c r="CF37" s="81"/>
      <c r="CG37" s="81"/>
      <c r="CH37" s="81"/>
      <c r="CI37" s="81"/>
      <c r="CJ37" s="81"/>
      <c r="CK37" s="81"/>
      <c r="CL37" s="81"/>
      <c r="CM37" s="81"/>
      <c r="CN37" s="81"/>
      <c r="CO37" s="81"/>
      <c r="CP37" s="81"/>
      <c r="CQ37" s="81"/>
      <c r="CR37" s="81"/>
      <c r="CS37" s="81"/>
      <c r="CT37" s="81"/>
    </row>
    <row r="38" spans="2:98" s="79" customFormat="1" x14ac:dyDescent="0.3">
      <c r="B38" s="2648" t="s">
        <v>1045</v>
      </c>
      <c r="C38" s="2657" t="s">
        <v>249</v>
      </c>
      <c r="D38" s="2667" t="s">
        <v>1905</v>
      </c>
      <c r="E38" s="710"/>
      <c r="F38" s="223" t="str">
        <f>IF('General Information'!$I$12="IP","CFMD: cfm","CFMD: L/s")</f>
        <v>CFMD: L/s</v>
      </c>
      <c r="G38" s="713"/>
      <c r="H38" s="245"/>
      <c r="I38" s="246"/>
      <c r="J38" s="713"/>
      <c r="K38" s="703"/>
      <c r="L38" s="247"/>
      <c r="M38" s="247"/>
      <c r="N38" s="247"/>
      <c r="O38" s="247"/>
      <c r="P38" s="247"/>
      <c r="Q38" s="247"/>
      <c r="R38" s="247"/>
      <c r="S38" s="247"/>
      <c r="T38" s="713"/>
      <c r="U38" s="272" t="s">
        <v>337</v>
      </c>
      <c r="V38" s="272" t="s">
        <v>337</v>
      </c>
      <c r="W38" s="272" t="s">
        <v>337</v>
      </c>
      <c r="X38" s="272" t="s">
        <v>337</v>
      </c>
      <c r="Y38" s="272" t="s">
        <v>337</v>
      </c>
      <c r="Z38" s="272" t="s">
        <v>337</v>
      </c>
      <c r="AA38" s="272" t="s">
        <v>337</v>
      </c>
      <c r="AB38" s="272" t="s">
        <v>337</v>
      </c>
      <c r="AC38" s="272" t="s">
        <v>337</v>
      </c>
      <c r="AD38" s="272" t="s">
        <v>337</v>
      </c>
      <c r="AE38" s="272" t="s">
        <v>337</v>
      </c>
      <c r="AF38" s="272" t="s">
        <v>337</v>
      </c>
      <c r="AG38" s="272" t="s">
        <v>337</v>
      </c>
      <c r="AH38" s="272" t="s">
        <v>337</v>
      </c>
      <c r="AI38" s="272" t="s">
        <v>337</v>
      </c>
      <c r="AJ38" s="272" t="s">
        <v>337</v>
      </c>
      <c r="AK38" s="272" t="s">
        <v>337</v>
      </c>
      <c r="AL38" s="272" t="s">
        <v>337</v>
      </c>
      <c r="AM38" s="272" t="s">
        <v>337</v>
      </c>
      <c r="AN38" s="272" t="s">
        <v>337</v>
      </c>
      <c r="AO38" s="272" t="s">
        <v>337</v>
      </c>
      <c r="AP38" s="272" t="s">
        <v>337</v>
      </c>
      <c r="AQ38" s="272" t="s">
        <v>337</v>
      </c>
      <c r="AR38" s="272" t="s">
        <v>337</v>
      </c>
      <c r="AS38" s="272" t="s">
        <v>337</v>
      </c>
      <c r="AT38" s="102"/>
      <c r="AU38" s="1292"/>
      <c r="AV38" s="101"/>
      <c r="AW38" s="1900"/>
      <c r="AX38" s="1902"/>
      <c r="AY38" s="102"/>
      <c r="AZ38" s="101"/>
      <c r="BA38" s="101"/>
      <c r="BB38" s="101"/>
      <c r="BC38" s="101"/>
      <c r="BD38" s="101"/>
      <c r="BE38" s="101"/>
      <c r="BF38" s="101"/>
      <c r="BG38" s="101"/>
      <c r="BH38" s="247"/>
      <c r="BI38" s="272" t="s">
        <v>337</v>
      </c>
      <c r="BJ38" s="102"/>
      <c r="BK38" s="101"/>
      <c r="BL38" s="101"/>
      <c r="BM38" s="101"/>
      <c r="BN38" s="101"/>
      <c r="BO38" s="101"/>
      <c r="BP38" s="101"/>
      <c r="BQ38" s="101"/>
      <c r="BR38" s="101"/>
      <c r="BS38" s="101"/>
      <c r="BT38" s="81"/>
      <c r="BU38" s="81"/>
      <c r="BV38" s="81"/>
      <c r="BW38" s="81"/>
      <c r="BX38" s="81"/>
      <c r="BY38" s="81"/>
      <c r="BZ38" s="81"/>
      <c r="CA38" s="81"/>
      <c r="CB38" s="81"/>
      <c r="CC38" s="81"/>
      <c r="CD38" s="81"/>
      <c r="CE38" s="81"/>
      <c r="CF38" s="81"/>
      <c r="CG38" s="81"/>
      <c r="CH38" s="81"/>
      <c r="CI38" s="81"/>
      <c r="CJ38" s="81"/>
      <c r="CK38" s="81"/>
      <c r="CL38" s="81"/>
      <c r="CM38" s="81"/>
      <c r="CN38" s="81"/>
      <c r="CO38" s="81"/>
      <c r="CP38" s="81"/>
      <c r="CQ38" s="81"/>
      <c r="CR38" s="81"/>
      <c r="CS38" s="81"/>
      <c r="CT38" s="81"/>
    </row>
    <row r="39" spans="2:98" s="79" customFormat="1" x14ac:dyDescent="0.25">
      <c r="B39" s="2648"/>
      <c r="C39" s="2656"/>
      <c r="D39" s="2669"/>
      <c r="E39" s="710"/>
      <c r="F39" s="223" t="str">
        <f>IF('General Information'!$I$12="IP","Adjustment: in. w. c.","Adjustment: Pa")</f>
        <v>Adjustment: Pa</v>
      </c>
      <c r="G39" s="713"/>
      <c r="H39" s="227"/>
      <c r="I39" s="228"/>
      <c r="J39" s="713"/>
      <c r="K39" s="693"/>
      <c r="L39" s="413"/>
      <c r="M39" s="413"/>
      <c r="N39" s="413"/>
      <c r="O39" s="413"/>
      <c r="P39" s="413"/>
      <c r="Q39" s="413"/>
      <c r="R39" s="413"/>
      <c r="S39" s="413"/>
      <c r="T39" s="713"/>
      <c r="U39" s="272" t="s">
        <v>337</v>
      </c>
      <c r="V39" s="272" t="s">
        <v>337</v>
      </c>
      <c r="W39" s="272" t="s">
        <v>337</v>
      </c>
      <c r="X39" s="272" t="s">
        <v>337</v>
      </c>
      <c r="Y39" s="272" t="s">
        <v>337</v>
      </c>
      <c r="Z39" s="272" t="s">
        <v>337</v>
      </c>
      <c r="AA39" s="272" t="s">
        <v>337</v>
      </c>
      <c r="AB39" s="272" t="s">
        <v>337</v>
      </c>
      <c r="AC39" s="272" t="s">
        <v>337</v>
      </c>
      <c r="AD39" s="272" t="s">
        <v>337</v>
      </c>
      <c r="AE39" s="272" t="s">
        <v>337</v>
      </c>
      <c r="AF39" s="272" t="s">
        <v>337</v>
      </c>
      <c r="AG39" s="272" t="s">
        <v>337</v>
      </c>
      <c r="AH39" s="272" t="s">
        <v>337</v>
      </c>
      <c r="AI39" s="272" t="s">
        <v>337</v>
      </c>
      <c r="AJ39" s="272" t="s">
        <v>337</v>
      </c>
      <c r="AK39" s="272" t="s">
        <v>337</v>
      </c>
      <c r="AL39" s="272" t="s">
        <v>337</v>
      </c>
      <c r="AM39" s="272" t="s">
        <v>337</v>
      </c>
      <c r="AN39" s="272" t="s">
        <v>337</v>
      </c>
      <c r="AO39" s="272" t="s">
        <v>337</v>
      </c>
      <c r="AP39" s="272" t="s">
        <v>337</v>
      </c>
      <c r="AQ39" s="272" t="s">
        <v>337</v>
      </c>
      <c r="AR39" s="272" t="s">
        <v>337</v>
      </c>
      <c r="AS39" s="272" t="s">
        <v>337</v>
      </c>
      <c r="AT39" s="1291"/>
      <c r="AU39" s="1294" t="str">
        <f>IF('General Information'!$I$12="IP","IP","SI")</f>
        <v>SI</v>
      </c>
      <c r="AV39" s="102"/>
      <c r="AW39" s="1900"/>
      <c r="AX39" s="1902"/>
      <c r="AY39" s="102"/>
      <c r="AZ39" s="101"/>
      <c r="BA39" s="101"/>
      <c r="BB39" s="101"/>
      <c r="BC39" s="101"/>
      <c r="BD39" s="101"/>
      <c r="BE39" s="101"/>
      <c r="BF39" s="101"/>
      <c r="BG39" s="101"/>
      <c r="BH39" s="413"/>
      <c r="BI39" s="272" t="s">
        <v>337</v>
      </c>
      <c r="BJ39" s="102"/>
      <c r="BK39" s="101"/>
      <c r="BL39" s="101"/>
      <c r="BM39" s="101"/>
      <c r="BN39" s="101"/>
      <c r="BO39" s="101"/>
      <c r="BP39" s="101"/>
      <c r="BQ39" s="101"/>
      <c r="BR39" s="101"/>
      <c r="BS39" s="101"/>
      <c r="BT39" s="81"/>
      <c r="BU39" s="81"/>
      <c r="BV39" s="81"/>
      <c r="BW39" s="81"/>
      <c r="BX39" s="81"/>
      <c r="BY39" s="81"/>
      <c r="BZ39" s="81"/>
      <c r="CA39" s="81"/>
      <c r="CB39" s="81"/>
      <c r="CC39" s="81"/>
      <c r="CD39" s="81"/>
      <c r="CE39" s="81"/>
      <c r="CF39" s="81"/>
      <c r="CG39" s="81"/>
      <c r="CH39" s="81"/>
      <c r="CI39" s="81"/>
      <c r="CJ39" s="81"/>
      <c r="CK39" s="81"/>
      <c r="CL39" s="81"/>
      <c r="CM39" s="81"/>
      <c r="CN39" s="81"/>
      <c r="CO39" s="81"/>
      <c r="CP39" s="81"/>
      <c r="CQ39" s="81"/>
      <c r="CR39" s="81"/>
      <c r="CS39" s="81"/>
      <c r="CT39" s="81"/>
    </row>
    <row r="40" spans="2:98" s="79" customFormat="1" x14ac:dyDescent="0.3">
      <c r="B40" s="2648"/>
      <c r="C40" s="2655" t="s">
        <v>250</v>
      </c>
      <c r="D40" s="2667" t="s">
        <v>1906</v>
      </c>
      <c r="E40" s="710"/>
      <c r="F40" s="223" t="str">
        <f>IF('General Information'!$I$12="IP","CFMD: cfm","CFMD: L/s")</f>
        <v>CFMD: L/s</v>
      </c>
      <c r="G40" s="713"/>
      <c r="H40" s="231"/>
      <c r="I40" s="236"/>
      <c r="J40" s="713"/>
      <c r="K40" s="703"/>
      <c r="L40" s="247"/>
      <c r="M40" s="247"/>
      <c r="N40" s="247"/>
      <c r="O40" s="247"/>
      <c r="P40" s="247"/>
      <c r="Q40" s="247"/>
      <c r="R40" s="247"/>
      <c r="S40" s="247"/>
      <c r="T40" s="713"/>
      <c r="U40" s="272" t="s">
        <v>337</v>
      </c>
      <c r="V40" s="272" t="s">
        <v>337</v>
      </c>
      <c r="W40" s="272" t="s">
        <v>337</v>
      </c>
      <c r="X40" s="272" t="s">
        <v>337</v>
      </c>
      <c r="Y40" s="272" t="s">
        <v>337</v>
      </c>
      <c r="Z40" s="272" t="s">
        <v>337</v>
      </c>
      <c r="AA40" s="272" t="s">
        <v>337</v>
      </c>
      <c r="AB40" s="272" t="s">
        <v>337</v>
      </c>
      <c r="AC40" s="272" t="s">
        <v>337</v>
      </c>
      <c r="AD40" s="272" t="s">
        <v>337</v>
      </c>
      <c r="AE40" s="272" t="s">
        <v>337</v>
      </c>
      <c r="AF40" s="272" t="s">
        <v>337</v>
      </c>
      <c r="AG40" s="272" t="s">
        <v>337</v>
      </c>
      <c r="AH40" s="272" t="s">
        <v>337</v>
      </c>
      <c r="AI40" s="272" t="s">
        <v>337</v>
      </c>
      <c r="AJ40" s="272" t="s">
        <v>337</v>
      </c>
      <c r="AK40" s="272" t="s">
        <v>337</v>
      </c>
      <c r="AL40" s="272" t="s">
        <v>337</v>
      </c>
      <c r="AM40" s="272" t="s">
        <v>337</v>
      </c>
      <c r="AN40" s="272" t="s">
        <v>337</v>
      </c>
      <c r="AO40" s="272" t="s">
        <v>337</v>
      </c>
      <c r="AP40" s="272" t="s">
        <v>337</v>
      </c>
      <c r="AQ40" s="272" t="s">
        <v>337</v>
      </c>
      <c r="AR40" s="272" t="s">
        <v>337</v>
      </c>
      <c r="AS40" s="272" t="s">
        <v>337</v>
      </c>
      <c r="AT40" s="1291"/>
      <c r="AU40" s="1295">
        <f>IF($AU$39="SI",125,0.5)</f>
        <v>125</v>
      </c>
      <c r="AV40" s="102"/>
      <c r="AW40" s="1900"/>
      <c r="AX40" s="1902"/>
      <c r="AY40" s="102"/>
      <c r="AZ40" s="101"/>
      <c r="BA40" s="101"/>
      <c r="BB40" s="101"/>
      <c r="BC40" s="101"/>
      <c r="BD40" s="101"/>
      <c r="BE40" s="101"/>
      <c r="BF40" s="101"/>
      <c r="BG40" s="101"/>
      <c r="BH40" s="247"/>
      <c r="BI40" s="272" t="s">
        <v>337</v>
      </c>
      <c r="BJ40" s="102"/>
      <c r="BK40" s="101"/>
      <c r="BL40" s="101"/>
      <c r="BM40" s="101"/>
      <c r="BN40" s="101"/>
      <c r="BO40" s="101"/>
      <c r="BP40" s="101"/>
      <c r="BQ40" s="101"/>
      <c r="BR40" s="101"/>
      <c r="BS40" s="101"/>
      <c r="BT40" s="81"/>
      <c r="BU40" s="81"/>
      <c r="BV40" s="81"/>
      <c r="BW40" s="81"/>
      <c r="BX40" s="81"/>
      <c r="BY40" s="81"/>
      <c r="BZ40" s="81"/>
      <c r="CA40" s="81"/>
      <c r="CB40" s="81"/>
      <c r="CC40" s="81"/>
      <c r="CD40" s="81"/>
      <c r="CE40" s="81"/>
      <c r="CF40" s="81"/>
      <c r="CG40" s="81"/>
      <c r="CH40" s="81"/>
      <c r="CI40" s="81"/>
      <c r="CJ40" s="81"/>
      <c r="CK40" s="81"/>
      <c r="CL40" s="81"/>
      <c r="CM40" s="81"/>
      <c r="CN40" s="81"/>
      <c r="CO40" s="81"/>
      <c r="CP40" s="81"/>
      <c r="CQ40" s="81"/>
      <c r="CR40" s="81"/>
      <c r="CS40" s="81"/>
      <c r="CT40" s="81"/>
    </row>
    <row r="41" spans="2:98" s="79" customFormat="1" x14ac:dyDescent="0.3">
      <c r="B41" s="2648"/>
      <c r="C41" s="2656"/>
      <c r="D41" s="2669"/>
      <c r="E41" s="710"/>
      <c r="F41" s="223" t="str">
        <f>IF('General Information'!$I$12="IP","Adjustment: in. w. c.","Adjustment: Pa")</f>
        <v>Adjustment: Pa</v>
      </c>
      <c r="G41" s="713"/>
      <c r="H41" s="231"/>
      <c r="I41" s="236"/>
      <c r="J41" s="713"/>
      <c r="K41" s="704" t="str">
        <f>IF('General Information'!$I$12="IP","0.5","125")</f>
        <v>125</v>
      </c>
      <c r="L41" s="587" t="str">
        <f>IF('General Information'!$I$12="IP","0.5","125")</f>
        <v>125</v>
      </c>
      <c r="M41" s="587" t="str">
        <f>IF('General Information'!$I$12="IP","0.5","125")</f>
        <v>125</v>
      </c>
      <c r="N41" s="587" t="str">
        <f>IF('General Information'!$I$12="IP","0.5","125")</f>
        <v>125</v>
      </c>
      <c r="O41" s="587" t="str">
        <f>IF('General Information'!$I$12="IP","0.5","125")</f>
        <v>125</v>
      </c>
      <c r="P41" s="587" t="str">
        <f>IF('General Information'!$I$12="IP","0.5","125")</f>
        <v>125</v>
      </c>
      <c r="Q41" s="587" t="str">
        <f>IF('General Information'!$I$12="IP","0.5","125")</f>
        <v>125</v>
      </c>
      <c r="R41" s="587" t="str">
        <f>IF('General Information'!$I$12="IP","0.5","125")</f>
        <v>125</v>
      </c>
      <c r="S41" s="587" t="str">
        <f>IF('General Information'!$I$12="IP","0.5","125")</f>
        <v>125</v>
      </c>
      <c r="T41" s="713"/>
      <c r="U41" s="272" t="s">
        <v>337</v>
      </c>
      <c r="V41" s="272" t="s">
        <v>337</v>
      </c>
      <c r="W41" s="272" t="s">
        <v>337</v>
      </c>
      <c r="X41" s="272" t="s">
        <v>337</v>
      </c>
      <c r="Y41" s="272" t="s">
        <v>337</v>
      </c>
      <c r="Z41" s="272" t="s">
        <v>337</v>
      </c>
      <c r="AA41" s="272" t="s">
        <v>337</v>
      </c>
      <c r="AB41" s="272" t="s">
        <v>337</v>
      </c>
      <c r="AC41" s="272" t="s">
        <v>337</v>
      </c>
      <c r="AD41" s="272" t="s">
        <v>337</v>
      </c>
      <c r="AE41" s="272" t="s">
        <v>337</v>
      </c>
      <c r="AF41" s="272" t="s">
        <v>337</v>
      </c>
      <c r="AG41" s="272" t="s">
        <v>337</v>
      </c>
      <c r="AH41" s="272" t="s">
        <v>337</v>
      </c>
      <c r="AI41" s="272" t="s">
        <v>337</v>
      </c>
      <c r="AJ41" s="272" t="s">
        <v>337</v>
      </c>
      <c r="AK41" s="272" t="s">
        <v>337</v>
      </c>
      <c r="AL41" s="272" t="s">
        <v>337</v>
      </c>
      <c r="AM41" s="272" t="s">
        <v>337</v>
      </c>
      <c r="AN41" s="272" t="s">
        <v>337</v>
      </c>
      <c r="AO41" s="272" t="s">
        <v>337</v>
      </c>
      <c r="AP41" s="272" t="s">
        <v>337</v>
      </c>
      <c r="AQ41" s="272" t="s">
        <v>337</v>
      </c>
      <c r="AR41" s="272" t="s">
        <v>337</v>
      </c>
      <c r="AS41" s="272" t="s">
        <v>337</v>
      </c>
      <c r="AT41" s="1291"/>
      <c r="AU41" s="1295">
        <f>IF($AU$39="SI",535,2.15)</f>
        <v>535</v>
      </c>
      <c r="AV41" s="102"/>
      <c r="AW41" s="1900"/>
      <c r="AX41" s="1902"/>
      <c r="AY41" s="102"/>
      <c r="AZ41" s="101"/>
      <c r="BA41" s="101"/>
      <c r="BB41" s="101"/>
      <c r="BC41" s="101"/>
      <c r="BD41" s="101"/>
      <c r="BE41" s="101"/>
      <c r="BF41" s="101"/>
      <c r="BG41" s="101"/>
      <c r="BH41" s="587" t="str">
        <f>IF('General Information'!$I$12="IP","0.5","125")</f>
        <v>125</v>
      </c>
      <c r="BI41" s="272" t="s">
        <v>337</v>
      </c>
      <c r="BJ41" s="102"/>
      <c r="BK41" s="101"/>
      <c r="BL41" s="101"/>
      <c r="BM41" s="101"/>
      <c r="BN41" s="101"/>
      <c r="BO41" s="101"/>
      <c r="BP41" s="101"/>
      <c r="BQ41" s="101"/>
      <c r="BR41" s="101"/>
      <c r="BS41" s="101"/>
      <c r="BT41" s="81"/>
      <c r="BU41" s="81"/>
      <c r="BV41" s="81"/>
      <c r="BW41" s="81"/>
      <c r="BX41" s="81"/>
      <c r="BY41" s="81"/>
      <c r="BZ41" s="81"/>
      <c r="CA41" s="81"/>
      <c r="CB41" s="81"/>
      <c r="CC41" s="81"/>
      <c r="CD41" s="81"/>
      <c r="CE41" s="81"/>
      <c r="CF41" s="81"/>
      <c r="CG41" s="81"/>
      <c r="CH41" s="81"/>
      <c r="CI41" s="81"/>
      <c r="CJ41" s="81"/>
      <c r="CK41" s="81"/>
      <c r="CL41" s="81"/>
      <c r="CM41" s="81"/>
      <c r="CN41" s="81"/>
      <c r="CO41" s="81"/>
      <c r="CP41" s="81"/>
      <c r="CQ41" s="81"/>
      <c r="CR41" s="81"/>
      <c r="CS41" s="81"/>
      <c r="CT41" s="81"/>
    </row>
    <row r="42" spans="2:98" s="79" customFormat="1" x14ac:dyDescent="0.3">
      <c r="B42" s="2648"/>
      <c r="C42" s="2655" t="s">
        <v>338</v>
      </c>
      <c r="D42" s="2667" t="s">
        <v>1907</v>
      </c>
      <c r="E42" s="710"/>
      <c r="F42" s="223" t="str">
        <f>IF('General Information'!$I$12="IP","CFMD: cfm","CFMD: L/s")</f>
        <v>CFMD: L/s</v>
      </c>
      <c r="G42" s="713"/>
      <c r="H42" s="231"/>
      <c r="I42" s="236"/>
      <c r="J42" s="713"/>
      <c r="K42" s="703"/>
      <c r="L42" s="247"/>
      <c r="M42" s="247"/>
      <c r="N42" s="247"/>
      <c r="O42" s="247"/>
      <c r="P42" s="247"/>
      <c r="Q42" s="247"/>
      <c r="R42" s="247"/>
      <c r="S42" s="247"/>
      <c r="T42" s="713"/>
      <c r="U42" s="272" t="s">
        <v>337</v>
      </c>
      <c r="V42" s="272" t="s">
        <v>337</v>
      </c>
      <c r="W42" s="272" t="s">
        <v>337</v>
      </c>
      <c r="X42" s="272" t="s">
        <v>337</v>
      </c>
      <c r="Y42" s="272" t="s">
        <v>337</v>
      </c>
      <c r="Z42" s="272" t="s">
        <v>337</v>
      </c>
      <c r="AA42" s="272" t="s">
        <v>337</v>
      </c>
      <c r="AB42" s="272" t="s">
        <v>337</v>
      </c>
      <c r="AC42" s="272" t="s">
        <v>337</v>
      </c>
      <c r="AD42" s="272" t="s">
        <v>337</v>
      </c>
      <c r="AE42" s="272" t="s">
        <v>337</v>
      </c>
      <c r="AF42" s="272" t="s">
        <v>337</v>
      </c>
      <c r="AG42" s="272" t="s">
        <v>337</v>
      </c>
      <c r="AH42" s="272" t="s">
        <v>337</v>
      </c>
      <c r="AI42" s="272" t="s">
        <v>337</v>
      </c>
      <c r="AJ42" s="272" t="s">
        <v>337</v>
      </c>
      <c r="AK42" s="272" t="s">
        <v>337</v>
      </c>
      <c r="AL42" s="272" t="s">
        <v>337</v>
      </c>
      <c r="AM42" s="272" t="s">
        <v>337</v>
      </c>
      <c r="AN42" s="272" t="s">
        <v>337</v>
      </c>
      <c r="AO42" s="272" t="s">
        <v>337</v>
      </c>
      <c r="AP42" s="272" t="s">
        <v>337</v>
      </c>
      <c r="AQ42" s="272" t="s">
        <v>337</v>
      </c>
      <c r="AR42" s="272" t="s">
        <v>337</v>
      </c>
      <c r="AS42" s="272" t="s">
        <v>337</v>
      </c>
      <c r="AT42" s="102"/>
      <c r="AU42" s="1293"/>
      <c r="AV42" s="101"/>
      <c r="AW42" s="1900"/>
      <c r="AX42" s="1902"/>
      <c r="AY42" s="102"/>
      <c r="AZ42" s="101"/>
      <c r="BA42" s="101"/>
      <c r="BB42" s="101"/>
      <c r="BC42" s="101"/>
      <c r="BD42" s="101"/>
      <c r="BE42" s="101"/>
      <c r="BF42" s="101"/>
      <c r="BG42" s="101"/>
      <c r="BH42" s="247"/>
      <c r="BI42" s="272" t="s">
        <v>337</v>
      </c>
      <c r="BJ42" s="102"/>
      <c r="BK42" s="101"/>
      <c r="BL42" s="101"/>
      <c r="BM42" s="101"/>
      <c r="BN42" s="101"/>
      <c r="BO42" s="101"/>
      <c r="BP42" s="101"/>
      <c r="BQ42" s="101"/>
      <c r="BR42" s="101"/>
      <c r="BS42" s="101"/>
      <c r="BT42" s="81"/>
      <c r="BU42" s="81"/>
      <c r="BV42" s="81"/>
      <c r="BW42" s="81"/>
      <c r="BX42" s="81"/>
      <c r="BY42" s="81"/>
      <c r="BZ42" s="81"/>
      <c r="CA42" s="81"/>
      <c r="CB42" s="81"/>
      <c r="CC42" s="81"/>
      <c r="CD42" s="81"/>
      <c r="CE42" s="81"/>
      <c r="CF42" s="81"/>
      <c r="CG42" s="81"/>
      <c r="CH42" s="81"/>
      <c r="CI42" s="81"/>
      <c r="CJ42" s="81"/>
      <c r="CK42" s="81"/>
      <c r="CL42" s="81"/>
      <c r="CM42" s="81"/>
      <c r="CN42" s="81"/>
      <c r="CO42" s="81"/>
      <c r="CP42" s="81"/>
      <c r="CQ42" s="81"/>
      <c r="CR42" s="81"/>
      <c r="CS42" s="81"/>
      <c r="CT42" s="81"/>
    </row>
    <row r="43" spans="2:98" s="79" customFormat="1" x14ac:dyDescent="0.3">
      <c r="B43" s="2648"/>
      <c r="C43" s="2656"/>
      <c r="D43" s="2669"/>
      <c r="E43" s="710"/>
      <c r="F43" s="223" t="str">
        <f>IF('General Information'!$I$12="IP","Adjustment: in. w. c.","Adjustment: Pa")</f>
        <v>Adjustment: Pa</v>
      </c>
      <c r="G43" s="713"/>
      <c r="H43" s="231"/>
      <c r="I43" s="236"/>
      <c r="J43" s="713"/>
      <c r="K43" s="703"/>
      <c r="L43" s="247"/>
      <c r="M43" s="247"/>
      <c r="N43" s="247"/>
      <c r="O43" s="247"/>
      <c r="P43" s="247"/>
      <c r="Q43" s="247"/>
      <c r="R43" s="247"/>
      <c r="S43" s="247"/>
      <c r="T43" s="713"/>
      <c r="U43" s="272" t="s">
        <v>337</v>
      </c>
      <c r="V43" s="272" t="s">
        <v>337</v>
      </c>
      <c r="W43" s="272" t="s">
        <v>337</v>
      </c>
      <c r="X43" s="272" t="s">
        <v>337</v>
      </c>
      <c r="Y43" s="272" t="s">
        <v>337</v>
      </c>
      <c r="Z43" s="272" t="s">
        <v>337</v>
      </c>
      <c r="AA43" s="272" t="s">
        <v>337</v>
      </c>
      <c r="AB43" s="272" t="s">
        <v>337</v>
      </c>
      <c r="AC43" s="272" t="s">
        <v>337</v>
      </c>
      <c r="AD43" s="272" t="s">
        <v>337</v>
      </c>
      <c r="AE43" s="272" t="s">
        <v>337</v>
      </c>
      <c r="AF43" s="272" t="s">
        <v>337</v>
      </c>
      <c r="AG43" s="272" t="s">
        <v>337</v>
      </c>
      <c r="AH43" s="272" t="s">
        <v>337</v>
      </c>
      <c r="AI43" s="272" t="s">
        <v>337</v>
      </c>
      <c r="AJ43" s="272" t="s">
        <v>337</v>
      </c>
      <c r="AK43" s="272" t="s">
        <v>337</v>
      </c>
      <c r="AL43" s="272" t="s">
        <v>337</v>
      </c>
      <c r="AM43" s="272" t="s">
        <v>337</v>
      </c>
      <c r="AN43" s="272" t="s">
        <v>337</v>
      </c>
      <c r="AO43" s="272" t="s">
        <v>337</v>
      </c>
      <c r="AP43" s="272" t="s">
        <v>337</v>
      </c>
      <c r="AQ43" s="272" t="s">
        <v>337</v>
      </c>
      <c r="AR43" s="272" t="s">
        <v>337</v>
      </c>
      <c r="AS43" s="272" t="s">
        <v>337</v>
      </c>
      <c r="AT43" s="102"/>
      <c r="AU43" s="101"/>
      <c r="AV43" s="101"/>
      <c r="AW43" s="1900"/>
      <c r="AX43" s="1902"/>
      <c r="AY43" s="102"/>
      <c r="AZ43" s="101"/>
      <c r="BA43" s="101"/>
      <c r="BB43" s="101"/>
      <c r="BC43" s="101"/>
      <c r="BD43" s="101"/>
      <c r="BE43" s="101"/>
      <c r="BF43" s="101"/>
      <c r="BG43" s="101"/>
      <c r="BH43" s="247"/>
      <c r="BI43" s="272" t="s">
        <v>337</v>
      </c>
      <c r="BJ43" s="102"/>
      <c r="BK43" s="101"/>
      <c r="BL43" s="101"/>
      <c r="BM43" s="101"/>
      <c r="BN43" s="101"/>
      <c r="BO43" s="101"/>
      <c r="BP43" s="101"/>
      <c r="BQ43" s="101"/>
      <c r="BR43" s="101"/>
      <c r="BS43" s="101"/>
      <c r="BT43" s="81"/>
      <c r="BU43" s="81"/>
      <c r="BV43" s="81"/>
      <c r="BW43" s="81"/>
      <c r="BX43" s="81"/>
      <c r="BY43" s="81"/>
      <c r="BZ43" s="81"/>
      <c r="CA43" s="81"/>
      <c r="CB43" s="81"/>
      <c r="CC43" s="81"/>
      <c r="CD43" s="81"/>
      <c r="CE43" s="81"/>
      <c r="CF43" s="81"/>
      <c r="CG43" s="81"/>
      <c r="CH43" s="81"/>
      <c r="CI43" s="81"/>
      <c r="CJ43" s="81"/>
      <c r="CK43" s="81"/>
      <c r="CL43" s="81"/>
      <c r="CM43" s="81"/>
      <c r="CN43" s="81"/>
      <c r="CO43" s="81"/>
      <c r="CP43" s="81"/>
      <c r="CQ43" s="81"/>
      <c r="CR43" s="81"/>
      <c r="CS43" s="81"/>
      <c r="CT43" s="81"/>
    </row>
    <row r="44" spans="2:98" s="79" customFormat="1" x14ac:dyDescent="0.3">
      <c r="B44" s="2648"/>
      <c r="C44" s="2655" t="s">
        <v>420</v>
      </c>
      <c r="D44" s="2667" t="s">
        <v>1908</v>
      </c>
      <c r="E44" s="710"/>
      <c r="F44" s="223" t="str">
        <f>IF('General Information'!$I$12="IP","CFMD: cfm","CFMD: L/s")</f>
        <v>CFMD: L/s</v>
      </c>
      <c r="G44" s="713"/>
      <c r="H44" s="231"/>
      <c r="I44" s="236"/>
      <c r="J44" s="713"/>
      <c r="K44" s="703"/>
      <c r="L44" s="247"/>
      <c r="M44" s="247"/>
      <c r="N44" s="247"/>
      <c r="O44" s="247"/>
      <c r="P44" s="247"/>
      <c r="Q44" s="247"/>
      <c r="R44" s="247"/>
      <c r="S44" s="247"/>
      <c r="T44" s="713"/>
      <c r="U44" s="272" t="s">
        <v>337</v>
      </c>
      <c r="V44" s="272" t="s">
        <v>337</v>
      </c>
      <c r="W44" s="272" t="s">
        <v>337</v>
      </c>
      <c r="X44" s="272" t="s">
        <v>337</v>
      </c>
      <c r="Y44" s="272" t="s">
        <v>337</v>
      </c>
      <c r="Z44" s="272" t="s">
        <v>337</v>
      </c>
      <c r="AA44" s="272" t="s">
        <v>337</v>
      </c>
      <c r="AB44" s="272" t="s">
        <v>337</v>
      </c>
      <c r="AC44" s="272" t="s">
        <v>337</v>
      </c>
      <c r="AD44" s="272" t="s">
        <v>337</v>
      </c>
      <c r="AE44" s="272" t="s">
        <v>337</v>
      </c>
      <c r="AF44" s="272" t="s">
        <v>337</v>
      </c>
      <c r="AG44" s="272" t="s">
        <v>337</v>
      </c>
      <c r="AH44" s="272" t="s">
        <v>337</v>
      </c>
      <c r="AI44" s="272" t="s">
        <v>337</v>
      </c>
      <c r="AJ44" s="272" t="s">
        <v>337</v>
      </c>
      <c r="AK44" s="272" t="s">
        <v>337</v>
      </c>
      <c r="AL44" s="272" t="s">
        <v>337</v>
      </c>
      <c r="AM44" s="272" t="s">
        <v>337</v>
      </c>
      <c r="AN44" s="272" t="s">
        <v>337</v>
      </c>
      <c r="AO44" s="272" t="s">
        <v>337</v>
      </c>
      <c r="AP44" s="272" t="s">
        <v>337</v>
      </c>
      <c r="AQ44" s="272" t="s">
        <v>337</v>
      </c>
      <c r="AR44" s="272" t="s">
        <v>337</v>
      </c>
      <c r="AS44" s="272" t="s">
        <v>337</v>
      </c>
      <c r="AT44" s="102"/>
      <c r="AU44" s="101"/>
      <c r="AV44" s="101"/>
      <c r="AW44" s="1900"/>
      <c r="AX44" s="1902"/>
      <c r="AY44" s="102"/>
      <c r="AZ44" s="101"/>
      <c r="BA44" s="101"/>
      <c r="BB44" s="101"/>
      <c r="BC44" s="101"/>
      <c r="BD44" s="101"/>
      <c r="BE44" s="101"/>
      <c r="BF44" s="101"/>
      <c r="BG44" s="101"/>
      <c r="BH44" s="247"/>
      <c r="BI44" s="272" t="s">
        <v>337</v>
      </c>
      <c r="BJ44" s="102"/>
      <c r="BK44" s="101"/>
      <c r="BL44" s="101"/>
      <c r="BM44" s="101"/>
      <c r="BN44" s="101"/>
      <c r="BO44" s="101"/>
      <c r="BP44" s="101"/>
      <c r="BQ44" s="101"/>
      <c r="BR44" s="101"/>
      <c r="BS44" s="101"/>
      <c r="BT44" s="81"/>
      <c r="BU44" s="81"/>
      <c r="BV44" s="81"/>
      <c r="BW44" s="81"/>
      <c r="BX44" s="81"/>
      <c r="BY44" s="81"/>
      <c r="BZ44" s="81"/>
      <c r="CA44" s="81"/>
      <c r="CB44" s="81"/>
      <c r="CC44" s="81"/>
      <c r="CD44" s="81"/>
      <c r="CE44" s="81"/>
      <c r="CF44" s="81"/>
      <c r="CG44" s="81"/>
      <c r="CH44" s="81"/>
      <c r="CI44" s="81"/>
      <c r="CJ44" s="81"/>
      <c r="CK44" s="81"/>
      <c r="CL44" s="81"/>
      <c r="CM44" s="81"/>
      <c r="CN44" s="81"/>
      <c r="CO44" s="81"/>
      <c r="CP44" s="81"/>
      <c r="CQ44" s="81"/>
      <c r="CR44" s="81"/>
      <c r="CS44" s="81"/>
      <c r="CT44" s="81"/>
    </row>
    <row r="45" spans="2:98" s="79" customFormat="1" x14ac:dyDescent="0.3">
      <c r="B45" s="2648"/>
      <c r="C45" s="2656"/>
      <c r="D45" s="2669"/>
      <c r="E45" s="710"/>
      <c r="F45" s="223" t="str">
        <f>IF('General Information'!$I$12="IP","Adjustment: in. w. c.","Adjustment: Pa")</f>
        <v>Adjustment: Pa</v>
      </c>
      <c r="G45" s="713"/>
      <c r="H45" s="231"/>
      <c r="I45" s="236"/>
      <c r="J45" s="713"/>
      <c r="K45" s="704" t="str">
        <f>IF('General Information'!$I$12="IP","0.5","125")</f>
        <v>125</v>
      </c>
      <c r="L45" s="587" t="str">
        <f>IF('General Information'!$I$12="IP","0.5","125")</f>
        <v>125</v>
      </c>
      <c r="M45" s="587" t="str">
        <f>IF('General Information'!$I$12="IP","0.5","125")</f>
        <v>125</v>
      </c>
      <c r="N45" s="587" t="str">
        <f>IF('General Information'!$I$12="IP","0.5","125")</f>
        <v>125</v>
      </c>
      <c r="O45" s="587" t="str">
        <f>IF('General Information'!$I$12="IP","0.5","125")</f>
        <v>125</v>
      </c>
      <c r="P45" s="587" t="str">
        <f>IF('General Information'!$I$12="IP","0.5","125")</f>
        <v>125</v>
      </c>
      <c r="Q45" s="587" t="str">
        <f>IF('General Information'!$I$12="IP","0.5","125")</f>
        <v>125</v>
      </c>
      <c r="R45" s="587" t="str">
        <f>IF('General Information'!$I$12="IP","0.5","125")</f>
        <v>125</v>
      </c>
      <c r="S45" s="587" t="str">
        <f>IF('General Information'!$I$12="IP","0.5","125")</f>
        <v>125</v>
      </c>
      <c r="T45" s="713"/>
      <c r="U45" s="272" t="s">
        <v>337</v>
      </c>
      <c r="V45" s="272" t="s">
        <v>337</v>
      </c>
      <c r="W45" s="272" t="s">
        <v>337</v>
      </c>
      <c r="X45" s="272" t="s">
        <v>337</v>
      </c>
      <c r="Y45" s="272" t="s">
        <v>337</v>
      </c>
      <c r="Z45" s="272" t="s">
        <v>337</v>
      </c>
      <c r="AA45" s="272" t="s">
        <v>337</v>
      </c>
      <c r="AB45" s="272" t="s">
        <v>337</v>
      </c>
      <c r="AC45" s="272" t="s">
        <v>337</v>
      </c>
      <c r="AD45" s="272" t="s">
        <v>337</v>
      </c>
      <c r="AE45" s="272" t="s">
        <v>337</v>
      </c>
      <c r="AF45" s="272" t="s">
        <v>337</v>
      </c>
      <c r="AG45" s="272" t="s">
        <v>337</v>
      </c>
      <c r="AH45" s="272" t="s">
        <v>337</v>
      </c>
      <c r="AI45" s="272" t="s">
        <v>337</v>
      </c>
      <c r="AJ45" s="272" t="s">
        <v>337</v>
      </c>
      <c r="AK45" s="272" t="s">
        <v>337</v>
      </c>
      <c r="AL45" s="272" t="s">
        <v>337</v>
      </c>
      <c r="AM45" s="272" t="s">
        <v>337</v>
      </c>
      <c r="AN45" s="272" t="s">
        <v>337</v>
      </c>
      <c r="AO45" s="272" t="s">
        <v>337</v>
      </c>
      <c r="AP45" s="272" t="s">
        <v>337</v>
      </c>
      <c r="AQ45" s="272" t="s">
        <v>337</v>
      </c>
      <c r="AR45" s="272" t="s">
        <v>337</v>
      </c>
      <c r="AS45" s="272" t="s">
        <v>337</v>
      </c>
      <c r="AT45" s="102"/>
      <c r="AU45" s="101"/>
      <c r="AV45" s="101"/>
      <c r="AW45" s="1900"/>
      <c r="AX45" s="1902"/>
      <c r="AY45" s="102"/>
      <c r="AZ45" s="101"/>
      <c r="BA45" s="101"/>
      <c r="BB45" s="101"/>
      <c r="BC45" s="101"/>
      <c r="BD45" s="101"/>
      <c r="BE45" s="101"/>
      <c r="BF45" s="101"/>
      <c r="BG45" s="101"/>
      <c r="BH45" s="587" t="str">
        <f>IF('General Information'!$I$12="IP","0.5","125")</f>
        <v>125</v>
      </c>
      <c r="BI45" s="272" t="s">
        <v>337</v>
      </c>
      <c r="BJ45" s="102"/>
      <c r="BK45" s="101"/>
      <c r="BL45" s="101"/>
      <c r="BM45" s="101"/>
      <c r="BN45" s="101"/>
      <c r="BO45" s="101"/>
      <c r="BP45" s="101"/>
      <c r="BQ45" s="101"/>
      <c r="BR45" s="101"/>
      <c r="BS45" s="101"/>
      <c r="BT45" s="81"/>
      <c r="BU45" s="81"/>
      <c r="BV45" s="81"/>
      <c r="BW45" s="81"/>
      <c r="BX45" s="81"/>
      <c r="BY45" s="81"/>
      <c r="BZ45" s="81"/>
      <c r="CA45" s="81"/>
      <c r="CB45" s="81"/>
      <c r="CC45" s="81"/>
      <c r="CD45" s="81"/>
      <c r="CE45" s="81"/>
      <c r="CF45" s="81"/>
      <c r="CG45" s="81"/>
      <c r="CH45" s="81"/>
      <c r="CI45" s="81"/>
      <c r="CJ45" s="81"/>
      <c r="CK45" s="81"/>
      <c r="CL45" s="81"/>
      <c r="CM45" s="81"/>
      <c r="CN45" s="81"/>
      <c r="CO45" s="81"/>
      <c r="CP45" s="81"/>
      <c r="CQ45" s="81"/>
      <c r="CR45" s="81"/>
      <c r="CS45" s="81"/>
      <c r="CT45" s="81"/>
    </row>
    <row r="46" spans="2:98" s="79" customFormat="1" x14ac:dyDescent="0.3">
      <c r="B46" s="2648"/>
      <c r="C46" s="2655" t="s">
        <v>421</v>
      </c>
      <c r="D46" s="2667" t="s">
        <v>1909</v>
      </c>
      <c r="E46" s="710"/>
      <c r="F46" s="223" t="str">
        <f>IF('General Information'!$I$12="IP","CFMD: cfm","CFMD: L/s")</f>
        <v>CFMD: L/s</v>
      </c>
      <c r="G46" s="713"/>
      <c r="H46" s="231"/>
      <c r="I46" s="236"/>
      <c r="J46" s="713"/>
      <c r="K46" s="703">
        <v>21366</v>
      </c>
      <c r="L46" s="247">
        <v>25891</v>
      </c>
      <c r="M46" s="247">
        <v>24413</v>
      </c>
      <c r="N46" s="247">
        <v>12310</v>
      </c>
      <c r="O46" s="247">
        <v>0</v>
      </c>
      <c r="P46" s="247">
        <v>3410</v>
      </c>
      <c r="Q46" s="247">
        <v>0</v>
      </c>
      <c r="R46" s="247">
        <v>0</v>
      </c>
      <c r="S46" s="247">
        <v>2216</v>
      </c>
      <c r="T46" s="713"/>
      <c r="U46" s="272" t="s">
        <v>337</v>
      </c>
      <c r="V46" s="272" t="s">
        <v>337</v>
      </c>
      <c r="W46" s="272" t="s">
        <v>337</v>
      </c>
      <c r="X46" s="272" t="s">
        <v>337</v>
      </c>
      <c r="Y46" s="272" t="s">
        <v>337</v>
      </c>
      <c r="Z46" s="272" t="s">
        <v>337</v>
      </c>
      <c r="AA46" s="272" t="s">
        <v>337</v>
      </c>
      <c r="AB46" s="272" t="s">
        <v>337</v>
      </c>
      <c r="AC46" s="272" t="s">
        <v>337</v>
      </c>
      <c r="AD46" s="272" t="s">
        <v>337</v>
      </c>
      <c r="AE46" s="272" t="s">
        <v>337</v>
      </c>
      <c r="AF46" s="272" t="s">
        <v>337</v>
      </c>
      <c r="AG46" s="272" t="s">
        <v>337</v>
      </c>
      <c r="AH46" s="272" t="s">
        <v>337</v>
      </c>
      <c r="AI46" s="272" t="s">
        <v>337</v>
      </c>
      <c r="AJ46" s="272" t="s">
        <v>337</v>
      </c>
      <c r="AK46" s="272" t="s">
        <v>337</v>
      </c>
      <c r="AL46" s="272" t="s">
        <v>337</v>
      </c>
      <c r="AM46" s="272" t="s">
        <v>337</v>
      </c>
      <c r="AN46" s="272" t="s">
        <v>337</v>
      </c>
      <c r="AO46" s="272" t="s">
        <v>337</v>
      </c>
      <c r="AP46" s="272" t="s">
        <v>337</v>
      </c>
      <c r="AQ46" s="272" t="s">
        <v>337</v>
      </c>
      <c r="AR46" s="272" t="s">
        <v>337</v>
      </c>
      <c r="AS46" s="272" t="s">
        <v>337</v>
      </c>
      <c r="AT46" s="102"/>
      <c r="AU46" s="101"/>
      <c r="AV46" s="101"/>
      <c r="AW46" s="1900"/>
      <c r="AX46" s="1902"/>
      <c r="AY46" s="102"/>
      <c r="AZ46" s="101"/>
      <c r="BA46" s="101"/>
      <c r="BB46" s="101"/>
      <c r="BC46" s="101"/>
      <c r="BD46" s="101"/>
      <c r="BE46" s="101"/>
      <c r="BF46" s="101"/>
      <c r="BG46" s="101"/>
      <c r="BH46" s="247"/>
      <c r="BI46" s="272" t="s">
        <v>337</v>
      </c>
      <c r="BJ46" s="102"/>
      <c r="BK46" s="101"/>
      <c r="BL46" s="101"/>
      <c r="BM46" s="101"/>
      <c r="BN46" s="101"/>
      <c r="BO46" s="101"/>
      <c r="BP46" s="101"/>
      <c r="BQ46" s="101"/>
      <c r="BR46" s="101"/>
      <c r="BS46" s="101"/>
      <c r="BT46" s="81"/>
      <c r="BU46" s="81"/>
      <c r="BV46" s="81"/>
      <c r="BW46" s="81"/>
      <c r="BX46" s="81"/>
      <c r="BY46" s="81"/>
      <c r="BZ46" s="81"/>
      <c r="CA46" s="81"/>
      <c r="CB46" s="81"/>
      <c r="CC46" s="81"/>
      <c r="CD46" s="81"/>
      <c r="CE46" s="81"/>
      <c r="CF46" s="81"/>
      <c r="CG46" s="81"/>
      <c r="CH46" s="81"/>
      <c r="CI46" s="81"/>
      <c r="CJ46" s="81"/>
      <c r="CK46" s="81"/>
      <c r="CL46" s="81"/>
      <c r="CM46" s="81"/>
      <c r="CN46" s="81"/>
      <c r="CO46" s="81"/>
      <c r="CP46" s="81"/>
      <c r="CQ46" s="81"/>
      <c r="CR46" s="81"/>
      <c r="CS46" s="81"/>
      <c r="CT46" s="81"/>
    </row>
    <row r="47" spans="2:98" s="79" customFormat="1" x14ac:dyDescent="0.3">
      <c r="B47" s="2648"/>
      <c r="C47" s="2656"/>
      <c r="D47" s="2669"/>
      <c r="E47" s="710"/>
      <c r="F47" s="223" t="str">
        <f>IF('General Information'!$I$12="IP","Adjustment: in. w. c.","Adjustment: Pa")</f>
        <v>Adjustment: Pa</v>
      </c>
      <c r="G47" s="713"/>
      <c r="H47" s="231"/>
      <c r="I47" s="236"/>
      <c r="J47" s="713"/>
      <c r="K47" s="704" t="str">
        <f>IF('General Information'!$I$12="IP","0.9","225")</f>
        <v>225</v>
      </c>
      <c r="L47" s="587" t="str">
        <f>IF('General Information'!$I$12="IP","0.9","225")</f>
        <v>225</v>
      </c>
      <c r="M47" s="587" t="str">
        <f>IF('General Information'!$I$12="IP","0.9","225")</f>
        <v>225</v>
      </c>
      <c r="N47" s="587" t="str">
        <f>IF('General Information'!$I$12="IP","0.9","225")</f>
        <v>225</v>
      </c>
      <c r="O47" s="587" t="str">
        <f>IF('General Information'!$I$12="IP","0.9","225")</f>
        <v>225</v>
      </c>
      <c r="P47" s="587" t="str">
        <f>IF('General Information'!$I$12="IP","0.9","225")</f>
        <v>225</v>
      </c>
      <c r="Q47" s="587" t="str">
        <f>IF('General Information'!$I$12="IP","0.9","225")</f>
        <v>225</v>
      </c>
      <c r="R47" s="587" t="str">
        <f>IF('General Information'!$I$12="IP","0.9","225")</f>
        <v>225</v>
      </c>
      <c r="S47" s="587" t="str">
        <f>IF('General Information'!$I$12="IP","0.9","225")</f>
        <v>225</v>
      </c>
      <c r="T47" s="713"/>
      <c r="U47" s="272" t="s">
        <v>337</v>
      </c>
      <c r="V47" s="272" t="s">
        <v>337</v>
      </c>
      <c r="W47" s="272" t="s">
        <v>337</v>
      </c>
      <c r="X47" s="272" t="s">
        <v>337</v>
      </c>
      <c r="Y47" s="272" t="s">
        <v>337</v>
      </c>
      <c r="Z47" s="272" t="s">
        <v>337</v>
      </c>
      <c r="AA47" s="272" t="s">
        <v>337</v>
      </c>
      <c r="AB47" s="272" t="s">
        <v>337</v>
      </c>
      <c r="AC47" s="272" t="s">
        <v>337</v>
      </c>
      <c r="AD47" s="272" t="s">
        <v>337</v>
      </c>
      <c r="AE47" s="272" t="s">
        <v>337</v>
      </c>
      <c r="AF47" s="272" t="s">
        <v>337</v>
      </c>
      <c r="AG47" s="272" t="s">
        <v>337</v>
      </c>
      <c r="AH47" s="272" t="s">
        <v>337</v>
      </c>
      <c r="AI47" s="272" t="s">
        <v>337</v>
      </c>
      <c r="AJ47" s="272" t="s">
        <v>337</v>
      </c>
      <c r="AK47" s="272" t="s">
        <v>337</v>
      </c>
      <c r="AL47" s="272" t="s">
        <v>337</v>
      </c>
      <c r="AM47" s="272" t="s">
        <v>337</v>
      </c>
      <c r="AN47" s="272" t="s">
        <v>337</v>
      </c>
      <c r="AO47" s="272" t="s">
        <v>337</v>
      </c>
      <c r="AP47" s="272" t="s">
        <v>337</v>
      </c>
      <c r="AQ47" s="272" t="s">
        <v>337</v>
      </c>
      <c r="AR47" s="272" t="s">
        <v>337</v>
      </c>
      <c r="AS47" s="272" t="s">
        <v>337</v>
      </c>
      <c r="AT47" s="102"/>
      <c r="AU47" s="101"/>
      <c r="AV47" s="101"/>
      <c r="AW47" s="1900"/>
      <c r="AX47" s="1902"/>
      <c r="AY47" s="102"/>
      <c r="AZ47" s="101"/>
      <c r="BA47" s="101"/>
      <c r="BB47" s="101"/>
      <c r="BC47" s="101"/>
      <c r="BD47" s="101"/>
      <c r="BE47" s="101"/>
      <c r="BF47" s="101"/>
      <c r="BG47" s="101"/>
      <c r="BH47" s="587" t="str">
        <f>IF('General Information'!$I$12="IP","0.9","225")</f>
        <v>225</v>
      </c>
      <c r="BI47" s="272" t="s">
        <v>337</v>
      </c>
      <c r="BJ47" s="102"/>
      <c r="BK47" s="101"/>
      <c r="BL47" s="101"/>
      <c r="BM47" s="101"/>
      <c r="BN47" s="101"/>
      <c r="BO47" s="101"/>
      <c r="BP47" s="101"/>
      <c r="BQ47" s="101"/>
      <c r="BR47" s="101"/>
      <c r="BS47" s="101"/>
      <c r="BT47" s="81"/>
      <c r="BU47" s="81"/>
      <c r="BV47" s="81"/>
      <c r="BW47" s="81"/>
      <c r="BX47" s="81"/>
      <c r="BY47" s="81"/>
      <c r="BZ47" s="81"/>
      <c r="CA47" s="81"/>
      <c r="CB47" s="81"/>
      <c r="CC47" s="81"/>
      <c r="CD47" s="81"/>
      <c r="CE47" s="81"/>
      <c r="CF47" s="81"/>
      <c r="CG47" s="81"/>
      <c r="CH47" s="81"/>
      <c r="CI47" s="81"/>
      <c r="CJ47" s="81"/>
      <c r="CK47" s="81"/>
      <c r="CL47" s="81"/>
      <c r="CM47" s="81"/>
      <c r="CN47" s="81"/>
      <c r="CO47" s="81"/>
      <c r="CP47" s="81"/>
      <c r="CQ47" s="81"/>
      <c r="CR47" s="81"/>
      <c r="CS47" s="81"/>
      <c r="CT47" s="81"/>
    </row>
    <row r="48" spans="2:98" s="79" customFormat="1" x14ac:dyDescent="0.3">
      <c r="B48" s="2648"/>
      <c r="C48" s="2655" t="s">
        <v>422</v>
      </c>
      <c r="D48" s="2667" t="s">
        <v>1910</v>
      </c>
      <c r="E48" s="710"/>
      <c r="F48" s="223" t="str">
        <f>IF('General Information'!$I$12="IP","CFMD: cfm","CFMD: L/s")</f>
        <v>CFMD: L/s</v>
      </c>
      <c r="G48" s="713"/>
      <c r="H48" s="231"/>
      <c r="I48" s="236"/>
      <c r="J48" s="713"/>
      <c r="K48" s="703"/>
      <c r="L48" s="247"/>
      <c r="M48" s="247"/>
      <c r="N48" s="247"/>
      <c r="O48" s="247"/>
      <c r="P48" s="247"/>
      <c r="Q48" s="247"/>
      <c r="R48" s="247"/>
      <c r="S48" s="247"/>
      <c r="T48" s="713"/>
      <c r="U48" s="272" t="s">
        <v>337</v>
      </c>
      <c r="V48" s="272" t="s">
        <v>337</v>
      </c>
      <c r="W48" s="272" t="s">
        <v>337</v>
      </c>
      <c r="X48" s="272" t="s">
        <v>337</v>
      </c>
      <c r="Y48" s="272" t="s">
        <v>337</v>
      </c>
      <c r="Z48" s="272" t="s">
        <v>337</v>
      </c>
      <c r="AA48" s="272" t="s">
        <v>337</v>
      </c>
      <c r="AB48" s="272" t="s">
        <v>337</v>
      </c>
      <c r="AC48" s="272" t="s">
        <v>337</v>
      </c>
      <c r="AD48" s="272" t="s">
        <v>337</v>
      </c>
      <c r="AE48" s="272" t="s">
        <v>337</v>
      </c>
      <c r="AF48" s="272" t="s">
        <v>337</v>
      </c>
      <c r="AG48" s="272" t="s">
        <v>337</v>
      </c>
      <c r="AH48" s="272" t="s">
        <v>337</v>
      </c>
      <c r="AI48" s="272" t="s">
        <v>337</v>
      </c>
      <c r="AJ48" s="272" t="s">
        <v>337</v>
      </c>
      <c r="AK48" s="272" t="s">
        <v>337</v>
      </c>
      <c r="AL48" s="272" t="s">
        <v>337</v>
      </c>
      <c r="AM48" s="272" t="s">
        <v>337</v>
      </c>
      <c r="AN48" s="272" t="s">
        <v>337</v>
      </c>
      <c r="AO48" s="272" t="s">
        <v>337</v>
      </c>
      <c r="AP48" s="272" t="s">
        <v>337</v>
      </c>
      <c r="AQ48" s="272" t="s">
        <v>337</v>
      </c>
      <c r="AR48" s="272" t="s">
        <v>337</v>
      </c>
      <c r="AS48" s="272" t="s">
        <v>337</v>
      </c>
      <c r="AT48" s="102"/>
      <c r="AU48" s="101"/>
      <c r="AV48" s="101"/>
      <c r="AW48" s="1900"/>
      <c r="AX48" s="1902"/>
      <c r="AY48" s="102"/>
      <c r="AZ48" s="101"/>
      <c r="BA48" s="101"/>
      <c r="BB48" s="101"/>
      <c r="BC48" s="101"/>
      <c r="BD48" s="101"/>
      <c r="BE48" s="101"/>
      <c r="BF48" s="101"/>
      <c r="BG48" s="101"/>
      <c r="BH48" s="247"/>
      <c r="BI48" s="272" t="s">
        <v>337</v>
      </c>
      <c r="BJ48" s="102"/>
      <c r="BK48" s="101"/>
      <c r="BL48" s="101"/>
      <c r="BM48" s="101"/>
      <c r="BN48" s="101"/>
      <c r="BO48" s="101"/>
      <c r="BP48" s="101"/>
      <c r="BQ48" s="101"/>
      <c r="BR48" s="101"/>
      <c r="BS48" s="101"/>
      <c r="BT48" s="81"/>
      <c r="BU48" s="81"/>
      <c r="BV48" s="81"/>
      <c r="BW48" s="81"/>
      <c r="BX48" s="81"/>
      <c r="BY48" s="81"/>
      <c r="BZ48" s="81"/>
      <c r="CA48" s="81"/>
      <c r="CB48" s="81"/>
      <c r="CC48" s="81"/>
      <c r="CD48" s="81"/>
      <c r="CE48" s="81"/>
      <c r="CF48" s="81"/>
      <c r="CG48" s="81"/>
      <c r="CH48" s="81"/>
      <c r="CI48" s="81"/>
      <c r="CJ48" s="81"/>
      <c r="CK48" s="81"/>
      <c r="CL48" s="81"/>
      <c r="CM48" s="81"/>
      <c r="CN48" s="81"/>
      <c r="CO48" s="81"/>
      <c r="CP48" s="81"/>
      <c r="CQ48" s="81"/>
      <c r="CR48" s="81"/>
      <c r="CS48" s="81"/>
      <c r="CT48" s="81"/>
    </row>
    <row r="49" spans="2:98" s="79" customFormat="1" x14ac:dyDescent="0.3">
      <c r="B49" s="2648"/>
      <c r="C49" s="2656"/>
      <c r="D49" s="2669"/>
      <c r="E49" s="710"/>
      <c r="F49" s="223" t="str">
        <f>IF('General Information'!$I$12="IP","Adjustment: in. w. c.","Adjustment: Pa")</f>
        <v>Adjustment: Pa</v>
      </c>
      <c r="G49" s="713"/>
      <c r="H49" s="231"/>
      <c r="I49" s="236"/>
      <c r="J49" s="713"/>
      <c r="K49" s="703"/>
      <c r="L49" s="247"/>
      <c r="M49" s="247"/>
      <c r="N49" s="247"/>
      <c r="O49" s="247"/>
      <c r="P49" s="247"/>
      <c r="Q49" s="247"/>
      <c r="R49" s="247"/>
      <c r="S49" s="247"/>
      <c r="T49" s="713"/>
      <c r="U49" s="272" t="s">
        <v>337</v>
      </c>
      <c r="V49" s="272" t="s">
        <v>337</v>
      </c>
      <c r="W49" s="272" t="s">
        <v>337</v>
      </c>
      <c r="X49" s="272" t="s">
        <v>337</v>
      </c>
      <c r="Y49" s="272" t="s">
        <v>337</v>
      </c>
      <c r="Z49" s="272" t="s">
        <v>337</v>
      </c>
      <c r="AA49" s="272" t="s">
        <v>337</v>
      </c>
      <c r="AB49" s="272" t="s">
        <v>337</v>
      </c>
      <c r="AC49" s="272" t="s">
        <v>337</v>
      </c>
      <c r="AD49" s="272" t="s">
        <v>337</v>
      </c>
      <c r="AE49" s="272" t="s">
        <v>337</v>
      </c>
      <c r="AF49" s="272" t="s">
        <v>337</v>
      </c>
      <c r="AG49" s="272" t="s">
        <v>337</v>
      </c>
      <c r="AH49" s="272" t="s">
        <v>337</v>
      </c>
      <c r="AI49" s="272" t="s">
        <v>337</v>
      </c>
      <c r="AJ49" s="272" t="s">
        <v>337</v>
      </c>
      <c r="AK49" s="272" t="s">
        <v>337</v>
      </c>
      <c r="AL49" s="272" t="s">
        <v>337</v>
      </c>
      <c r="AM49" s="272" t="s">
        <v>337</v>
      </c>
      <c r="AN49" s="272" t="s">
        <v>337</v>
      </c>
      <c r="AO49" s="272" t="s">
        <v>337</v>
      </c>
      <c r="AP49" s="272" t="s">
        <v>337</v>
      </c>
      <c r="AQ49" s="272" t="s">
        <v>337</v>
      </c>
      <c r="AR49" s="272" t="s">
        <v>337</v>
      </c>
      <c r="AS49" s="272" t="s">
        <v>337</v>
      </c>
      <c r="AT49" s="102"/>
      <c r="AU49" s="101"/>
      <c r="AV49" s="101"/>
      <c r="AW49" s="1900"/>
      <c r="AX49" s="1902"/>
      <c r="AY49" s="102"/>
      <c r="AZ49" s="101"/>
      <c r="BA49" s="101"/>
      <c r="BB49" s="101"/>
      <c r="BC49" s="101"/>
      <c r="BD49" s="101"/>
      <c r="BE49" s="101"/>
      <c r="BF49" s="101"/>
      <c r="BG49" s="101"/>
      <c r="BH49" s="247"/>
      <c r="BI49" s="272" t="s">
        <v>337</v>
      </c>
      <c r="BJ49" s="102"/>
      <c r="BK49" s="101"/>
      <c r="BL49" s="101"/>
      <c r="BM49" s="101"/>
      <c r="BN49" s="101"/>
      <c r="BO49" s="101"/>
      <c r="BP49" s="101"/>
      <c r="BQ49" s="101"/>
      <c r="BR49" s="101"/>
      <c r="BS49" s="101"/>
      <c r="BT49" s="81"/>
      <c r="BU49" s="81"/>
      <c r="BV49" s="81"/>
      <c r="BW49" s="81"/>
      <c r="BX49" s="81"/>
      <c r="BY49" s="81"/>
      <c r="BZ49" s="81"/>
      <c r="CA49" s="81"/>
      <c r="CB49" s="81"/>
      <c r="CC49" s="81"/>
      <c r="CD49" s="81"/>
      <c r="CE49" s="81"/>
      <c r="CF49" s="81"/>
      <c r="CG49" s="81"/>
      <c r="CH49" s="81"/>
      <c r="CI49" s="81"/>
      <c r="CJ49" s="81"/>
      <c r="CK49" s="81"/>
      <c r="CL49" s="81"/>
      <c r="CM49" s="81"/>
      <c r="CN49" s="81"/>
      <c r="CO49" s="81"/>
      <c r="CP49" s="81"/>
      <c r="CQ49" s="81"/>
      <c r="CR49" s="81"/>
      <c r="CS49" s="81"/>
      <c r="CT49" s="81"/>
    </row>
    <row r="50" spans="2:98" s="79" customFormat="1" x14ac:dyDescent="0.3">
      <c r="B50" s="2648"/>
      <c r="C50" s="2655" t="s">
        <v>251</v>
      </c>
      <c r="D50" s="2667" t="s">
        <v>1911</v>
      </c>
      <c r="E50" s="710"/>
      <c r="F50" s="223" t="str">
        <f>IF('General Information'!$I$12="IP","CFMD: cfm","CFMD: L/s")</f>
        <v>CFMD: L/s</v>
      </c>
      <c r="G50" s="713"/>
      <c r="H50" s="231"/>
      <c r="I50" s="236"/>
      <c r="J50" s="713"/>
      <c r="K50" s="703"/>
      <c r="L50" s="247"/>
      <c r="M50" s="247"/>
      <c r="N50" s="247"/>
      <c r="O50" s="247"/>
      <c r="P50" s="247"/>
      <c r="Q50" s="247"/>
      <c r="R50" s="247"/>
      <c r="S50" s="247"/>
      <c r="T50" s="713"/>
      <c r="U50" s="272" t="s">
        <v>337</v>
      </c>
      <c r="V50" s="272" t="s">
        <v>337</v>
      </c>
      <c r="W50" s="272" t="s">
        <v>337</v>
      </c>
      <c r="X50" s="272" t="s">
        <v>337</v>
      </c>
      <c r="Y50" s="272" t="s">
        <v>337</v>
      </c>
      <c r="Z50" s="272" t="s">
        <v>337</v>
      </c>
      <c r="AA50" s="272" t="s">
        <v>337</v>
      </c>
      <c r="AB50" s="272" t="s">
        <v>337</v>
      </c>
      <c r="AC50" s="272" t="s">
        <v>337</v>
      </c>
      <c r="AD50" s="272" t="s">
        <v>337</v>
      </c>
      <c r="AE50" s="272" t="s">
        <v>337</v>
      </c>
      <c r="AF50" s="272" t="s">
        <v>337</v>
      </c>
      <c r="AG50" s="272" t="s">
        <v>337</v>
      </c>
      <c r="AH50" s="272" t="s">
        <v>337</v>
      </c>
      <c r="AI50" s="272" t="s">
        <v>337</v>
      </c>
      <c r="AJ50" s="272" t="s">
        <v>337</v>
      </c>
      <c r="AK50" s="272" t="s">
        <v>337</v>
      </c>
      <c r="AL50" s="272" t="s">
        <v>337</v>
      </c>
      <c r="AM50" s="272" t="s">
        <v>337</v>
      </c>
      <c r="AN50" s="272" t="s">
        <v>337</v>
      </c>
      <c r="AO50" s="272" t="s">
        <v>337</v>
      </c>
      <c r="AP50" s="272" t="s">
        <v>337</v>
      </c>
      <c r="AQ50" s="272" t="s">
        <v>337</v>
      </c>
      <c r="AR50" s="272" t="s">
        <v>337</v>
      </c>
      <c r="AS50" s="272" t="s">
        <v>337</v>
      </c>
      <c r="AT50" s="102"/>
      <c r="AU50" s="101"/>
      <c r="AV50" s="101"/>
      <c r="AW50" s="1900"/>
      <c r="AX50" s="1902"/>
      <c r="AY50" s="102"/>
      <c r="AZ50" s="101"/>
      <c r="BA50" s="101"/>
      <c r="BB50" s="101"/>
      <c r="BC50" s="101"/>
      <c r="BD50" s="101"/>
      <c r="BE50" s="101"/>
      <c r="BF50" s="101"/>
      <c r="BG50" s="101"/>
      <c r="BH50" s="247"/>
      <c r="BI50" s="272" t="s">
        <v>337</v>
      </c>
      <c r="BJ50" s="102"/>
      <c r="BK50" s="101"/>
      <c r="BL50" s="101"/>
      <c r="BM50" s="101"/>
      <c r="BN50" s="101"/>
      <c r="BO50" s="101"/>
      <c r="BP50" s="101"/>
      <c r="BQ50" s="101"/>
      <c r="BR50" s="101"/>
      <c r="BS50" s="101"/>
      <c r="BT50" s="81"/>
      <c r="BU50" s="81"/>
      <c r="BV50" s="81"/>
      <c r="BW50" s="81"/>
      <c r="BX50" s="81"/>
      <c r="BY50" s="81"/>
      <c r="BZ50" s="81"/>
      <c r="CA50" s="81"/>
      <c r="CB50" s="81"/>
      <c r="CC50" s="81"/>
      <c r="CD50" s="81"/>
      <c r="CE50" s="81"/>
      <c r="CF50" s="81"/>
      <c r="CG50" s="81"/>
      <c r="CH50" s="81"/>
      <c r="CI50" s="81"/>
      <c r="CJ50" s="81"/>
      <c r="CK50" s="81"/>
      <c r="CL50" s="81"/>
      <c r="CM50" s="81"/>
      <c r="CN50" s="81"/>
      <c r="CO50" s="81"/>
      <c r="CP50" s="81"/>
      <c r="CQ50" s="81"/>
      <c r="CR50" s="81"/>
      <c r="CS50" s="81"/>
      <c r="CT50" s="81"/>
    </row>
    <row r="51" spans="2:98" s="79" customFormat="1" x14ac:dyDescent="0.3">
      <c r="B51" s="2648"/>
      <c r="C51" s="2656"/>
      <c r="D51" s="2669"/>
      <c r="E51" s="710"/>
      <c r="F51" s="223" t="str">
        <f>IF('General Information'!$I$12="IP","Adjustment: in. w. c.","Adjustment: Pa")</f>
        <v>Adjustment: Pa</v>
      </c>
      <c r="G51" s="713"/>
      <c r="H51" s="231"/>
      <c r="I51" s="236"/>
      <c r="J51" s="713"/>
      <c r="K51" s="703"/>
      <c r="L51" s="247"/>
      <c r="M51" s="247"/>
      <c r="N51" s="247"/>
      <c r="O51" s="247"/>
      <c r="P51" s="247"/>
      <c r="Q51" s="247"/>
      <c r="R51" s="247"/>
      <c r="S51" s="247"/>
      <c r="T51" s="713"/>
      <c r="U51" s="272" t="s">
        <v>337</v>
      </c>
      <c r="V51" s="272" t="s">
        <v>337</v>
      </c>
      <c r="W51" s="272" t="s">
        <v>337</v>
      </c>
      <c r="X51" s="272" t="s">
        <v>337</v>
      </c>
      <c r="Y51" s="272" t="s">
        <v>337</v>
      </c>
      <c r="Z51" s="272" t="s">
        <v>337</v>
      </c>
      <c r="AA51" s="272" t="s">
        <v>337</v>
      </c>
      <c r="AB51" s="272" t="s">
        <v>337</v>
      </c>
      <c r="AC51" s="272" t="s">
        <v>337</v>
      </c>
      <c r="AD51" s="272" t="s">
        <v>337</v>
      </c>
      <c r="AE51" s="272" t="s">
        <v>337</v>
      </c>
      <c r="AF51" s="272" t="s">
        <v>337</v>
      </c>
      <c r="AG51" s="272" t="s">
        <v>337</v>
      </c>
      <c r="AH51" s="272" t="s">
        <v>337</v>
      </c>
      <c r="AI51" s="272" t="s">
        <v>337</v>
      </c>
      <c r="AJ51" s="272" t="s">
        <v>337</v>
      </c>
      <c r="AK51" s="272" t="s">
        <v>337</v>
      </c>
      <c r="AL51" s="272" t="s">
        <v>337</v>
      </c>
      <c r="AM51" s="272" t="s">
        <v>337</v>
      </c>
      <c r="AN51" s="272" t="s">
        <v>337</v>
      </c>
      <c r="AO51" s="272" t="s">
        <v>337</v>
      </c>
      <c r="AP51" s="272" t="s">
        <v>337</v>
      </c>
      <c r="AQ51" s="272" t="s">
        <v>337</v>
      </c>
      <c r="AR51" s="272" t="s">
        <v>337</v>
      </c>
      <c r="AS51" s="272" t="s">
        <v>337</v>
      </c>
      <c r="AT51" s="102"/>
      <c r="AU51" s="101"/>
      <c r="AV51" s="101"/>
      <c r="AW51" s="1900"/>
      <c r="AX51" s="1902"/>
      <c r="AY51" s="102"/>
      <c r="AZ51" s="101"/>
      <c r="BA51" s="101"/>
      <c r="BB51" s="101"/>
      <c r="BC51" s="101"/>
      <c r="BD51" s="101"/>
      <c r="BE51" s="101"/>
      <c r="BF51" s="101"/>
      <c r="BG51" s="101"/>
      <c r="BH51" s="247"/>
      <c r="BI51" s="272" t="s">
        <v>337</v>
      </c>
      <c r="BJ51" s="102"/>
      <c r="BK51" s="101"/>
      <c r="BL51" s="101"/>
      <c r="BM51" s="101"/>
      <c r="BN51" s="101"/>
      <c r="BO51" s="101"/>
      <c r="BP51" s="101"/>
      <c r="BQ51" s="101"/>
      <c r="BR51" s="101"/>
      <c r="BS51" s="101"/>
      <c r="BT51" s="81"/>
      <c r="BU51" s="81"/>
      <c r="BV51" s="81"/>
      <c r="BW51" s="81"/>
      <c r="BX51" s="81"/>
      <c r="BY51" s="81"/>
      <c r="BZ51" s="81"/>
      <c r="CA51" s="81"/>
      <c r="CB51" s="81"/>
      <c r="CC51" s="81"/>
      <c r="CD51" s="81"/>
      <c r="CE51" s="81"/>
      <c r="CF51" s="81"/>
      <c r="CG51" s="81"/>
      <c r="CH51" s="81"/>
      <c r="CI51" s="81"/>
      <c r="CJ51" s="81"/>
      <c r="CK51" s="81"/>
      <c r="CL51" s="81"/>
      <c r="CM51" s="81"/>
      <c r="CN51" s="81"/>
      <c r="CO51" s="81"/>
      <c r="CP51" s="81"/>
      <c r="CQ51" s="81"/>
      <c r="CR51" s="81"/>
      <c r="CS51" s="81"/>
      <c r="CT51" s="81"/>
    </row>
    <row r="52" spans="2:98" s="79" customFormat="1" x14ac:dyDescent="0.3">
      <c r="B52" s="2648"/>
      <c r="C52" s="2655" t="s">
        <v>339</v>
      </c>
      <c r="D52" s="2667" t="s">
        <v>1912</v>
      </c>
      <c r="E52" s="710"/>
      <c r="F52" s="223" t="str">
        <f>IF('General Information'!$I$12="IP","CFMD: cfm","CFMD: L/s")</f>
        <v>CFMD: L/s</v>
      </c>
      <c r="G52" s="713"/>
      <c r="H52" s="231"/>
      <c r="I52" s="236"/>
      <c r="J52" s="713"/>
      <c r="K52" s="703"/>
      <c r="L52" s="247"/>
      <c r="M52" s="247"/>
      <c r="N52" s="247"/>
      <c r="O52" s="247"/>
      <c r="P52" s="247"/>
      <c r="Q52" s="247"/>
      <c r="R52" s="247"/>
      <c r="S52" s="247"/>
      <c r="T52" s="713"/>
      <c r="U52" s="272" t="s">
        <v>337</v>
      </c>
      <c r="V52" s="272" t="s">
        <v>337</v>
      </c>
      <c r="W52" s="272" t="s">
        <v>337</v>
      </c>
      <c r="X52" s="272" t="s">
        <v>337</v>
      </c>
      <c r="Y52" s="272" t="s">
        <v>337</v>
      </c>
      <c r="Z52" s="272" t="s">
        <v>337</v>
      </c>
      <c r="AA52" s="272" t="s">
        <v>337</v>
      </c>
      <c r="AB52" s="272" t="s">
        <v>337</v>
      </c>
      <c r="AC52" s="272" t="s">
        <v>337</v>
      </c>
      <c r="AD52" s="272" t="s">
        <v>337</v>
      </c>
      <c r="AE52" s="272" t="s">
        <v>337</v>
      </c>
      <c r="AF52" s="272" t="s">
        <v>337</v>
      </c>
      <c r="AG52" s="272" t="s">
        <v>337</v>
      </c>
      <c r="AH52" s="272" t="s">
        <v>337</v>
      </c>
      <c r="AI52" s="272" t="s">
        <v>337</v>
      </c>
      <c r="AJ52" s="272" t="s">
        <v>337</v>
      </c>
      <c r="AK52" s="272" t="s">
        <v>337</v>
      </c>
      <c r="AL52" s="272" t="s">
        <v>337</v>
      </c>
      <c r="AM52" s="272" t="s">
        <v>337</v>
      </c>
      <c r="AN52" s="272" t="s">
        <v>337</v>
      </c>
      <c r="AO52" s="272" t="s">
        <v>337</v>
      </c>
      <c r="AP52" s="272" t="s">
        <v>337</v>
      </c>
      <c r="AQ52" s="272" t="s">
        <v>337</v>
      </c>
      <c r="AR52" s="272" t="s">
        <v>337</v>
      </c>
      <c r="AS52" s="272" t="s">
        <v>337</v>
      </c>
      <c r="AT52" s="102"/>
      <c r="AU52" s="101"/>
      <c r="AV52" s="101"/>
      <c r="AW52" s="1900"/>
      <c r="AX52" s="1902"/>
      <c r="AY52" s="102"/>
      <c r="AZ52" s="101"/>
      <c r="BA52" s="101"/>
      <c r="BB52" s="101"/>
      <c r="BC52" s="101"/>
      <c r="BD52" s="101"/>
      <c r="BE52" s="101"/>
      <c r="BF52" s="101"/>
      <c r="BG52" s="101"/>
      <c r="BH52" s="247"/>
      <c r="BI52" s="272" t="s">
        <v>337</v>
      </c>
      <c r="BJ52" s="102"/>
      <c r="BK52" s="101"/>
      <c r="BL52" s="101"/>
      <c r="BM52" s="101"/>
      <c r="BN52" s="101"/>
      <c r="BO52" s="101"/>
      <c r="BP52" s="101"/>
      <c r="BQ52" s="101"/>
      <c r="BR52" s="101"/>
      <c r="BS52" s="101"/>
      <c r="BT52" s="81"/>
      <c r="BU52" s="81"/>
      <c r="BV52" s="81"/>
      <c r="BW52" s="81"/>
      <c r="BX52" s="81"/>
      <c r="BY52" s="81"/>
      <c r="BZ52" s="81"/>
      <c r="CA52" s="81"/>
      <c r="CB52" s="81"/>
      <c r="CC52" s="81"/>
      <c r="CD52" s="81"/>
      <c r="CE52" s="81"/>
      <c r="CF52" s="81"/>
      <c r="CG52" s="81"/>
      <c r="CH52" s="81"/>
      <c r="CI52" s="81"/>
      <c r="CJ52" s="81"/>
      <c r="CK52" s="81"/>
      <c r="CL52" s="81"/>
      <c r="CM52" s="81"/>
      <c r="CN52" s="81"/>
      <c r="CO52" s="81"/>
      <c r="CP52" s="81"/>
      <c r="CQ52" s="81"/>
      <c r="CR52" s="81"/>
      <c r="CS52" s="81"/>
      <c r="CT52" s="81"/>
    </row>
    <row r="53" spans="2:98" s="79" customFormat="1" x14ac:dyDescent="0.3">
      <c r="B53" s="2648"/>
      <c r="C53" s="2656"/>
      <c r="D53" s="2669"/>
      <c r="E53" s="710"/>
      <c r="F53" s="223" t="str">
        <f>IF('General Information'!$I$12="IP","Adjustment: in. w. c.","Adjustment: Pa")</f>
        <v>Adjustment: Pa</v>
      </c>
      <c r="G53" s="713"/>
      <c r="H53" s="231"/>
      <c r="I53" s="236"/>
      <c r="J53" s="713"/>
      <c r="K53" s="703"/>
      <c r="L53" s="247"/>
      <c r="M53" s="247"/>
      <c r="N53" s="247"/>
      <c r="O53" s="247"/>
      <c r="P53" s="247"/>
      <c r="Q53" s="247"/>
      <c r="R53" s="247"/>
      <c r="S53" s="247"/>
      <c r="T53" s="713"/>
      <c r="U53" s="272" t="s">
        <v>337</v>
      </c>
      <c r="V53" s="272" t="s">
        <v>337</v>
      </c>
      <c r="W53" s="272" t="s">
        <v>337</v>
      </c>
      <c r="X53" s="272" t="s">
        <v>337</v>
      </c>
      <c r="Y53" s="272" t="s">
        <v>337</v>
      </c>
      <c r="Z53" s="272" t="s">
        <v>337</v>
      </c>
      <c r="AA53" s="272" t="s">
        <v>337</v>
      </c>
      <c r="AB53" s="272" t="s">
        <v>337</v>
      </c>
      <c r="AC53" s="272" t="s">
        <v>337</v>
      </c>
      <c r="AD53" s="272" t="s">
        <v>337</v>
      </c>
      <c r="AE53" s="272" t="s">
        <v>337</v>
      </c>
      <c r="AF53" s="272" t="s">
        <v>337</v>
      </c>
      <c r="AG53" s="272" t="s">
        <v>337</v>
      </c>
      <c r="AH53" s="272" t="s">
        <v>337</v>
      </c>
      <c r="AI53" s="272" t="s">
        <v>337</v>
      </c>
      <c r="AJ53" s="272" t="s">
        <v>337</v>
      </c>
      <c r="AK53" s="272" t="s">
        <v>337</v>
      </c>
      <c r="AL53" s="272" t="s">
        <v>337</v>
      </c>
      <c r="AM53" s="272" t="s">
        <v>337</v>
      </c>
      <c r="AN53" s="272" t="s">
        <v>337</v>
      </c>
      <c r="AO53" s="272" t="s">
        <v>337</v>
      </c>
      <c r="AP53" s="272" t="s">
        <v>337</v>
      </c>
      <c r="AQ53" s="272" t="s">
        <v>337</v>
      </c>
      <c r="AR53" s="272" t="s">
        <v>337</v>
      </c>
      <c r="AS53" s="272" t="s">
        <v>337</v>
      </c>
      <c r="AT53" s="102"/>
      <c r="AU53" s="101"/>
      <c r="AV53" s="101"/>
      <c r="AW53" s="1900"/>
      <c r="AX53" s="1902"/>
      <c r="AY53" s="102"/>
      <c r="AZ53" s="101"/>
      <c r="BA53" s="101"/>
      <c r="BB53" s="101"/>
      <c r="BC53" s="101"/>
      <c r="BD53" s="101"/>
      <c r="BE53" s="101"/>
      <c r="BF53" s="101"/>
      <c r="BG53" s="101"/>
      <c r="BH53" s="247"/>
      <c r="BI53" s="272" t="s">
        <v>337</v>
      </c>
      <c r="BJ53" s="102"/>
      <c r="BK53" s="101"/>
      <c r="BL53" s="101"/>
      <c r="BM53" s="101"/>
      <c r="BN53" s="101"/>
      <c r="BO53" s="101"/>
      <c r="BP53" s="101"/>
      <c r="BQ53" s="101"/>
      <c r="BR53" s="101"/>
      <c r="BS53" s="101"/>
      <c r="BT53" s="81"/>
      <c r="BU53" s="81"/>
      <c r="BV53" s="81"/>
      <c r="BW53" s="81"/>
      <c r="BX53" s="81"/>
      <c r="BY53" s="81"/>
      <c r="BZ53" s="81"/>
      <c r="CA53" s="81"/>
      <c r="CB53" s="81"/>
      <c r="CC53" s="81"/>
      <c r="CD53" s="81"/>
      <c r="CE53" s="81"/>
      <c r="CF53" s="81"/>
      <c r="CG53" s="81"/>
      <c r="CH53" s="81"/>
      <c r="CI53" s="81"/>
      <c r="CJ53" s="81"/>
      <c r="CK53" s="81"/>
      <c r="CL53" s="81"/>
      <c r="CM53" s="81"/>
      <c r="CN53" s="81"/>
      <c r="CO53" s="81"/>
      <c r="CP53" s="81"/>
      <c r="CQ53" s="81"/>
      <c r="CR53" s="81"/>
      <c r="CS53" s="81"/>
      <c r="CT53" s="81"/>
    </row>
    <row r="54" spans="2:98" s="79" customFormat="1" x14ac:dyDescent="0.3">
      <c r="B54" s="2648"/>
      <c r="C54" s="2655" t="s">
        <v>340</v>
      </c>
      <c r="D54" s="2667" t="s">
        <v>1913</v>
      </c>
      <c r="E54" s="710"/>
      <c r="F54" s="223" t="str">
        <f>IF('General Information'!$I$12="IP","CFMD: cfm","CFMD: L/s")</f>
        <v>CFMD: L/s</v>
      </c>
      <c r="G54" s="713"/>
      <c r="H54" s="231"/>
      <c r="I54" s="236"/>
      <c r="J54" s="713"/>
      <c r="K54" s="703"/>
      <c r="L54" s="247"/>
      <c r="M54" s="247"/>
      <c r="N54" s="247"/>
      <c r="O54" s="247"/>
      <c r="P54" s="247"/>
      <c r="Q54" s="247"/>
      <c r="R54" s="247"/>
      <c r="S54" s="247"/>
      <c r="T54" s="713"/>
      <c r="U54" s="272" t="s">
        <v>337</v>
      </c>
      <c r="V54" s="272" t="s">
        <v>337</v>
      </c>
      <c r="W54" s="272" t="s">
        <v>337</v>
      </c>
      <c r="X54" s="272" t="s">
        <v>337</v>
      </c>
      <c r="Y54" s="272" t="s">
        <v>337</v>
      </c>
      <c r="Z54" s="272" t="s">
        <v>337</v>
      </c>
      <c r="AA54" s="272" t="s">
        <v>337</v>
      </c>
      <c r="AB54" s="272" t="s">
        <v>337</v>
      </c>
      <c r="AC54" s="272" t="s">
        <v>337</v>
      </c>
      <c r="AD54" s="272" t="s">
        <v>337</v>
      </c>
      <c r="AE54" s="272" t="s">
        <v>337</v>
      </c>
      <c r="AF54" s="272" t="s">
        <v>337</v>
      </c>
      <c r="AG54" s="272" t="s">
        <v>337</v>
      </c>
      <c r="AH54" s="272" t="s">
        <v>337</v>
      </c>
      <c r="AI54" s="272" t="s">
        <v>337</v>
      </c>
      <c r="AJ54" s="272" t="s">
        <v>337</v>
      </c>
      <c r="AK54" s="272" t="s">
        <v>337</v>
      </c>
      <c r="AL54" s="272" t="s">
        <v>337</v>
      </c>
      <c r="AM54" s="272" t="s">
        <v>337</v>
      </c>
      <c r="AN54" s="272" t="s">
        <v>337</v>
      </c>
      <c r="AO54" s="272" t="s">
        <v>337</v>
      </c>
      <c r="AP54" s="272" t="s">
        <v>337</v>
      </c>
      <c r="AQ54" s="272" t="s">
        <v>337</v>
      </c>
      <c r="AR54" s="272" t="s">
        <v>337</v>
      </c>
      <c r="AS54" s="272" t="s">
        <v>337</v>
      </c>
      <c r="AT54" s="102"/>
      <c r="AU54" s="101"/>
      <c r="AV54" s="101"/>
      <c r="AW54" s="1900"/>
      <c r="AX54" s="1902"/>
      <c r="AY54" s="102"/>
      <c r="AZ54" s="101"/>
      <c r="BA54" s="101"/>
      <c r="BB54" s="101"/>
      <c r="BC54" s="101"/>
      <c r="BD54" s="101"/>
      <c r="BE54" s="101"/>
      <c r="BF54" s="101"/>
      <c r="BG54" s="101"/>
      <c r="BH54" s="247"/>
      <c r="BI54" s="272" t="s">
        <v>337</v>
      </c>
      <c r="BJ54" s="102"/>
      <c r="BK54" s="101"/>
      <c r="BL54" s="101"/>
      <c r="BM54" s="101"/>
      <c r="BN54" s="101"/>
      <c r="BO54" s="101"/>
      <c r="BP54" s="101"/>
      <c r="BQ54" s="101"/>
      <c r="BR54" s="101"/>
      <c r="BS54" s="101"/>
      <c r="BT54" s="81"/>
      <c r="BU54" s="81"/>
      <c r="BV54" s="81"/>
      <c r="BW54" s="81"/>
      <c r="BX54" s="81"/>
      <c r="BY54" s="81"/>
      <c r="BZ54" s="81"/>
      <c r="CA54" s="81"/>
      <c r="CB54" s="81"/>
      <c r="CC54" s="81"/>
      <c r="CD54" s="81"/>
      <c r="CE54" s="81"/>
      <c r="CF54" s="81"/>
      <c r="CG54" s="81"/>
      <c r="CH54" s="81"/>
      <c r="CI54" s="81"/>
      <c r="CJ54" s="81"/>
      <c r="CK54" s="81"/>
      <c r="CL54" s="81"/>
      <c r="CM54" s="81"/>
      <c r="CN54" s="81"/>
      <c r="CO54" s="81"/>
      <c r="CP54" s="81"/>
      <c r="CQ54" s="81"/>
      <c r="CR54" s="81"/>
      <c r="CS54" s="81"/>
      <c r="CT54" s="81"/>
    </row>
    <row r="55" spans="2:98" s="79" customFormat="1" x14ac:dyDescent="0.3">
      <c r="B55" s="2648"/>
      <c r="C55" s="2656"/>
      <c r="D55" s="2669"/>
      <c r="E55" s="710"/>
      <c r="F55" s="223" t="str">
        <f>IF('General Information'!$I$12="IP","Adjustment: in. w. c.","Adjustment: Pa")</f>
        <v>Adjustment: Pa</v>
      </c>
      <c r="G55" s="713"/>
      <c r="H55" s="231"/>
      <c r="I55" s="236"/>
      <c r="J55" s="713"/>
      <c r="K55" s="703"/>
      <c r="L55" s="247"/>
      <c r="M55" s="247"/>
      <c r="N55" s="247"/>
      <c r="O55" s="247"/>
      <c r="P55" s="247"/>
      <c r="Q55" s="247"/>
      <c r="R55" s="247"/>
      <c r="S55" s="247"/>
      <c r="T55" s="713"/>
      <c r="U55" s="272" t="s">
        <v>337</v>
      </c>
      <c r="V55" s="272" t="s">
        <v>337</v>
      </c>
      <c r="W55" s="272" t="s">
        <v>337</v>
      </c>
      <c r="X55" s="272" t="s">
        <v>337</v>
      </c>
      <c r="Y55" s="272" t="s">
        <v>337</v>
      </c>
      <c r="Z55" s="272" t="s">
        <v>337</v>
      </c>
      <c r="AA55" s="272" t="s">
        <v>337</v>
      </c>
      <c r="AB55" s="272" t="s">
        <v>337</v>
      </c>
      <c r="AC55" s="272" t="s">
        <v>337</v>
      </c>
      <c r="AD55" s="272" t="s">
        <v>337</v>
      </c>
      <c r="AE55" s="272" t="s">
        <v>337</v>
      </c>
      <c r="AF55" s="272" t="s">
        <v>337</v>
      </c>
      <c r="AG55" s="272" t="s">
        <v>337</v>
      </c>
      <c r="AH55" s="272" t="s">
        <v>337</v>
      </c>
      <c r="AI55" s="272" t="s">
        <v>337</v>
      </c>
      <c r="AJ55" s="272" t="s">
        <v>337</v>
      </c>
      <c r="AK55" s="272" t="s">
        <v>337</v>
      </c>
      <c r="AL55" s="272" t="s">
        <v>337</v>
      </c>
      <c r="AM55" s="272" t="s">
        <v>337</v>
      </c>
      <c r="AN55" s="272" t="s">
        <v>337</v>
      </c>
      <c r="AO55" s="272" t="s">
        <v>337</v>
      </c>
      <c r="AP55" s="272" t="s">
        <v>337</v>
      </c>
      <c r="AQ55" s="272" t="s">
        <v>337</v>
      </c>
      <c r="AR55" s="272" t="s">
        <v>337</v>
      </c>
      <c r="AS55" s="272" t="s">
        <v>337</v>
      </c>
      <c r="AT55" s="102"/>
      <c r="AU55" s="101"/>
      <c r="AV55" s="101"/>
      <c r="AW55" s="1900"/>
      <c r="AX55" s="1902"/>
      <c r="AY55" s="102"/>
      <c r="AZ55" s="101"/>
      <c r="BA55" s="101"/>
      <c r="BB55" s="101"/>
      <c r="BC55" s="101"/>
      <c r="BD55" s="101"/>
      <c r="BE55" s="101"/>
      <c r="BF55" s="101"/>
      <c r="BG55" s="101"/>
      <c r="BH55" s="247"/>
      <c r="BI55" s="272" t="s">
        <v>337</v>
      </c>
      <c r="BJ55" s="102"/>
      <c r="BK55" s="101"/>
      <c r="BL55" s="101"/>
      <c r="BM55" s="101"/>
      <c r="BN55" s="101"/>
      <c r="BO55" s="101"/>
      <c r="BP55" s="101"/>
      <c r="BQ55" s="101"/>
      <c r="BR55" s="101"/>
      <c r="BS55" s="101"/>
      <c r="BT55" s="81"/>
      <c r="BU55" s="81"/>
      <c r="BV55" s="81"/>
      <c r="BW55" s="81"/>
      <c r="BX55" s="81"/>
      <c r="BY55" s="81"/>
      <c r="BZ55" s="81"/>
      <c r="CA55" s="81"/>
      <c r="CB55" s="81"/>
      <c r="CC55" s="81"/>
      <c r="CD55" s="81"/>
      <c r="CE55" s="81"/>
      <c r="CF55" s="81"/>
      <c r="CG55" s="81"/>
      <c r="CH55" s="81"/>
      <c r="CI55" s="81"/>
      <c r="CJ55" s="81"/>
      <c r="CK55" s="81"/>
      <c r="CL55" s="81"/>
      <c r="CM55" s="81"/>
      <c r="CN55" s="81"/>
      <c r="CO55" s="81"/>
      <c r="CP55" s="81"/>
      <c r="CQ55" s="81"/>
      <c r="CR55" s="81"/>
      <c r="CS55" s="81"/>
      <c r="CT55" s="81"/>
    </row>
    <row r="56" spans="2:98" s="79" customFormat="1" x14ac:dyDescent="0.3">
      <c r="B56" s="2648"/>
      <c r="C56" s="2655" t="s">
        <v>341</v>
      </c>
      <c r="D56" s="2667" t="s">
        <v>1914</v>
      </c>
      <c r="E56" s="710"/>
      <c r="F56" s="223" t="str">
        <f>IF('General Information'!$I$12="IP","CFMD: cfm","CFMD: L/s")</f>
        <v>CFMD: L/s</v>
      </c>
      <c r="G56" s="713"/>
      <c r="H56" s="231"/>
      <c r="I56" s="236"/>
      <c r="J56" s="713"/>
      <c r="K56" s="703"/>
      <c r="L56" s="247"/>
      <c r="M56" s="247"/>
      <c r="N56" s="247"/>
      <c r="O56" s="247"/>
      <c r="P56" s="247"/>
      <c r="Q56" s="247"/>
      <c r="R56" s="247"/>
      <c r="S56" s="247"/>
      <c r="T56" s="713"/>
      <c r="U56" s="272" t="s">
        <v>337</v>
      </c>
      <c r="V56" s="272" t="s">
        <v>337</v>
      </c>
      <c r="W56" s="272" t="s">
        <v>337</v>
      </c>
      <c r="X56" s="272" t="s">
        <v>337</v>
      </c>
      <c r="Y56" s="272" t="s">
        <v>337</v>
      </c>
      <c r="Z56" s="272" t="s">
        <v>337</v>
      </c>
      <c r="AA56" s="272" t="s">
        <v>337</v>
      </c>
      <c r="AB56" s="272" t="s">
        <v>337</v>
      </c>
      <c r="AC56" s="272" t="s">
        <v>337</v>
      </c>
      <c r="AD56" s="272" t="s">
        <v>337</v>
      </c>
      <c r="AE56" s="272" t="s">
        <v>337</v>
      </c>
      <c r="AF56" s="272" t="s">
        <v>337</v>
      </c>
      <c r="AG56" s="272" t="s">
        <v>337</v>
      </c>
      <c r="AH56" s="272" t="s">
        <v>337</v>
      </c>
      <c r="AI56" s="272" t="s">
        <v>337</v>
      </c>
      <c r="AJ56" s="272" t="s">
        <v>337</v>
      </c>
      <c r="AK56" s="272" t="s">
        <v>337</v>
      </c>
      <c r="AL56" s="272" t="s">
        <v>337</v>
      </c>
      <c r="AM56" s="272" t="s">
        <v>337</v>
      </c>
      <c r="AN56" s="272" t="s">
        <v>337</v>
      </c>
      <c r="AO56" s="272" t="s">
        <v>337</v>
      </c>
      <c r="AP56" s="272" t="s">
        <v>337</v>
      </c>
      <c r="AQ56" s="272" t="s">
        <v>337</v>
      </c>
      <c r="AR56" s="272" t="s">
        <v>337</v>
      </c>
      <c r="AS56" s="272" t="s">
        <v>337</v>
      </c>
      <c r="AT56" s="102"/>
      <c r="AU56" s="101"/>
      <c r="AV56" s="101"/>
      <c r="AW56" s="1900"/>
      <c r="AX56" s="1902"/>
      <c r="AY56" s="102"/>
      <c r="AZ56" s="101"/>
      <c r="BA56" s="101"/>
      <c r="BB56" s="101"/>
      <c r="BC56" s="101"/>
      <c r="BD56" s="101"/>
      <c r="BE56" s="101"/>
      <c r="BF56" s="101"/>
      <c r="BG56" s="101"/>
      <c r="BH56" s="247"/>
      <c r="BI56" s="272" t="s">
        <v>337</v>
      </c>
      <c r="BJ56" s="102"/>
      <c r="BK56" s="101"/>
      <c r="BL56" s="101"/>
      <c r="BM56" s="101"/>
      <c r="BN56" s="101"/>
      <c r="BO56" s="101"/>
      <c r="BP56" s="101"/>
      <c r="BQ56" s="101"/>
      <c r="BR56" s="101"/>
      <c r="BS56" s="101"/>
      <c r="BT56" s="81"/>
      <c r="BU56" s="81"/>
      <c r="BV56" s="81"/>
      <c r="BW56" s="81"/>
      <c r="BX56" s="81"/>
      <c r="BY56" s="81"/>
      <c r="BZ56" s="81"/>
      <c r="CA56" s="81"/>
      <c r="CB56" s="81"/>
      <c r="CC56" s="81"/>
      <c r="CD56" s="81"/>
      <c r="CE56" s="81"/>
      <c r="CF56" s="81"/>
      <c r="CG56" s="81"/>
      <c r="CH56" s="81"/>
      <c r="CI56" s="81"/>
      <c r="CJ56" s="81"/>
      <c r="CK56" s="81"/>
      <c r="CL56" s="81"/>
      <c r="CM56" s="81"/>
      <c r="CN56" s="81"/>
      <c r="CO56" s="81"/>
      <c r="CP56" s="81"/>
      <c r="CQ56" s="81"/>
      <c r="CR56" s="81"/>
      <c r="CS56" s="81"/>
      <c r="CT56" s="81"/>
    </row>
    <row r="57" spans="2:98" s="79" customFormat="1" x14ac:dyDescent="0.3">
      <c r="B57" s="2648"/>
      <c r="C57" s="2656"/>
      <c r="D57" s="2669"/>
      <c r="E57" s="710"/>
      <c r="F57" s="223" t="str">
        <f>IF('General Information'!$I$12="IP","Adjustment: in. w. c.","Adjustment: Pa")</f>
        <v>Adjustment: Pa</v>
      </c>
      <c r="G57" s="713"/>
      <c r="H57" s="231"/>
      <c r="I57" s="236"/>
      <c r="J57" s="713"/>
      <c r="K57" s="703"/>
      <c r="L57" s="247"/>
      <c r="M57" s="247"/>
      <c r="N57" s="247"/>
      <c r="O57" s="247"/>
      <c r="P57" s="247"/>
      <c r="Q57" s="247"/>
      <c r="R57" s="247"/>
      <c r="S57" s="247"/>
      <c r="T57" s="713"/>
      <c r="U57" s="272" t="s">
        <v>337</v>
      </c>
      <c r="V57" s="272" t="s">
        <v>337</v>
      </c>
      <c r="W57" s="272" t="s">
        <v>337</v>
      </c>
      <c r="X57" s="272" t="s">
        <v>337</v>
      </c>
      <c r="Y57" s="272" t="s">
        <v>337</v>
      </c>
      <c r="Z57" s="272" t="s">
        <v>337</v>
      </c>
      <c r="AA57" s="272" t="s">
        <v>337</v>
      </c>
      <c r="AB57" s="272" t="s">
        <v>337</v>
      </c>
      <c r="AC57" s="272" t="s">
        <v>337</v>
      </c>
      <c r="AD57" s="272" t="s">
        <v>337</v>
      </c>
      <c r="AE57" s="272" t="s">
        <v>337</v>
      </c>
      <c r="AF57" s="272" t="s">
        <v>337</v>
      </c>
      <c r="AG57" s="272" t="s">
        <v>337</v>
      </c>
      <c r="AH57" s="272" t="s">
        <v>337</v>
      </c>
      <c r="AI57" s="272" t="s">
        <v>337</v>
      </c>
      <c r="AJ57" s="272" t="s">
        <v>337</v>
      </c>
      <c r="AK57" s="272" t="s">
        <v>337</v>
      </c>
      <c r="AL57" s="272" t="s">
        <v>337</v>
      </c>
      <c r="AM57" s="272" t="s">
        <v>337</v>
      </c>
      <c r="AN57" s="272" t="s">
        <v>337</v>
      </c>
      <c r="AO57" s="272" t="s">
        <v>337</v>
      </c>
      <c r="AP57" s="272" t="s">
        <v>337</v>
      </c>
      <c r="AQ57" s="272" t="s">
        <v>337</v>
      </c>
      <c r="AR57" s="272" t="s">
        <v>337</v>
      </c>
      <c r="AS57" s="272" t="s">
        <v>337</v>
      </c>
      <c r="AT57" s="102"/>
      <c r="AU57" s="101"/>
      <c r="AV57" s="101"/>
      <c r="AW57" s="1900"/>
      <c r="AX57" s="1902"/>
      <c r="AY57" s="102"/>
      <c r="AZ57" s="101"/>
      <c r="BA57" s="101"/>
      <c r="BB57" s="101"/>
      <c r="BC57" s="101"/>
      <c r="BD57" s="101"/>
      <c r="BE57" s="101"/>
      <c r="BF57" s="101"/>
      <c r="BG57" s="101"/>
      <c r="BH57" s="247"/>
      <c r="BI57" s="272" t="s">
        <v>337</v>
      </c>
      <c r="BJ57" s="102"/>
      <c r="BK57" s="101"/>
      <c r="BL57" s="101"/>
      <c r="BM57" s="101"/>
      <c r="BN57" s="101"/>
      <c r="BO57" s="101"/>
      <c r="BP57" s="101"/>
      <c r="BQ57" s="101"/>
      <c r="BR57" s="101"/>
      <c r="BS57" s="101"/>
      <c r="BT57" s="81"/>
      <c r="BU57" s="81"/>
      <c r="BV57" s="81"/>
      <c r="BW57" s="81"/>
      <c r="BX57" s="81"/>
      <c r="BY57" s="81"/>
      <c r="BZ57" s="81"/>
      <c r="CA57" s="81"/>
      <c r="CB57" s="81"/>
      <c r="CC57" s="81"/>
      <c r="CD57" s="81"/>
      <c r="CE57" s="81"/>
      <c r="CF57" s="81"/>
      <c r="CG57" s="81"/>
      <c r="CH57" s="81"/>
      <c r="CI57" s="81"/>
      <c r="CJ57" s="81"/>
      <c r="CK57" s="81"/>
      <c r="CL57" s="81"/>
      <c r="CM57" s="81"/>
      <c r="CN57" s="81"/>
      <c r="CO57" s="81"/>
      <c r="CP57" s="81"/>
      <c r="CQ57" s="81"/>
      <c r="CR57" s="81"/>
      <c r="CS57" s="81"/>
      <c r="CT57" s="81"/>
    </row>
    <row r="58" spans="2:98" s="79" customFormat="1" x14ac:dyDescent="0.3">
      <c r="B58" s="2648"/>
      <c r="C58" s="2655" t="s">
        <v>252</v>
      </c>
      <c r="D58" s="2667" t="s">
        <v>1915</v>
      </c>
      <c r="E58" s="710"/>
      <c r="F58" s="223" t="str">
        <f>IF('General Information'!$I$12="IP","CFMD: cfm","CFMD: L/s")</f>
        <v>CFMD: L/s</v>
      </c>
      <c r="G58" s="713"/>
      <c r="H58" s="231"/>
      <c r="I58" s="236"/>
      <c r="J58" s="713"/>
      <c r="K58" s="703"/>
      <c r="L58" s="247"/>
      <c r="M58" s="247"/>
      <c r="N58" s="247"/>
      <c r="O58" s="247"/>
      <c r="P58" s="247"/>
      <c r="Q58" s="247"/>
      <c r="R58" s="247"/>
      <c r="S58" s="247"/>
      <c r="T58" s="713"/>
      <c r="U58" s="272" t="s">
        <v>337</v>
      </c>
      <c r="V58" s="272" t="s">
        <v>337</v>
      </c>
      <c r="W58" s="272" t="s">
        <v>337</v>
      </c>
      <c r="X58" s="272" t="s">
        <v>337</v>
      </c>
      <c r="Y58" s="272" t="s">
        <v>337</v>
      </c>
      <c r="Z58" s="272" t="s">
        <v>337</v>
      </c>
      <c r="AA58" s="272" t="s">
        <v>337</v>
      </c>
      <c r="AB58" s="272" t="s">
        <v>337</v>
      </c>
      <c r="AC58" s="272" t="s">
        <v>337</v>
      </c>
      <c r="AD58" s="272" t="s">
        <v>337</v>
      </c>
      <c r="AE58" s="272" t="s">
        <v>337</v>
      </c>
      <c r="AF58" s="272" t="s">
        <v>337</v>
      </c>
      <c r="AG58" s="272" t="s">
        <v>337</v>
      </c>
      <c r="AH58" s="272" t="s">
        <v>337</v>
      </c>
      <c r="AI58" s="272" t="s">
        <v>337</v>
      </c>
      <c r="AJ58" s="272" t="s">
        <v>337</v>
      </c>
      <c r="AK58" s="272" t="s">
        <v>337</v>
      </c>
      <c r="AL58" s="272" t="s">
        <v>337</v>
      </c>
      <c r="AM58" s="272" t="s">
        <v>337</v>
      </c>
      <c r="AN58" s="272" t="s">
        <v>337</v>
      </c>
      <c r="AO58" s="272" t="s">
        <v>337</v>
      </c>
      <c r="AP58" s="272" t="s">
        <v>337</v>
      </c>
      <c r="AQ58" s="272" t="s">
        <v>337</v>
      </c>
      <c r="AR58" s="272" t="s">
        <v>337</v>
      </c>
      <c r="AS58" s="272" t="s">
        <v>337</v>
      </c>
      <c r="AT58" s="102"/>
      <c r="AU58" s="101"/>
      <c r="AV58" s="101"/>
      <c r="AW58" s="1900"/>
      <c r="AX58" s="1902"/>
      <c r="AY58" s="102"/>
      <c r="AZ58" s="101"/>
      <c r="BA58" s="101"/>
      <c r="BB58" s="101"/>
      <c r="BC58" s="101"/>
      <c r="BD58" s="101"/>
      <c r="BE58" s="101"/>
      <c r="BF58" s="101"/>
      <c r="BG58" s="101"/>
      <c r="BH58" s="247"/>
      <c r="BI58" s="272" t="s">
        <v>337</v>
      </c>
      <c r="BJ58" s="102"/>
      <c r="BK58" s="101"/>
      <c r="BL58" s="101"/>
      <c r="BM58" s="101"/>
      <c r="BN58" s="101"/>
      <c r="BO58" s="101"/>
      <c r="BP58" s="101"/>
      <c r="BQ58" s="101"/>
      <c r="BR58" s="101"/>
      <c r="BS58" s="101"/>
      <c r="BT58" s="81"/>
      <c r="BU58" s="81"/>
      <c r="BV58" s="81"/>
      <c r="BW58" s="81"/>
      <c r="BX58" s="81"/>
      <c r="BY58" s="81"/>
      <c r="BZ58" s="81"/>
      <c r="CA58" s="81"/>
      <c r="CB58" s="81"/>
      <c r="CC58" s="81"/>
      <c r="CD58" s="81"/>
      <c r="CE58" s="81"/>
      <c r="CF58" s="81"/>
      <c r="CG58" s="81"/>
      <c r="CH58" s="81"/>
      <c r="CI58" s="81"/>
      <c r="CJ58" s="81"/>
      <c r="CK58" s="81"/>
      <c r="CL58" s="81"/>
      <c r="CM58" s="81"/>
      <c r="CN58" s="81"/>
      <c r="CO58" s="81"/>
      <c r="CP58" s="81"/>
      <c r="CQ58" s="81"/>
      <c r="CR58" s="81"/>
      <c r="CS58" s="81"/>
      <c r="CT58" s="81"/>
    </row>
    <row r="59" spans="2:98" s="79" customFormat="1" x14ac:dyDescent="0.3">
      <c r="B59" s="2648"/>
      <c r="C59" s="2656"/>
      <c r="D59" s="2669"/>
      <c r="E59" s="710"/>
      <c r="F59" s="223" t="str">
        <f>IF('General Information'!$I$12="IP","Adjustment: in. w. c.","Adjustment: Pa")</f>
        <v>Adjustment: Pa</v>
      </c>
      <c r="G59" s="713"/>
      <c r="H59" s="231"/>
      <c r="I59" s="236"/>
      <c r="J59" s="713"/>
      <c r="K59" s="703"/>
      <c r="L59" s="247"/>
      <c r="M59" s="247"/>
      <c r="N59" s="247"/>
      <c r="O59" s="247"/>
      <c r="P59" s="247"/>
      <c r="Q59" s="247"/>
      <c r="R59" s="247"/>
      <c r="S59" s="247"/>
      <c r="T59" s="713"/>
      <c r="U59" s="272" t="s">
        <v>337</v>
      </c>
      <c r="V59" s="272" t="s">
        <v>337</v>
      </c>
      <c r="W59" s="272" t="s">
        <v>337</v>
      </c>
      <c r="X59" s="272" t="s">
        <v>337</v>
      </c>
      <c r="Y59" s="272" t="s">
        <v>337</v>
      </c>
      <c r="Z59" s="272" t="s">
        <v>337</v>
      </c>
      <c r="AA59" s="272" t="s">
        <v>337</v>
      </c>
      <c r="AB59" s="272" t="s">
        <v>337</v>
      </c>
      <c r="AC59" s="272" t="s">
        <v>337</v>
      </c>
      <c r="AD59" s="272" t="s">
        <v>337</v>
      </c>
      <c r="AE59" s="272" t="s">
        <v>337</v>
      </c>
      <c r="AF59" s="272" t="s">
        <v>337</v>
      </c>
      <c r="AG59" s="272" t="s">
        <v>337</v>
      </c>
      <c r="AH59" s="272" t="s">
        <v>337</v>
      </c>
      <c r="AI59" s="272" t="s">
        <v>337</v>
      </c>
      <c r="AJ59" s="272" t="s">
        <v>337</v>
      </c>
      <c r="AK59" s="272" t="s">
        <v>337</v>
      </c>
      <c r="AL59" s="272" t="s">
        <v>337</v>
      </c>
      <c r="AM59" s="272" t="s">
        <v>337</v>
      </c>
      <c r="AN59" s="272" t="s">
        <v>337</v>
      </c>
      <c r="AO59" s="272" t="s">
        <v>337</v>
      </c>
      <c r="AP59" s="272" t="s">
        <v>337</v>
      </c>
      <c r="AQ59" s="272" t="s">
        <v>337</v>
      </c>
      <c r="AR59" s="272" t="s">
        <v>337</v>
      </c>
      <c r="AS59" s="272" t="s">
        <v>337</v>
      </c>
      <c r="AT59" s="102"/>
      <c r="AU59" s="101"/>
      <c r="AV59" s="101"/>
      <c r="AW59" s="1900"/>
      <c r="AX59" s="1902"/>
      <c r="AY59" s="102"/>
      <c r="AZ59" s="101"/>
      <c r="BA59" s="101"/>
      <c r="BB59" s="101"/>
      <c r="BC59" s="101"/>
      <c r="BD59" s="101"/>
      <c r="BE59" s="101"/>
      <c r="BF59" s="101"/>
      <c r="BG59" s="101"/>
      <c r="BH59" s="247"/>
      <c r="BI59" s="272" t="s">
        <v>337</v>
      </c>
      <c r="BJ59" s="102"/>
      <c r="BK59" s="101"/>
      <c r="BL59" s="101"/>
      <c r="BM59" s="101"/>
      <c r="BN59" s="101"/>
      <c r="BO59" s="101"/>
      <c r="BP59" s="101"/>
      <c r="BQ59" s="101"/>
      <c r="BR59" s="101"/>
      <c r="BS59" s="101"/>
      <c r="BT59" s="81"/>
      <c r="BU59" s="81"/>
      <c r="BV59" s="81"/>
      <c r="BW59" s="81"/>
      <c r="BX59" s="81"/>
      <c r="BY59" s="81"/>
      <c r="BZ59" s="81"/>
      <c r="CA59" s="81"/>
      <c r="CB59" s="81"/>
      <c r="CC59" s="81"/>
      <c r="CD59" s="81"/>
      <c r="CE59" s="81"/>
      <c r="CF59" s="81"/>
      <c r="CG59" s="81"/>
      <c r="CH59" s="81"/>
      <c r="CI59" s="81"/>
      <c r="CJ59" s="81"/>
      <c r="CK59" s="81"/>
      <c r="CL59" s="81"/>
      <c r="CM59" s="81"/>
      <c r="CN59" s="81"/>
      <c r="CO59" s="81"/>
      <c r="CP59" s="81"/>
      <c r="CQ59" s="81"/>
      <c r="CR59" s="81"/>
      <c r="CS59" s="81"/>
      <c r="CT59" s="81"/>
    </row>
    <row r="60" spans="2:98" s="79" customFormat="1" x14ac:dyDescent="0.3">
      <c r="B60" s="2648"/>
      <c r="C60" s="2655" t="s">
        <v>423</v>
      </c>
      <c r="D60" s="2667" t="s">
        <v>1916</v>
      </c>
      <c r="E60" s="710"/>
      <c r="F60" s="223" t="str">
        <f>IF('General Information'!$I$12="IP","CFMD: cfm","CFMD: L/s")</f>
        <v>CFMD: L/s</v>
      </c>
      <c r="G60" s="713"/>
      <c r="H60" s="231"/>
      <c r="I60" s="236"/>
      <c r="J60" s="713"/>
      <c r="K60" s="703"/>
      <c r="L60" s="247"/>
      <c r="M60" s="247"/>
      <c r="N60" s="247"/>
      <c r="O60" s="247"/>
      <c r="P60" s="247"/>
      <c r="Q60" s="247"/>
      <c r="R60" s="247"/>
      <c r="S60" s="247"/>
      <c r="T60" s="713"/>
      <c r="U60" s="272" t="s">
        <v>337</v>
      </c>
      <c r="V60" s="272" t="s">
        <v>337</v>
      </c>
      <c r="W60" s="272" t="s">
        <v>337</v>
      </c>
      <c r="X60" s="272" t="s">
        <v>337</v>
      </c>
      <c r="Y60" s="272" t="s">
        <v>337</v>
      </c>
      <c r="Z60" s="272" t="s">
        <v>337</v>
      </c>
      <c r="AA60" s="272" t="s">
        <v>337</v>
      </c>
      <c r="AB60" s="272" t="s">
        <v>337</v>
      </c>
      <c r="AC60" s="272" t="s">
        <v>337</v>
      </c>
      <c r="AD60" s="272" t="s">
        <v>337</v>
      </c>
      <c r="AE60" s="272" t="s">
        <v>337</v>
      </c>
      <c r="AF60" s="272" t="s">
        <v>337</v>
      </c>
      <c r="AG60" s="272" t="s">
        <v>337</v>
      </c>
      <c r="AH60" s="272" t="s">
        <v>337</v>
      </c>
      <c r="AI60" s="272" t="s">
        <v>337</v>
      </c>
      <c r="AJ60" s="272" t="s">
        <v>337</v>
      </c>
      <c r="AK60" s="272" t="s">
        <v>337</v>
      </c>
      <c r="AL60" s="272" t="s">
        <v>337</v>
      </c>
      <c r="AM60" s="272" t="s">
        <v>337</v>
      </c>
      <c r="AN60" s="272" t="s">
        <v>337</v>
      </c>
      <c r="AO60" s="272" t="s">
        <v>337</v>
      </c>
      <c r="AP60" s="272" t="s">
        <v>337</v>
      </c>
      <c r="AQ60" s="272" t="s">
        <v>337</v>
      </c>
      <c r="AR60" s="272" t="s">
        <v>337</v>
      </c>
      <c r="AS60" s="272" t="s">
        <v>337</v>
      </c>
      <c r="AT60" s="102"/>
      <c r="AU60" s="101"/>
      <c r="AV60" s="101"/>
      <c r="AW60" s="1900"/>
      <c r="AX60" s="1902"/>
      <c r="AY60" s="102"/>
      <c r="AZ60" s="101"/>
      <c r="BA60" s="101"/>
      <c r="BB60" s="101"/>
      <c r="BC60" s="101"/>
      <c r="BD60" s="101"/>
      <c r="BE60" s="101"/>
      <c r="BF60" s="101"/>
      <c r="BG60" s="101"/>
      <c r="BH60" s="247"/>
      <c r="BI60" s="272" t="s">
        <v>337</v>
      </c>
      <c r="BJ60" s="102"/>
      <c r="BK60" s="101"/>
      <c r="BL60" s="101"/>
      <c r="BM60" s="101"/>
      <c r="BN60" s="101"/>
      <c r="BO60" s="101"/>
      <c r="BP60" s="101"/>
      <c r="BQ60" s="101"/>
      <c r="BR60" s="101"/>
      <c r="BS60" s="101"/>
      <c r="BT60" s="81"/>
      <c r="BU60" s="81"/>
      <c r="BV60" s="81"/>
      <c r="BW60" s="81"/>
      <c r="BX60" s="81"/>
      <c r="BY60" s="81"/>
      <c r="BZ60" s="81"/>
      <c r="CA60" s="81"/>
      <c r="CB60" s="81"/>
      <c r="CC60" s="81"/>
      <c r="CD60" s="81"/>
      <c r="CE60" s="81"/>
      <c r="CF60" s="81"/>
      <c r="CG60" s="81"/>
      <c r="CH60" s="81"/>
      <c r="CI60" s="81"/>
      <c r="CJ60" s="81"/>
      <c r="CK60" s="81"/>
      <c r="CL60" s="81"/>
      <c r="CM60" s="81"/>
      <c r="CN60" s="81"/>
      <c r="CO60" s="81"/>
      <c r="CP60" s="81"/>
      <c r="CQ60" s="81"/>
      <c r="CR60" s="81"/>
      <c r="CS60" s="81"/>
      <c r="CT60" s="81"/>
    </row>
    <row r="61" spans="2:98" s="79" customFormat="1" x14ac:dyDescent="0.3">
      <c r="B61" s="2648"/>
      <c r="C61" s="2656"/>
      <c r="D61" s="2669"/>
      <c r="E61" s="710"/>
      <c r="F61" s="223" t="str">
        <f>IF('General Information'!$I$12="IP","Adjustment: in. w. c.","Adjustment: Pa")</f>
        <v>Adjustment: Pa</v>
      </c>
      <c r="G61" s="713"/>
      <c r="H61" s="231"/>
      <c r="I61" s="236"/>
      <c r="J61" s="713"/>
      <c r="K61" s="704" t="str">
        <f>IF('General Information'!$I$12="IP","0.15","38")</f>
        <v>38</v>
      </c>
      <c r="L61" s="587" t="str">
        <f>IF('General Information'!$I$12="IP","0.15","38")</f>
        <v>38</v>
      </c>
      <c r="M61" s="587" t="str">
        <f>IF('General Information'!$I$12="IP","0.15","38")</f>
        <v>38</v>
      </c>
      <c r="N61" s="587" t="str">
        <f>IF('General Information'!$I$12="IP","0.15","38")</f>
        <v>38</v>
      </c>
      <c r="O61" s="587" t="str">
        <f>IF('General Information'!$I$12="IP","0.15","38")</f>
        <v>38</v>
      </c>
      <c r="P61" s="587" t="str">
        <f>IF('General Information'!$I$12="IP","0.15","38")</f>
        <v>38</v>
      </c>
      <c r="Q61" s="587" t="str">
        <f>IF('General Information'!$I$12="IP","0.15","38")</f>
        <v>38</v>
      </c>
      <c r="R61" s="587" t="str">
        <f>IF('General Information'!$I$12="IP","0.15","38")</f>
        <v>38</v>
      </c>
      <c r="S61" s="587" t="str">
        <f>IF('General Information'!$I$12="IP","0.15","38")</f>
        <v>38</v>
      </c>
      <c r="T61" s="713"/>
      <c r="U61" s="272" t="s">
        <v>337</v>
      </c>
      <c r="V61" s="272" t="s">
        <v>337</v>
      </c>
      <c r="W61" s="272" t="s">
        <v>337</v>
      </c>
      <c r="X61" s="272" t="s">
        <v>337</v>
      </c>
      <c r="Y61" s="272" t="s">
        <v>337</v>
      </c>
      <c r="Z61" s="272" t="s">
        <v>337</v>
      </c>
      <c r="AA61" s="272" t="s">
        <v>337</v>
      </c>
      <c r="AB61" s="272" t="s">
        <v>337</v>
      </c>
      <c r="AC61" s="272" t="s">
        <v>337</v>
      </c>
      <c r="AD61" s="272" t="s">
        <v>337</v>
      </c>
      <c r="AE61" s="272" t="s">
        <v>337</v>
      </c>
      <c r="AF61" s="272" t="s">
        <v>337</v>
      </c>
      <c r="AG61" s="272" t="s">
        <v>337</v>
      </c>
      <c r="AH61" s="272" t="s">
        <v>337</v>
      </c>
      <c r="AI61" s="272" t="s">
        <v>337</v>
      </c>
      <c r="AJ61" s="272" t="s">
        <v>337</v>
      </c>
      <c r="AK61" s="272" t="s">
        <v>337</v>
      </c>
      <c r="AL61" s="272" t="s">
        <v>337</v>
      </c>
      <c r="AM61" s="272" t="s">
        <v>337</v>
      </c>
      <c r="AN61" s="272" t="s">
        <v>337</v>
      </c>
      <c r="AO61" s="272" t="s">
        <v>337</v>
      </c>
      <c r="AP61" s="272" t="s">
        <v>337</v>
      </c>
      <c r="AQ61" s="272" t="s">
        <v>337</v>
      </c>
      <c r="AR61" s="272" t="s">
        <v>337</v>
      </c>
      <c r="AS61" s="272" t="s">
        <v>337</v>
      </c>
      <c r="AT61" s="102"/>
      <c r="AU61" s="101"/>
      <c r="AV61" s="101"/>
      <c r="AW61" s="1900"/>
      <c r="AX61" s="1902"/>
      <c r="AY61" s="102"/>
      <c r="AZ61" s="101"/>
      <c r="BA61" s="101"/>
      <c r="BB61" s="101"/>
      <c r="BC61" s="101"/>
      <c r="BD61" s="101"/>
      <c r="BE61" s="101"/>
      <c r="BF61" s="101"/>
      <c r="BG61" s="101"/>
      <c r="BH61" s="587" t="str">
        <f>IF('General Information'!$I$12="IP","0.15","38")</f>
        <v>38</v>
      </c>
      <c r="BI61" s="272" t="s">
        <v>337</v>
      </c>
      <c r="BJ61" s="102"/>
      <c r="BK61" s="101"/>
      <c r="BL61" s="101"/>
      <c r="BM61" s="101"/>
      <c r="BN61" s="101"/>
      <c r="BO61" s="101"/>
      <c r="BP61" s="101"/>
      <c r="BQ61" s="101"/>
      <c r="BR61" s="101"/>
      <c r="BS61" s="101"/>
      <c r="BT61" s="81"/>
      <c r="BU61" s="81"/>
      <c r="BV61" s="81"/>
      <c r="BW61" s="81"/>
      <c r="BX61" s="81"/>
      <c r="BY61" s="81"/>
      <c r="BZ61" s="81"/>
      <c r="CA61" s="81"/>
      <c r="CB61" s="81"/>
      <c r="CC61" s="81"/>
      <c r="CD61" s="81"/>
      <c r="CE61" s="81"/>
      <c r="CF61" s="81"/>
      <c r="CG61" s="81"/>
      <c r="CH61" s="81"/>
      <c r="CI61" s="81"/>
      <c r="CJ61" s="81"/>
      <c r="CK61" s="81"/>
      <c r="CL61" s="81"/>
      <c r="CM61" s="81"/>
      <c r="CN61" s="81"/>
      <c r="CO61" s="81"/>
      <c r="CP61" s="81"/>
      <c r="CQ61" s="81"/>
      <c r="CR61" s="81"/>
      <c r="CS61" s="81"/>
      <c r="CT61" s="81"/>
    </row>
    <row r="62" spans="2:98" s="79" customFormat="1" x14ac:dyDescent="0.3">
      <c r="B62" s="2648"/>
      <c r="C62" s="2655" t="s">
        <v>342</v>
      </c>
      <c r="D62" s="2667" t="s">
        <v>1917</v>
      </c>
      <c r="E62" s="710"/>
      <c r="F62" s="223" t="str">
        <f>IF('General Information'!$I$12="IP","CFMD: cfm","CFMD: L/s")</f>
        <v>CFMD: L/s</v>
      </c>
      <c r="G62" s="713"/>
      <c r="H62" s="231"/>
      <c r="I62" s="236"/>
      <c r="J62" s="713"/>
      <c r="K62" s="703"/>
      <c r="L62" s="247"/>
      <c r="M62" s="247"/>
      <c r="N62" s="247"/>
      <c r="O62" s="247"/>
      <c r="P62" s="247"/>
      <c r="Q62" s="247"/>
      <c r="R62" s="247"/>
      <c r="S62" s="247"/>
      <c r="T62" s="713"/>
      <c r="U62" s="272" t="s">
        <v>337</v>
      </c>
      <c r="V62" s="272" t="s">
        <v>337</v>
      </c>
      <c r="W62" s="272" t="s">
        <v>337</v>
      </c>
      <c r="X62" s="272" t="s">
        <v>337</v>
      </c>
      <c r="Y62" s="272" t="s">
        <v>337</v>
      </c>
      <c r="Z62" s="272" t="s">
        <v>337</v>
      </c>
      <c r="AA62" s="272" t="s">
        <v>337</v>
      </c>
      <c r="AB62" s="272" t="s">
        <v>337</v>
      </c>
      <c r="AC62" s="272" t="s">
        <v>337</v>
      </c>
      <c r="AD62" s="272" t="s">
        <v>337</v>
      </c>
      <c r="AE62" s="272" t="s">
        <v>337</v>
      </c>
      <c r="AF62" s="272" t="s">
        <v>337</v>
      </c>
      <c r="AG62" s="272" t="s">
        <v>337</v>
      </c>
      <c r="AH62" s="272" t="s">
        <v>337</v>
      </c>
      <c r="AI62" s="272" t="s">
        <v>337</v>
      </c>
      <c r="AJ62" s="272" t="s">
        <v>337</v>
      </c>
      <c r="AK62" s="272" t="s">
        <v>337</v>
      </c>
      <c r="AL62" s="272" t="s">
        <v>337</v>
      </c>
      <c r="AM62" s="272" t="s">
        <v>337</v>
      </c>
      <c r="AN62" s="272" t="s">
        <v>337</v>
      </c>
      <c r="AO62" s="272" t="s">
        <v>337</v>
      </c>
      <c r="AP62" s="272" t="s">
        <v>337</v>
      </c>
      <c r="AQ62" s="272" t="s">
        <v>337</v>
      </c>
      <c r="AR62" s="272" t="s">
        <v>337</v>
      </c>
      <c r="AS62" s="272" t="s">
        <v>337</v>
      </c>
      <c r="AT62" s="102"/>
      <c r="AU62" s="101"/>
      <c r="AV62" s="101"/>
      <c r="AW62" s="1900"/>
      <c r="AX62" s="1902"/>
      <c r="AY62" s="102"/>
      <c r="AZ62" s="101"/>
      <c r="BA62" s="101"/>
      <c r="BB62" s="101"/>
      <c r="BC62" s="101"/>
      <c r="BD62" s="101"/>
      <c r="BE62" s="101"/>
      <c r="BF62" s="101"/>
      <c r="BG62" s="101"/>
      <c r="BH62" s="247"/>
      <c r="BI62" s="272" t="s">
        <v>337</v>
      </c>
      <c r="BJ62" s="102"/>
      <c r="BK62" s="101"/>
      <c r="BL62" s="101"/>
      <c r="BM62" s="101"/>
      <c r="BN62" s="101"/>
      <c r="BO62" s="101"/>
      <c r="BP62" s="101"/>
      <c r="BQ62" s="101"/>
      <c r="BR62" s="101"/>
      <c r="BS62" s="101"/>
      <c r="BT62" s="81"/>
      <c r="BU62" s="81"/>
      <c r="BV62" s="81"/>
      <c r="BW62" s="81"/>
      <c r="BX62" s="81"/>
      <c r="BY62" s="81"/>
      <c r="BZ62" s="81"/>
      <c r="CA62" s="81"/>
      <c r="CB62" s="81"/>
      <c r="CC62" s="81"/>
      <c r="CD62" s="81"/>
      <c r="CE62" s="81"/>
      <c r="CF62" s="81"/>
      <c r="CG62" s="81"/>
      <c r="CH62" s="81"/>
      <c r="CI62" s="81"/>
      <c r="CJ62" s="81"/>
      <c r="CK62" s="81"/>
      <c r="CL62" s="81"/>
      <c r="CM62" s="81"/>
      <c r="CN62" s="81"/>
      <c r="CO62" s="81"/>
      <c r="CP62" s="81"/>
      <c r="CQ62" s="81"/>
      <c r="CR62" s="81"/>
      <c r="CS62" s="81"/>
      <c r="CT62" s="81"/>
    </row>
    <row r="63" spans="2:98" s="79" customFormat="1" x14ac:dyDescent="0.3">
      <c r="B63" s="2648"/>
      <c r="C63" s="2656"/>
      <c r="D63" s="2669"/>
      <c r="E63" s="710"/>
      <c r="F63" s="223" t="str">
        <f>IF('General Information'!$I$12="IP","Adjustment: in. w. c.","Adjustment: Pa")</f>
        <v>Adjustment: Pa</v>
      </c>
      <c r="G63" s="713"/>
      <c r="H63" s="231"/>
      <c r="I63" s="236"/>
      <c r="J63" s="713"/>
      <c r="K63" s="704" t="str">
        <f>IF('General Information'!$I$12="IP","0.35","85")</f>
        <v>85</v>
      </c>
      <c r="L63" s="587" t="str">
        <f>IF('General Information'!$I$12="IP","0.35","85")</f>
        <v>85</v>
      </c>
      <c r="M63" s="587" t="str">
        <f>IF('General Information'!$I$12="IP","0.35","85")</f>
        <v>85</v>
      </c>
      <c r="N63" s="587" t="str">
        <f>IF('General Information'!$I$12="IP","0.35","85")</f>
        <v>85</v>
      </c>
      <c r="O63" s="587" t="str">
        <f>IF('General Information'!$I$12="IP","0.35","85")</f>
        <v>85</v>
      </c>
      <c r="P63" s="587" t="str">
        <f>IF('General Information'!$I$12="IP","0.35","85")</f>
        <v>85</v>
      </c>
      <c r="Q63" s="587" t="str">
        <f>IF('General Information'!$I$12="IP","0.35","85")</f>
        <v>85</v>
      </c>
      <c r="R63" s="587" t="str">
        <f>IF('General Information'!$I$12="IP","0.35","85")</f>
        <v>85</v>
      </c>
      <c r="S63" s="587" t="str">
        <f>IF('General Information'!$I$12="IP","0.35","85")</f>
        <v>85</v>
      </c>
      <c r="T63" s="713"/>
      <c r="U63" s="272" t="s">
        <v>337</v>
      </c>
      <c r="V63" s="272" t="s">
        <v>337</v>
      </c>
      <c r="W63" s="272" t="s">
        <v>337</v>
      </c>
      <c r="X63" s="272" t="s">
        <v>337</v>
      </c>
      <c r="Y63" s="272" t="s">
        <v>337</v>
      </c>
      <c r="Z63" s="272" t="s">
        <v>337</v>
      </c>
      <c r="AA63" s="272" t="s">
        <v>337</v>
      </c>
      <c r="AB63" s="272" t="s">
        <v>337</v>
      </c>
      <c r="AC63" s="272" t="s">
        <v>337</v>
      </c>
      <c r="AD63" s="272" t="s">
        <v>337</v>
      </c>
      <c r="AE63" s="272" t="s">
        <v>337</v>
      </c>
      <c r="AF63" s="272" t="s">
        <v>337</v>
      </c>
      <c r="AG63" s="272" t="s">
        <v>337</v>
      </c>
      <c r="AH63" s="272" t="s">
        <v>337</v>
      </c>
      <c r="AI63" s="272" t="s">
        <v>337</v>
      </c>
      <c r="AJ63" s="272" t="s">
        <v>337</v>
      </c>
      <c r="AK63" s="272" t="s">
        <v>337</v>
      </c>
      <c r="AL63" s="272" t="s">
        <v>337</v>
      </c>
      <c r="AM63" s="272" t="s">
        <v>337</v>
      </c>
      <c r="AN63" s="272" t="s">
        <v>337</v>
      </c>
      <c r="AO63" s="272" t="s">
        <v>337</v>
      </c>
      <c r="AP63" s="272" t="s">
        <v>337</v>
      </c>
      <c r="AQ63" s="272" t="s">
        <v>337</v>
      </c>
      <c r="AR63" s="272" t="s">
        <v>337</v>
      </c>
      <c r="AS63" s="272" t="s">
        <v>337</v>
      </c>
      <c r="AT63" s="102"/>
      <c r="AU63" s="101"/>
      <c r="AV63" s="101"/>
      <c r="AW63" s="1900"/>
      <c r="AX63" s="1902"/>
      <c r="AY63" s="102"/>
      <c r="AZ63" s="101"/>
      <c r="BA63" s="101"/>
      <c r="BB63" s="101"/>
      <c r="BC63" s="101"/>
      <c r="BD63" s="101"/>
      <c r="BE63" s="101"/>
      <c r="BF63" s="101"/>
      <c r="BG63" s="101"/>
      <c r="BH63" s="587" t="str">
        <f>IF('General Information'!$I$12="IP","0.35","85")</f>
        <v>85</v>
      </c>
      <c r="BI63" s="272" t="s">
        <v>337</v>
      </c>
      <c r="BJ63" s="102"/>
      <c r="BK63" s="101"/>
      <c r="BL63" s="101"/>
      <c r="BM63" s="101"/>
      <c r="BN63" s="101"/>
      <c r="BO63" s="101"/>
      <c r="BP63" s="101"/>
      <c r="BQ63" s="101"/>
      <c r="BR63" s="101"/>
      <c r="BS63" s="101"/>
      <c r="BT63" s="81"/>
      <c r="BU63" s="81"/>
      <c r="BV63" s="81"/>
      <c r="BW63" s="81"/>
      <c r="BX63" s="81"/>
      <c r="BY63" s="81"/>
      <c r="BZ63" s="81"/>
      <c r="CA63" s="81"/>
      <c r="CB63" s="81"/>
      <c r="CC63" s="81"/>
      <c r="CD63" s="81"/>
      <c r="CE63" s="81"/>
      <c r="CF63" s="81"/>
      <c r="CG63" s="81"/>
      <c r="CH63" s="81"/>
      <c r="CI63" s="81"/>
      <c r="CJ63" s="81"/>
      <c r="CK63" s="81"/>
      <c r="CL63" s="81"/>
      <c r="CM63" s="81"/>
      <c r="CN63" s="81"/>
      <c r="CO63" s="81"/>
      <c r="CP63" s="81"/>
      <c r="CQ63" s="81"/>
      <c r="CR63" s="81"/>
      <c r="CS63" s="81"/>
      <c r="CT63" s="81"/>
    </row>
    <row r="64" spans="2:98" s="79" customFormat="1" x14ac:dyDescent="0.3">
      <c r="B64" s="2648"/>
      <c r="C64" s="2655" t="s">
        <v>343</v>
      </c>
      <c r="D64" s="2667" t="s">
        <v>1918</v>
      </c>
      <c r="E64" s="710"/>
      <c r="F64" s="223" t="str">
        <f>IF('General Information'!$I$12="IP","CFMD: cfm","CFMD: L/s")</f>
        <v>CFMD: L/s</v>
      </c>
      <c r="G64" s="713"/>
      <c r="H64" s="231"/>
      <c r="I64" s="236"/>
      <c r="J64" s="713"/>
      <c r="K64" s="703"/>
      <c r="L64" s="247"/>
      <c r="M64" s="247"/>
      <c r="N64" s="247"/>
      <c r="O64" s="247"/>
      <c r="P64" s="247"/>
      <c r="Q64" s="247"/>
      <c r="R64" s="247"/>
      <c r="S64" s="247"/>
      <c r="T64" s="713"/>
      <c r="U64" s="272" t="s">
        <v>337</v>
      </c>
      <c r="V64" s="272" t="s">
        <v>337</v>
      </c>
      <c r="W64" s="272" t="s">
        <v>337</v>
      </c>
      <c r="X64" s="272" t="s">
        <v>337</v>
      </c>
      <c r="Y64" s="272" t="s">
        <v>337</v>
      </c>
      <c r="Z64" s="272" t="s">
        <v>337</v>
      </c>
      <c r="AA64" s="272" t="s">
        <v>337</v>
      </c>
      <c r="AB64" s="272" t="s">
        <v>337</v>
      </c>
      <c r="AC64" s="272" t="s">
        <v>337</v>
      </c>
      <c r="AD64" s="272" t="s">
        <v>337</v>
      </c>
      <c r="AE64" s="272" t="s">
        <v>337</v>
      </c>
      <c r="AF64" s="272" t="s">
        <v>337</v>
      </c>
      <c r="AG64" s="272" t="s">
        <v>337</v>
      </c>
      <c r="AH64" s="272" t="s">
        <v>337</v>
      </c>
      <c r="AI64" s="272" t="s">
        <v>337</v>
      </c>
      <c r="AJ64" s="272" t="s">
        <v>337</v>
      </c>
      <c r="AK64" s="272" t="s">
        <v>337</v>
      </c>
      <c r="AL64" s="272" t="s">
        <v>337</v>
      </c>
      <c r="AM64" s="272" t="s">
        <v>337</v>
      </c>
      <c r="AN64" s="272" t="s">
        <v>337</v>
      </c>
      <c r="AO64" s="272" t="s">
        <v>337</v>
      </c>
      <c r="AP64" s="272" t="s">
        <v>337</v>
      </c>
      <c r="AQ64" s="272" t="s">
        <v>337</v>
      </c>
      <c r="AR64" s="272" t="s">
        <v>337</v>
      </c>
      <c r="AS64" s="272" t="s">
        <v>337</v>
      </c>
      <c r="AT64" s="102"/>
      <c r="AU64" s="101"/>
      <c r="AV64" s="101"/>
      <c r="AW64" s="1900"/>
      <c r="AX64" s="1902"/>
      <c r="AY64" s="102"/>
      <c r="AZ64" s="101"/>
      <c r="BA64" s="101"/>
      <c r="BB64" s="101"/>
      <c r="BC64" s="101"/>
      <c r="BD64" s="101"/>
      <c r="BE64" s="101"/>
      <c r="BF64" s="101"/>
      <c r="BG64" s="101"/>
      <c r="BH64" s="247"/>
      <c r="BI64" s="272" t="s">
        <v>337</v>
      </c>
      <c r="BJ64" s="102"/>
      <c r="BK64" s="101"/>
      <c r="BL64" s="101"/>
      <c r="BM64" s="101"/>
      <c r="BN64" s="101"/>
      <c r="BO64" s="101"/>
      <c r="BP64" s="101"/>
      <c r="BQ64" s="101"/>
      <c r="BR64" s="101"/>
      <c r="BS64" s="101"/>
      <c r="BT64" s="81"/>
      <c r="BU64" s="81"/>
      <c r="BV64" s="81"/>
      <c r="BW64" s="81"/>
      <c r="BX64" s="81"/>
      <c r="BY64" s="81"/>
      <c r="BZ64" s="81"/>
      <c r="CA64" s="81"/>
      <c r="CB64" s="81"/>
      <c r="CC64" s="81"/>
      <c r="CD64" s="81"/>
      <c r="CE64" s="81"/>
      <c r="CF64" s="81"/>
      <c r="CG64" s="81"/>
      <c r="CH64" s="81"/>
      <c r="CI64" s="81"/>
      <c r="CJ64" s="81"/>
      <c r="CK64" s="81"/>
      <c r="CL64" s="81"/>
      <c r="CM64" s="81"/>
      <c r="CN64" s="81"/>
      <c r="CO64" s="81"/>
      <c r="CP64" s="81"/>
      <c r="CQ64" s="81"/>
      <c r="CR64" s="81"/>
      <c r="CS64" s="81"/>
      <c r="CT64" s="81"/>
    </row>
    <row r="65" spans="2:98" s="79" customFormat="1" x14ac:dyDescent="0.3">
      <c r="B65" s="2648"/>
      <c r="C65" s="2666"/>
      <c r="D65" s="2669"/>
      <c r="E65" s="710"/>
      <c r="F65" s="511" t="str">
        <f>IF('General Information'!$I$12="IP","Adjustment: in. w. c.","Adjustment: Pa")</f>
        <v>Adjustment: Pa</v>
      </c>
      <c r="G65" s="713"/>
      <c r="H65" s="233"/>
      <c r="I65" s="237"/>
      <c r="J65" s="713"/>
      <c r="K65" s="705"/>
      <c r="L65" s="248"/>
      <c r="M65" s="248"/>
      <c r="N65" s="248"/>
      <c r="O65" s="248"/>
      <c r="P65" s="248"/>
      <c r="Q65" s="248"/>
      <c r="R65" s="248"/>
      <c r="S65" s="248"/>
      <c r="T65" s="713"/>
      <c r="U65" s="512" t="s">
        <v>337</v>
      </c>
      <c r="V65" s="512" t="s">
        <v>337</v>
      </c>
      <c r="W65" s="512" t="s">
        <v>337</v>
      </c>
      <c r="X65" s="512" t="s">
        <v>337</v>
      </c>
      <c r="Y65" s="512" t="s">
        <v>337</v>
      </c>
      <c r="Z65" s="512" t="s">
        <v>337</v>
      </c>
      <c r="AA65" s="512" t="s">
        <v>337</v>
      </c>
      <c r="AB65" s="512" t="s">
        <v>337</v>
      </c>
      <c r="AC65" s="512" t="s">
        <v>337</v>
      </c>
      <c r="AD65" s="512" t="s">
        <v>337</v>
      </c>
      <c r="AE65" s="512" t="s">
        <v>337</v>
      </c>
      <c r="AF65" s="512" t="s">
        <v>337</v>
      </c>
      <c r="AG65" s="512" t="s">
        <v>337</v>
      </c>
      <c r="AH65" s="512" t="s">
        <v>337</v>
      </c>
      <c r="AI65" s="512" t="s">
        <v>337</v>
      </c>
      <c r="AJ65" s="512" t="s">
        <v>337</v>
      </c>
      <c r="AK65" s="512" t="s">
        <v>337</v>
      </c>
      <c r="AL65" s="512" t="s">
        <v>337</v>
      </c>
      <c r="AM65" s="512" t="s">
        <v>337</v>
      </c>
      <c r="AN65" s="512" t="s">
        <v>337</v>
      </c>
      <c r="AO65" s="512" t="s">
        <v>337</v>
      </c>
      <c r="AP65" s="512" t="s">
        <v>337</v>
      </c>
      <c r="AQ65" s="512" t="s">
        <v>337</v>
      </c>
      <c r="AR65" s="512" t="s">
        <v>337</v>
      </c>
      <c r="AS65" s="512" t="s">
        <v>337</v>
      </c>
      <c r="AT65" s="102"/>
      <c r="AU65" s="101"/>
      <c r="AV65" s="101"/>
      <c r="AW65" s="1900"/>
      <c r="AX65" s="1902"/>
      <c r="AY65" s="102"/>
      <c r="AZ65" s="101"/>
      <c r="BA65" s="101"/>
      <c r="BB65" s="101"/>
      <c r="BC65" s="101"/>
      <c r="BD65" s="101"/>
      <c r="BE65" s="101"/>
      <c r="BF65" s="101"/>
      <c r="BG65" s="101"/>
      <c r="BH65" s="248"/>
      <c r="BI65" s="512" t="s">
        <v>337</v>
      </c>
      <c r="BJ65" s="102"/>
      <c r="BK65" s="101"/>
      <c r="BL65" s="101"/>
      <c r="BM65" s="101"/>
      <c r="BN65" s="101"/>
      <c r="BO65" s="101"/>
      <c r="BP65" s="101"/>
      <c r="BQ65" s="101"/>
      <c r="BR65" s="101"/>
      <c r="BS65" s="101"/>
      <c r="BT65" s="81"/>
      <c r="BU65" s="81"/>
      <c r="BV65" s="81"/>
      <c r="BW65" s="81"/>
      <c r="BX65" s="81"/>
      <c r="BY65" s="81"/>
      <c r="BZ65" s="81"/>
      <c r="CA65" s="81"/>
      <c r="CB65" s="81"/>
      <c r="CC65" s="81"/>
      <c r="CD65" s="81"/>
      <c r="CE65" s="81"/>
      <c r="CF65" s="81"/>
      <c r="CG65" s="81"/>
      <c r="CH65" s="81"/>
      <c r="CI65" s="81"/>
      <c r="CJ65" s="81"/>
      <c r="CK65" s="81"/>
      <c r="CL65" s="81"/>
      <c r="CM65" s="81"/>
      <c r="CN65" s="81"/>
      <c r="CO65" s="81"/>
      <c r="CP65" s="81"/>
      <c r="CQ65" s="81"/>
      <c r="CR65" s="81"/>
      <c r="CS65" s="81"/>
      <c r="CT65" s="81"/>
    </row>
    <row r="66" spans="2:98" s="79" customFormat="1" ht="26.4" x14ac:dyDescent="0.3">
      <c r="B66" s="2649"/>
      <c r="C66" s="505" t="s">
        <v>1105</v>
      </c>
      <c r="D66" s="1903"/>
      <c r="E66" s="1322"/>
      <c r="F66" s="682" t="str">
        <f>IF('General Information'!$I$12="IP","bhp","kWi")</f>
        <v>kWi</v>
      </c>
      <c r="G66" s="1326"/>
      <c r="H66" s="253"/>
      <c r="I66" s="254"/>
      <c r="J66" s="1326"/>
      <c r="K66" s="706">
        <f>((K38*K39)+(K40*K41)+(K42*K43)+(K44*K45)+(K46*K47)+(K48*K49)+(K50*K51)+(K52*K53)+(K54*K55)+(K56*K57)+(K58*K59)+(K60*K61)+(K62*K63)+(K64*K65))/IF('General Information'!$I$12="IP",4131,650000)</f>
        <v>7.3959230769230766</v>
      </c>
      <c r="L66" s="518">
        <f>((L38*L39)+(L40*L41)+(L42*L43)+(L44*L45)+(L46*L47)+(L48*L49)+(L50*L51)+(L52*L53)+(L54*L55)+(L56*L57)+(L58*L59)+(L60*L61)+(L62*L63)+(L64*L65))/IF('General Information'!$I$12="IP",4131,650000)</f>
        <v>8.9622692307692304</v>
      </c>
      <c r="M66" s="518">
        <f>((M38*M39)+(M40*M41)+(M42*M43)+(M44*M45)+(M46*M47)+(M48*M49)+(M50*M51)+(M52*M53)+(M54*M55)+(M56*M57)+(M58*M59)+(M60*M61)+(M62*M63)+(M64*M65))/IF('General Information'!$I$12="IP",4131,650000)</f>
        <v>8.4506538461538465</v>
      </c>
      <c r="N66" s="518">
        <f>((N38*N39)+(N40*N41)+(N42*N43)+(N44*N45)+(N46*N47)+(N48*N49)+(N50*N51)+(N52*N53)+(N54*N55)+(N56*N57)+(N58*N59)+(N60*N61)+(N62*N63)+(N64*N65))/IF('General Information'!$I$12="IP",4131,650000)</f>
        <v>4.2611538461538458</v>
      </c>
      <c r="O66" s="518">
        <f>((O38*O39)+(O40*O41)+(O42*O43)+(O44*O45)+(O46*O47)+(O48*O49)+(O50*O51)+(O52*O53)+(O54*O55)+(O56*O57)+(O58*O59)+(O60*O61)+(O62*O63)+(O64*O65))/IF('General Information'!$I$12="IP",4131,650000)</f>
        <v>0</v>
      </c>
      <c r="P66" s="518">
        <f>((P38*P39)+(P40*P41)+(P42*P43)+(P44*P45)+(P46*P47)+(P48*P49)+(P50*P51)+(P52*P53)+(P54*P55)+(P56*P57)+(P58*P59)+(P60*P61)+(P62*P63)+(P64*P65))/IF('General Information'!$I$12="IP",4131,650000)</f>
        <v>1.1803846153846154</v>
      </c>
      <c r="Q66" s="518">
        <f>((Q38*Q39)+(Q40*Q41)+(Q42*Q43)+(Q44*Q45)+(Q46*Q47)+(Q48*Q49)+(Q50*Q51)+(Q52*Q53)+(Q54*Q55)+(Q56*Q57)+(Q58*Q59)+(Q60*Q61)+(Q62*Q63)+(Q64*Q65))/IF('General Information'!$I$12="IP",4131,650000)</f>
        <v>0</v>
      </c>
      <c r="R66" s="518">
        <f>((R38*R39)+(R40*R41)+(R42*R43)+(R44*R45)+(R46*R47)+(R48*R49)+(R50*R51)+(R52*R53)+(R54*R55)+(R56*R57)+(R58*R59)+(R60*R61)+(R62*R63)+(R64*R65))/IF('General Information'!$I$12="IP",4131,650000)</f>
        <v>0</v>
      </c>
      <c r="S66" s="518">
        <f>((S38*S39)+(S40*S41)+(S42*S43)+(S44*S45)+(S46*S47)+(S48*S49)+(S50*S51)+(S52*S53)+(S54*S55)+(S56*S57)+(S58*S59)+(S60*S61)+(S62*S63)+(S64*S65))/IF('General Information'!$I$12="IP",4131,650000)</f>
        <v>0.7670769230769231</v>
      </c>
      <c r="T66" s="713"/>
      <c r="U66" s="507" t="s">
        <v>337</v>
      </c>
      <c r="V66" s="507" t="s">
        <v>337</v>
      </c>
      <c r="W66" s="507" t="s">
        <v>337</v>
      </c>
      <c r="X66" s="507" t="s">
        <v>337</v>
      </c>
      <c r="Y66" s="507" t="s">
        <v>337</v>
      </c>
      <c r="Z66" s="507" t="s">
        <v>337</v>
      </c>
      <c r="AA66" s="507" t="s">
        <v>337</v>
      </c>
      <c r="AB66" s="507" t="s">
        <v>337</v>
      </c>
      <c r="AC66" s="507" t="s">
        <v>337</v>
      </c>
      <c r="AD66" s="507" t="s">
        <v>337</v>
      </c>
      <c r="AE66" s="507" t="s">
        <v>337</v>
      </c>
      <c r="AF66" s="507" t="s">
        <v>337</v>
      </c>
      <c r="AG66" s="507" t="s">
        <v>337</v>
      </c>
      <c r="AH66" s="507" t="s">
        <v>337</v>
      </c>
      <c r="AI66" s="507" t="s">
        <v>337</v>
      </c>
      <c r="AJ66" s="507" t="s">
        <v>337</v>
      </c>
      <c r="AK66" s="507" t="s">
        <v>337</v>
      </c>
      <c r="AL66" s="507" t="s">
        <v>337</v>
      </c>
      <c r="AM66" s="507" t="s">
        <v>337</v>
      </c>
      <c r="AN66" s="507" t="s">
        <v>337</v>
      </c>
      <c r="AO66" s="507" t="s">
        <v>337</v>
      </c>
      <c r="AP66" s="507" t="s">
        <v>337</v>
      </c>
      <c r="AQ66" s="507" t="s">
        <v>337</v>
      </c>
      <c r="AR66" s="507" t="s">
        <v>337</v>
      </c>
      <c r="AS66" s="507" t="s">
        <v>337</v>
      </c>
      <c r="AT66" s="102"/>
      <c r="AU66" s="101"/>
      <c r="AV66" s="101"/>
      <c r="AW66" s="1900"/>
      <c r="AX66" s="1902"/>
      <c r="AY66" s="102"/>
      <c r="AZ66" s="101"/>
      <c r="BA66" s="101"/>
      <c r="BB66" s="101"/>
      <c r="BC66" s="101"/>
      <c r="BD66" s="101"/>
      <c r="BE66" s="101"/>
      <c r="BF66" s="101"/>
      <c r="BG66" s="101"/>
      <c r="BH66" s="518">
        <f>((BH38*BH39)+(BH40*BH41)+(BH42*BH43)+(BH44*BH45)+(BH46*BH47)+(BH48*BH49)+(BH50*BH51)+(BH52*BH53)+(BH54*BH55)+(BH56*BH57)+(BH58*BH59)+(BH60*BH61)+(BH62*BH63)+(BH64*BH65))/IF('General Information'!$I$12="IP",4131,650000)</f>
        <v>0</v>
      </c>
      <c r="BI66" s="507" t="s">
        <v>337</v>
      </c>
      <c r="BJ66" s="102"/>
      <c r="BK66" s="101"/>
      <c r="BL66" s="101"/>
      <c r="BM66" s="101"/>
      <c r="BN66" s="101"/>
      <c r="BO66" s="101"/>
      <c r="BP66" s="101"/>
      <c r="BQ66" s="101"/>
      <c r="BR66" s="101"/>
      <c r="BS66" s="101"/>
      <c r="BT66" s="81"/>
      <c r="BU66" s="81"/>
      <c r="BV66" s="81"/>
      <c r="BW66" s="81"/>
      <c r="BX66" s="81"/>
      <c r="BY66" s="81"/>
      <c r="BZ66" s="81"/>
      <c r="CA66" s="81"/>
      <c r="CB66" s="81"/>
      <c r="CC66" s="81"/>
      <c r="CD66" s="81"/>
      <c r="CE66" s="81"/>
      <c r="CF66" s="81"/>
      <c r="CG66" s="81"/>
      <c r="CH66" s="81"/>
      <c r="CI66" s="81"/>
      <c r="CJ66" s="81"/>
      <c r="CK66" s="81"/>
      <c r="CL66" s="81"/>
      <c r="CM66" s="81"/>
      <c r="CN66" s="81"/>
      <c r="CO66" s="81"/>
      <c r="CP66" s="81"/>
      <c r="CQ66" s="81"/>
      <c r="CR66" s="81"/>
      <c r="CS66" s="81"/>
      <c r="CT66" s="81"/>
    </row>
    <row r="67" spans="2:98" x14ac:dyDescent="0.25">
      <c r="B67" s="2659" t="s">
        <v>1095</v>
      </c>
      <c r="C67" s="2657" t="s">
        <v>1096</v>
      </c>
      <c r="D67" s="2667" t="s">
        <v>1919</v>
      </c>
      <c r="E67" s="2662"/>
      <c r="F67" s="683" t="str">
        <f>IF('General Information'!$I$12="IP","cfm","L/s")</f>
        <v>L/s</v>
      </c>
      <c r="G67" s="1327"/>
      <c r="H67" s="514"/>
      <c r="I67" s="515"/>
      <c r="J67" s="1327"/>
      <c r="K67" s="707"/>
      <c r="L67" s="516"/>
      <c r="M67" s="516"/>
      <c r="N67" s="516"/>
      <c r="O67" s="516"/>
      <c r="P67" s="516"/>
      <c r="Q67" s="516"/>
      <c r="R67" s="516"/>
      <c r="S67" s="516"/>
      <c r="T67" s="713"/>
      <c r="U67" s="517" t="s">
        <v>337</v>
      </c>
      <c r="V67" s="517" t="s">
        <v>337</v>
      </c>
      <c r="W67" s="517" t="s">
        <v>337</v>
      </c>
      <c r="X67" s="517" t="s">
        <v>337</v>
      </c>
      <c r="Y67" s="517" t="s">
        <v>337</v>
      </c>
      <c r="Z67" s="517" t="s">
        <v>337</v>
      </c>
      <c r="AA67" s="517" t="s">
        <v>337</v>
      </c>
      <c r="AB67" s="517" t="s">
        <v>337</v>
      </c>
      <c r="AC67" s="517" t="s">
        <v>337</v>
      </c>
      <c r="AD67" s="517" t="s">
        <v>337</v>
      </c>
      <c r="AE67" s="517" t="s">
        <v>337</v>
      </c>
      <c r="AF67" s="517" t="s">
        <v>337</v>
      </c>
      <c r="AG67" s="517" t="s">
        <v>337</v>
      </c>
      <c r="AH67" s="517" t="s">
        <v>337</v>
      </c>
      <c r="AI67" s="517" t="s">
        <v>337</v>
      </c>
      <c r="AJ67" s="517" t="s">
        <v>337</v>
      </c>
      <c r="AK67" s="517" t="s">
        <v>337</v>
      </c>
      <c r="AL67" s="517" t="s">
        <v>337</v>
      </c>
      <c r="AM67" s="517" t="s">
        <v>337</v>
      </c>
      <c r="AN67" s="517" t="s">
        <v>337</v>
      </c>
      <c r="AO67" s="517" t="s">
        <v>337</v>
      </c>
      <c r="AP67" s="517" t="s">
        <v>337</v>
      </c>
      <c r="AQ67" s="517" t="s">
        <v>337</v>
      </c>
      <c r="AR67" s="517" t="s">
        <v>337</v>
      </c>
      <c r="AS67" s="517" t="s">
        <v>337</v>
      </c>
      <c r="AT67" s="102"/>
      <c r="AU67" s="101"/>
      <c r="AV67" s="101"/>
      <c r="AW67" s="1900"/>
      <c r="AX67" s="1902"/>
      <c r="AY67" s="102"/>
      <c r="AZ67" s="101"/>
      <c r="BA67" s="101"/>
      <c r="BB67" s="101"/>
      <c r="BC67" s="101"/>
      <c r="BD67" s="101"/>
      <c r="BE67" s="101"/>
      <c r="BF67" s="101"/>
      <c r="BG67" s="101"/>
      <c r="BH67" s="516"/>
      <c r="BI67" s="517" t="s">
        <v>337</v>
      </c>
      <c r="BJ67" s="102"/>
      <c r="BK67" s="101"/>
      <c r="BL67" s="101"/>
      <c r="BM67" s="101"/>
      <c r="BN67" s="101"/>
      <c r="BO67" s="101"/>
      <c r="BP67" s="101"/>
      <c r="BQ67" s="101"/>
      <c r="BR67" s="101"/>
      <c r="BS67" s="101"/>
    </row>
    <row r="68" spans="2:98" s="79" customFormat="1" x14ac:dyDescent="0.3">
      <c r="B68" s="2660"/>
      <c r="C68" s="2661"/>
      <c r="D68" s="2669"/>
      <c r="E68" s="2663"/>
      <c r="F68" s="684" t="str">
        <f>"fan power per " &amp; F67 &amp; " (kW)"</f>
        <v>fan power per L/s (kW)</v>
      </c>
      <c r="G68" s="1328"/>
      <c r="H68" s="249"/>
      <c r="I68" s="250"/>
      <c r="J68" s="1328"/>
      <c r="K68" s="708" t="str">
        <f>IF('General Information'!$I$12="IP","0.000054","0.000114")</f>
        <v>0.000114</v>
      </c>
      <c r="L68" s="519" t="str">
        <f>IF('General Information'!$I$12="IP","0.000054","0.000114")</f>
        <v>0.000114</v>
      </c>
      <c r="M68" s="519" t="str">
        <f>IF('General Information'!$I$12="IP","0.000054","0.000114")</f>
        <v>0.000114</v>
      </c>
      <c r="N68" s="519" t="str">
        <f>IF('General Information'!$I$12="IP","0.000054","0.000114")</f>
        <v>0.000114</v>
      </c>
      <c r="O68" s="519" t="str">
        <f>IF('General Information'!$I$12="IP","0.000054","0.000114")</f>
        <v>0.000114</v>
      </c>
      <c r="P68" s="519" t="str">
        <f>IF('General Information'!$I$12="IP","0.000054","0.000114")</f>
        <v>0.000114</v>
      </c>
      <c r="Q68" s="519" t="str">
        <f>IF('General Information'!$I$12="IP","0.000054","0.000114")</f>
        <v>0.000114</v>
      </c>
      <c r="R68" s="519" t="str">
        <f>IF('General Information'!$I$12="IP","0.000054","0.000114")</f>
        <v>0.000114</v>
      </c>
      <c r="S68" s="519" t="str">
        <f>IF('General Information'!$I$12="IP","0.000054","0.000114")</f>
        <v>0.000114</v>
      </c>
      <c r="T68" s="715"/>
      <c r="U68" s="268" t="s">
        <v>337</v>
      </c>
      <c r="V68" s="268" t="s">
        <v>337</v>
      </c>
      <c r="W68" s="268" t="s">
        <v>337</v>
      </c>
      <c r="X68" s="268" t="s">
        <v>337</v>
      </c>
      <c r="Y68" s="268" t="s">
        <v>337</v>
      </c>
      <c r="Z68" s="268" t="s">
        <v>337</v>
      </c>
      <c r="AA68" s="268" t="s">
        <v>337</v>
      </c>
      <c r="AB68" s="268" t="s">
        <v>337</v>
      </c>
      <c r="AC68" s="268" t="s">
        <v>337</v>
      </c>
      <c r="AD68" s="268" t="s">
        <v>337</v>
      </c>
      <c r="AE68" s="268" t="s">
        <v>337</v>
      </c>
      <c r="AF68" s="268" t="s">
        <v>337</v>
      </c>
      <c r="AG68" s="268" t="s">
        <v>337</v>
      </c>
      <c r="AH68" s="268" t="s">
        <v>337</v>
      </c>
      <c r="AI68" s="268" t="s">
        <v>337</v>
      </c>
      <c r="AJ68" s="268" t="s">
        <v>337</v>
      </c>
      <c r="AK68" s="268" t="s">
        <v>337</v>
      </c>
      <c r="AL68" s="268" t="s">
        <v>337</v>
      </c>
      <c r="AM68" s="268" t="s">
        <v>337</v>
      </c>
      <c r="AN68" s="268" t="s">
        <v>337</v>
      </c>
      <c r="AO68" s="268" t="s">
        <v>337</v>
      </c>
      <c r="AP68" s="268" t="s">
        <v>337</v>
      </c>
      <c r="AQ68" s="268" t="s">
        <v>337</v>
      </c>
      <c r="AR68" s="268" t="s">
        <v>337</v>
      </c>
      <c r="AS68" s="268" t="s">
        <v>337</v>
      </c>
      <c r="AT68" s="102"/>
      <c r="AU68" s="101"/>
      <c r="AV68" s="101"/>
      <c r="AW68" s="1900"/>
      <c r="AX68" s="1902"/>
      <c r="AY68" s="102"/>
      <c r="AZ68" s="101"/>
      <c r="BA68" s="101"/>
      <c r="BB68" s="101"/>
      <c r="BC68" s="101"/>
      <c r="BD68" s="101"/>
      <c r="BE68" s="101"/>
      <c r="BF68" s="101"/>
      <c r="BG68" s="101"/>
      <c r="BH68" s="519" t="str">
        <f>IF('General Information'!$I$12="IP","0.000054","0.000114")</f>
        <v>0.000114</v>
      </c>
      <c r="BI68" s="268" t="s">
        <v>337</v>
      </c>
      <c r="BJ68" s="102"/>
      <c r="BK68" s="101"/>
      <c r="BL68" s="101"/>
      <c r="BM68" s="101"/>
      <c r="BN68" s="101"/>
      <c r="BO68" s="101"/>
      <c r="BP68" s="101"/>
      <c r="BQ68" s="101"/>
      <c r="BR68" s="101"/>
      <c r="BS68" s="101"/>
      <c r="BT68" s="81"/>
      <c r="BU68" s="81"/>
      <c r="BV68" s="81"/>
      <c r="BW68" s="81"/>
      <c r="BX68" s="81"/>
      <c r="BY68" s="81"/>
      <c r="BZ68" s="81"/>
      <c r="CA68" s="81"/>
      <c r="CB68" s="81"/>
      <c r="CC68" s="81"/>
      <c r="CD68" s="81"/>
      <c r="CE68" s="81"/>
      <c r="CF68" s="81"/>
      <c r="CG68" s="81"/>
      <c r="CH68" s="81"/>
      <c r="CI68" s="81"/>
      <c r="CJ68" s="81"/>
      <c r="CK68" s="81"/>
      <c r="CL68" s="81"/>
      <c r="CM68" s="81"/>
      <c r="CN68" s="81"/>
      <c r="CO68" s="81"/>
      <c r="CP68" s="81"/>
      <c r="CQ68" s="81"/>
      <c r="CR68" s="81"/>
      <c r="CS68" s="81"/>
      <c r="CT68" s="81"/>
    </row>
    <row r="69" spans="2:98" s="79" customFormat="1" x14ac:dyDescent="0.25">
      <c r="C69" s="78"/>
      <c r="D69" s="78"/>
      <c r="H69" s="78"/>
      <c r="K69" s="78"/>
      <c r="L69" s="78"/>
      <c r="M69" s="78"/>
      <c r="N69" s="78"/>
      <c r="O69" s="78"/>
      <c r="P69" s="78"/>
      <c r="Q69" s="78"/>
      <c r="R69" s="78"/>
      <c r="S69" s="78"/>
      <c r="AT69" s="1"/>
      <c r="AU69" s="1"/>
      <c r="AV69" s="1"/>
      <c r="AW69" s="1"/>
      <c r="AX69" s="1"/>
      <c r="AY69" s="1"/>
      <c r="AZ69" s="1"/>
      <c r="BA69" s="81"/>
      <c r="BB69" s="81"/>
      <c r="BC69" s="81"/>
      <c r="BD69" s="81"/>
      <c r="BE69" s="81"/>
      <c r="BF69" s="81"/>
      <c r="BG69" s="81"/>
      <c r="BH69" s="78"/>
      <c r="BJ69" s="81"/>
      <c r="BK69" s="81"/>
      <c r="BL69" s="81"/>
      <c r="BM69" s="81"/>
      <c r="BN69" s="81"/>
      <c r="BO69" s="81"/>
      <c r="BP69" s="81"/>
      <c r="BQ69" s="81"/>
      <c r="BR69" s="81"/>
      <c r="BS69" s="81"/>
      <c r="BT69" s="81"/>
      <c r="BU69" s="81"/>
      <c r="BV69" s="81"/>
      <c r="BW69" s="81"/>
      <c r="BX69" s="81"/>
      <c r="BY69" s="81"/>
      <c r="BZ69" s="81"/>
      <c r="CA69" s="81"/>
      <c r="CB69" s="81"/>
      <c r="CC69" s="81"/>
      <c r="CD69" s="81"/>
      <c r="CE69" s="81"/>
      <c r="CF69" s="81"/>
      <c r="CG69" s="81"/>
      <c r="CH69" s="81"/>
      <c r="CI69" s="81"/>
      <c r="CJ69" s="81"/>
      <c r="CK69" s="81"/>
      <c r="CL69" s="81"/>
      <c r="CM69" s="81"/>
      <c r="CN69" s="81"/>
      <c r="CO69" s="81"/>
      <c r="CP69" s="81"/>
      <c r="CQ69" s="81"/>
      <c r="CR69" s="81"/>
      <c r="CS69" s="81"/>
      <c r="CT69" s="81"/>
    </row>
  </sheetData>
  <sheetProtection algorithmName="SHA-512" hashValue="j9cp1GUjeSvcI84QLTbJ38h10SlZzxXQPrv6WtM+rRM/WGyJJTvNt08+y1QOkNIbSygkRrtaccg74E3Ok83S7Q==" saltValue="hX6WibvX54pGntoeYa5JBQ==" spinCount="100000" sheet="1" objects="1" scenarios="1"/>
  <customSheetViews>
    <customSheetView guid="{75D6F8CE-A4F4-4FDD-BA92-7996F9E19FA9}" scale="90" showGridLines="0" hiddenColumns="1">
      <pane xSplit="8" topLeftCell="I1" activePane="topRight" state="frozen"/>
      <selection pane="topRight" activeCell="B5" sqref="B5:H5"/>
      <pageMargins left="0.25" right="0.25" top="0.75" bottom="0.75" header="0.3" footer="0.3"/>
      <pageSetup scale="75" orientation="portrait" verticalDpi="1200" r:id="rId1"/>
      <headerFooter>
        <oddFooter>&amp;LTable 1.4 - Air-Side HVAC System Schedule</oddFooter>
      </headerFooter>
    </customSheetView>
  </customSheetViews>
  <mergeCells count="54">
    <mergeCell ref="D58:D59"/>
    <mergeCell ref="D60:D61"/>
    <mergeCell ref="D62:D63"/>
    <mergeCell ref="D64:D65"/>
    <mergeCell ref="D67:D68"/>
    <mergeCell ref="D48:D49"/>
    <mergeCell ref="D50:D51"/>
    <mergeCell ref="D52:D53"/>
    <mergeCell ref="D54:D55"/>
    <mergeCell ref="D56:D57"/>
    <mergeCell ref="D38:D39"/>
    <mergeCell ref="D40:D41"/>
    <mergeCell ref="D42:D43"/>
    <mergeCell ref="D44:D45"/>
    <mergeCell ref="D46:D47"/>
    <mergeCell ref="B67:B68"/>
    <mergeCell ref="C67:C68"/>
    <mergeCell ref="E67:E68"/>
    <mergeCell ref="B29:C29"/>
    <mergeCell ref="B30:B31"/>
    <mergeCell ref="C40:C41"/>
    <mergeCell ref="C60:C61"/>
    <mergeCell ref="C62:C63"/>
    <mergeCell ref="C64:C65"/>
    <mergeCell ref="C50:C51"/>
    <mergeCell ref="C52:C53"/>
    <mergeCell ref="C54:C55"/>
    <mergeCell ref="C56:C57"/>
    <mergeCell ref="C58:C59"/>
    <mergeCell ref="C48:C49"/>
    <mergeCell ref="D32:D36"/>
    <mergeCell ref="B17:C17"/>
    <mergeCell ref="B38:B66"/>
    <mergeCell ref="B32:B35"/>
    <mergeCell ref="B18:B20"/>
    <mergeCell ref="B22:B23"/>
    <mergeCell ref="B21:C21"/>
    <mergeCell ref="B24:C24"/>
    <mergeCell ref="B25:C25"/>
    <mergeCell ref="B26:C26"/>
    <mergeCell ref="B28:C28"/>
    <mergeCell ref="C42:C43"/>
    <mergeCell ref="C44:C45"/>
    <mergeCell ref="C46:C47"/>
    <mergeCell ref="B27:C27"/>
    <mergeCell ref="C38:C39"/>
    <mergeCell ref="C37:D37"/>
    <mergeCell ref="B8:C16"/>
    <mergeCell ref="F8:F16"/>
    <mergeCell ref="H9:H16"/>
    <mergeCell ref="I9:I16"/>
    <mergeCell ref="B5:I5"/>
    <mergeCell ref="H8:I8"/>
    <mergeCell ref="D8:D16"/>
  </mergeCells>
  <conditionalFormatting sqref="K31 T31:U31">
    <cfRule type="expression" dxfId="84" priority="67">
      <formula>IF(K$30="Yes",TRUE,FALSE)</formula>
    </cfRule>
  </conditionalFormatting>
  <conditionalFormatting sqref="BH31">
    <cfRule type="expression" dxfId="83" priority="66">
      <formula>IF(BH$30="Yes",TRUE,FALSE)</formula>
    </cfRule>
  </conditionalFormatting>
  <conditionalFormatting sqref="BI31">
    <cfRule type="expression" dxfId="82" priority="65">
      <formula>IF(BI$30="Yes",TRUE,FALSE)</formula>
    </cfRule>
  </conditionalFormatting>
  <conditionalFormatting sqref="L31">
    <cfRule type="expression" dxfId="81" priority="32">
      <formula>IF(L$30="Yes",TRUE,FALSE)</formula>
    </cfRule>
  </conditionalFormatting>
  <conditionalFormatting sqref="M31">
    <cfRule type="expression" dxfId="80" priority="31">
      <formula>IF(M$30="Yes",TRUE,FALSE)</formula>
    </cfRule>
  </conditionalFormatting>
  <conditionalFormatting sqref="N31">
    <cfRule type="expression" dxfId="79" priority="30">
      <formula>IF(N$30="Yes",TRUE,FALSE)</formula>
    </cfRule>
  </conditionalFormatting>
  <conditionalFormatting sqref="O31">
    <cfRule type="expression" dxfId="78" priority="29">
      <formula>IF(O$30="Yes",TRUE,FALSE)</formula>
    </cfRule>
  </conditionalFormatting>
  <conditionalFormatting sqref="P31">
    <cfRule type="expression" dxfId="77" priority="28">
      <formula>IF(P$30="Yes",TRUE,FALSE)</formula>
    </cfRule>
  </conditionalFormatting>
  <conditionalFormatting sqref="Q31">
    <cfRule type="expression" dxfId="76" priority="27">
      <formula>IF(Q$30="Yes",TRUE,FALSE)</formula>
    </cfRule>
  </conditionalFormatting>
  <conditionalFormatting sqref="R31">
    <cfRule type="expression" dxfId="75" priority="26">
      <formula>IF(R$30="Yes",TRUE,FALSE)</formula>
    </cfRule>
  </conditionalFormatting>
  <conditionalFormatting sqref="S31">
    <cfRule type="expression" dxfId="74" priority="25">
      <formula>IF(S$30="Yes",TRUE,FALSE)</formula>
    </cfRule>
  </conditionalFormatting>
  <conditionalFormatting sqref="V31">
    <cfRule type="expression" dxfId="73" priority="24">
      <formula>IF(V$30="Yes",TRUE,FALSE)</formula>
    </cfRule>
  </conditionalFormatting>
  <conditionalFormatting sqref="W31">
    <cfRule type="expression" dxfId="72" priority="23">
      <formula>IF(W$30="Yes",TRUE,FALSE)</formula>
    </cfRule>
  </conditionalFormatting>
  <conditionalFormatting sqref="X31">
    <cfRule type="expression" dxfId="71" priority="22">
      <formula>IF(X$30="Yes",TRUE,FALSE)</formula>
    </cfRule>
  </conditionalFormatting>
  <conditionalFormatting sqref="Y31">
    <cfRule type="expression" dxfId="70" priority="21">
      <formula>IF(Y$30="Yes",TRUE,FALSE)</formula>
    </cfRule>
  </conditionalFormatting>
  <conditionalFormatting sqref="Z31">
    <cfRule type="expression" dxfId="69" priority="20">
      <formula>IF(Z$30="Yes",TRUE,FALSE)</formula>
    </cfRule>
  </conditionalFormatting>
  <conditionalFormatting sqref="AA31">
    <cfRule type="expression" dxfId="68" priority="19">
      <formula>IF(AA$30="Yes",TRUE,FALSE)</formula>
    </cfRule>
  </conditionalFormatting>
  <conditionalFormatting sqref="AB31">
    <cfRule type="expression" dxfId="67" priority="18">
      <formula>IF(AB$30="Yes",TRUE,FALSE)</formula>
    </cfRule>
  </conditionalFormatting>
  <conditionalFormatting sqref="AC31">
    <cfRule type="expression" dxfId="66" priority="17">
      <formula>IF(AC$30="Yes",TRUE,FALSE)</formula>
    </cfRule>
  </conditionalFormatting>
  <conditionalFormatting sqref="AD31">
    <cfRule type="expression" dxfId="65" priority="16">
      <formula>IF(AD$30="Yes",TRUE,FALSE)</formula>
    </cfRule>
  </conditionalFormatting>
  <conditionalFormatting sqref="AE31">
    <cfRule type="expression" dxfId="64" priority="15">
      <formula>IF(AE$30="Yes",TRUE,FALSE)</formula>
    </cfRule>
  </conditionalFormatting>
  <conditionalFormatting sqref="AF31">
    <cfRule type="expression" dxfId="63" priority="14">
      <formula>IF(AF$30="Yes",TRUE,FALSE)</formula>
    </cfRule>
  </conditionalFormatting>
  <conditionalFormatting sqref="AG31">
    <cfRule type="expression" dxfId="62" priority="13">
      <formula>IF(AG$30="Yes",TRUE,FALSE)</formula>
    </cfRule>
  </conditionalFormatting>
  <conditionalFormatting sqref="AH31">
    <cfRule type="expression" dxfId="61" priority="12">
      <formula>IF(AH$30="Yes",TRUE,FALSE)</formula>
    </cfRule>
  </conditionalFormatting>
  <conditionalFormatting sqref="AI31">
    <cfRule type="expression" dxfId="60" priority="11">
      <formula>IF(AI$30="Yes",TRUE,FALSE)</formula>
    </cfRule>
  </conditionalFormatting>
  <conditionalFormatting sqref="AJ31">
    <cfRule type="expression" dxfId="59" priority="10">
      <formula>IF(AJ$30="Yes",TRUE,FALSE)</formula>
    </cfRule>
  </conditionalFormatting>
  <conditionalFormatting sqref="AK31">
    <cfRule type="expression" dxfId="58" priority="9">
      <formula>IF(AK$30="Yes",TRUE,FALSE)</formula>
    </cfRule>
  </conditionalFormatting>
  <conditionalFormatting sqref="AL31">
    <cfRule type="expression" dxfId="57" priority="8">
      <formula>IF(AL$30="Yes",TRUE,FALSE)</formula>
    </cfRule>
  </conditionalFormatting>
  <conditionalFormatting sqref="AM31">
    <cfRule type="expression" dxfId="56" priority="7">
      <formula>IF(AM$30="Yes",TRUE,FALSE)</formula>
    </cfRule>
  </conditionalFormatting>
  <conditionalFormatting sqref="AN31">
    <cfRule type="expression" dxfId="55" priority="6">
      <formula>IF(AN$30="Yes",TRUE,FALSE)</formula>
    </cfRule>
  </conditionalFormatting>
  <conditionalFormatting sqref="AO31">
    <cfRule type="expression" dxfId="54" priority="5">
      <formula>IF(AO$30="Yes",TRUE,FALSE)</formula>
    </cfRule>
  </conditionalFormatting>
  <conditionalFormatting sqref="AP31">
    <cfRule type="expression" dxfId="53" priority="4">
      <formula>IF(AP$30="Yes",TRUE,FALSE)</formula>
    </cfRule>
  </conditionalFormatting>
  <conditionalFormatting sqref="AQ31">
    <cfRule type="expression" dxfId="52" priority="3">
      <formula>IF(AQ$30="Yes",TRUE,FALSE)</formula>
    </cfRule>
  </conditionalFormatting>
  <conditionalFormatting sqref="AR31">
    <cfRule type="expression" dxfId="51" priority="2">
      <formula>IF(AR$30="Yes",TRUE,FALSE)</formula>
    </cfRule>
  </conditionalFormatting>
  <conditionalFormatting sqref="AS31">
    <cfRule type="expression" dxfId="50" priority="1">
      <formula>IF(AS$30="Yes",TRUE,FALSE)</formula>
    </cfRule>
  </conditionalFormatting>
  <dataValidations xWindow="736" yWindow="623" count="19">
    <dataValidation allowBlank="1" showErrorMessage="1" prompt="Describe all pressure drop adjustments used in the Baseline fan power calculations for this HVAC system (or this group of simiar systems), including the devices and corresponding pressure drop adjustments (example: fully ducted return - 0.5 in. w.c.)" sqref="K36:S37 BH66 BH36:BH37 K66:S66" xr:uid="{00000000-0002-0000-0F00-000000000000}"/>
    <dataValidation type="list" allowBlank="1" showInputMessage="1" showErrorMessage="1" sqref="BH39 K39:S39" xr:uid="{00000000-0002-0000-0F00-000001000000}">
      <formula1>$AU$40:$AU$41</formula1>
    </dataValidation>
    <dataValidation type="list" allowBlank="1" showInputMessage="1" sqref="BH28 K28:S28" xr:uid="{00000000-0002-0000-0F00-000002000000}">
      <formula1>"Not Required,75,70,65"</formula1>
    </dataValidation>
    <dataValidation type="list" allowBlank="1" sqref="BH24:BI24 K24:S24 U24:AS24" xr:uid="{00000000-0002-0000-0F00-000003000000}">
      <formula1>"Variable Speed, Constant Volume"</formula1>
    </dataValidation>
    <dataValidation type="list" allowBlank="1" showInputMessage="1" sqref="BH29 K29:S29" xr:uid="{00000000-0002-0000-0F00-000004000000}">
      <formula1>"Supply air temperature reset of 5°F under minimum cooling load conditions,Not Required"</formula1>
    </dataValidation>
    <dataValidation type="list" allowBlank="1" showInputMessage="1" sqref="BH27:BI27 K27:S27 U27:AS27" xr:uid="{00000000-0002-0000-0F00-000005000000}">
      <formula1>"No,Yes"</formula1>
    </dataValidation>
    <dataValidation type="list" allowBlank="1" showInputMessage="1" showErrorMessage="1" sqref="BH30:BI30 K30:S30 U30:AS30" xr:uid="{00000000-0002-0000-0F00-000006000000}">
      <formula1>"No,Yes"</formula1>
    </dataValidation>
    <dataValidation operator="greaterThanOrEqual" allowBlank="1" error="Please enter the value only (without any labels)" prompt="Enter the modeled outdoor airflow for this Baseline HVAC system (or the total outdoor airflow for this group of similar systems) in units of cfm (example: 650)" sqref="F25:F26" xr:uid="{00000000-0002-0000-0F00-000007000000}"/>
    <dataValidation type="list" allowBlank="1" showInputMessage="1" sqref="F19" xr:uid="{00000000-0002-0000-0F00-000008000000}">
      <formula1>"EER,SEER"</formula1>
    </dataValidation>
    <dataValidation type="list" allowBlank="1" showInputMessage="1" sqref="F19:F20" xr:uid="{00000000-0002-0000-0F00-000009000000}">
      <formula1>"IEER,IPLV"</formula1>
    </dataValidation>
    <dataValidation type="list" allowBlank="1" showInputMessage="1" sqref="F23" xr:uid="{00000000-0002-0000-0F00-00000A000000}">
      <formula1>"COP,HSPF,AFUE,%Et,%Ec"</formula1>
    </dataValidation>
    <dataValidation type="list" allowBlank="1" sqref="F28" xr:uid="{00000000-0002-0000-0F00-00000B000000}">
      <formula1>"°F,°C"</formula1>
    </dataValidation>
    <dataValidation type="list" operator="greaterThanOrEqual" allowBlank="1" error="Please enter the value only (without any labels)" prompt="_x000a__x000a__x000a_" sqref="F21:F22 F17:F18" xr:uid="{00000000-0002-0000-0F00-00000C000000}">
      <formula1>"kBtu/h, tons, kW, Btuh"</formula1>
    </dataValidation>
    <dataValidation allowBlank="1" sqref="F24" xr:uid="{00000000-0002-0000-0F00-00000D000000}"/>
    <dataValidation type="list" allowBlank="1" showInputMessage="1" showErrorMessage="1" sqref="BI12 U12:AS12" xr:uid="{00000000-0002-0000-0F00-00000E000000}">
      <formula1>OFFSET(ProposedHVACModeled,1,0,ROWS(ProposedHVACModeled)-1,1)</formula1>
    </dataValidation>
    <dataValidation type="list" allowBlank="1" showInputMessage="1" showErrorMessage="1" sqref="BH10:BI10 L10:S10 V10:AS10" xr:uid="{00000000-0002-0000-0F00-00000F000000}">
      <formula1>IF(MultipleBuildingsExist="YES",OFFSET(MBD_BSTotal_Index,1,0,ROWS(MBD_BSTotal_Index)-1,1), OFFSET(MBD_BSTotal_Index,2,0,ROWS(MBD_BSTotal_Index)-2,1))</formula1>
    </dataValidation>
    <dataValidation type="list" allowBlank="1" showInputMessage="1" showErrorMessage="1" sqref="K10 U10" xr:uid="{00000000-0002-0000-0F00-000010000000}">
      <formula1>BuildingIDLookupAlt</formula1>
    </dataValidation>
    <dataValidation allowBlank="1" showInputMessage="1" sqref="BI28:BI29 U28:AS29" xr:uid="{00000000-0002-0000-0F00-000011000000}"/>
    <dataValidation type="list" allowBlank="1" showInputMessage="1" showErrorMessage="1" sqref="BH12 L12:S12 K12" xr:uid="{D86CBBFC-8BA0-43FA-8DEF-FC7B5FDE0005}">
      <formula1>"System 4 - PSZ-HP,System 7 - VAV with Reheat,System 8 - VAV with PFP Boxes"</formula1>
    </dataValidation>
  </dataValidations>
  <pageMargins left="0.25" right="0.25" top="0.75" bottom="0.75" header="0.3" footer="0.3"/>
  <pageSetup scale="75" orientation="portrait" verticalDpi="1200" r:id="rId2"/>
  <headerFooter>
    <oddFooter>&amp;LTable 1.4 - Air-Side HVAC System Schedule</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0" r:id="rId5" name="Button 30">
              <controlPr defaultSize="0" print="0" autoFill="0" autoPict="0" macro="[0]!AddSpaceBaseline">
                <anchor moveWithCells="1" sizeWithCells="1">
                  <from>
                    <xdr:col>2</xdr:col>
                    <xdr:colOff>1447800</xdr:colOff>
                    <xdr:row>5</xdr:row>
                    <xdr:rowOff>213360</xdr:rowOff>
                  </from>
                  <to>
                    <xdr:col>2</xdr:col>
                    <xdr:colOff>2712720</xdr:colOff>
                    <xdr:row>6</xdr:row>
                    <xdr:rowOff>228600</xdr:rowOff>
                  </to>
                </anchor>
              </controlPr>
            </control>
          </mc:Choice>
        </mc:AlternateContent>
        <mc:AlternateContent xmlns:mc="http://schemas.openxmlformats.org/markup-compatibility/2006">
          <mc:Choice Requires="x14">
            <control shapeId="15511" r:id="rId6" name="Button 1175">
              <controlPr defaultSize="0" print="0" autoFill="0" autoPict="0" macro="[0]!AddSpaceProposed">
                <anchor moveWithCells="1" sizeWithCells="1">
                  <from>
                    <xdr:col>3</xdr:col>
                    <xdr:colOff>106680</xdr:colOff>
                    <xdr:row>5</xdr:row>
                    <xdr:rowOff>213360</xdr:rowOff>
                  </from>
                  <to>
                    <xdr:col>3</xdr:col>
                    <xdr:colOff>1394460</xdr:colOff>
                    <xdr:row>6</xdr:row>
                    <xdr:rowOff>228600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A1:N100"/>
  <sheetViews>
    <sheetView showGridLines="0" topLeftCell="A7" zoomScale="70" zoomScaleNormal="70" zoomScaleSheetLayoutView="120" zoomScalePageLayoutView="90" workbookViewId="0">
      <selection activeCell="G13" sqref="G13"/>
    </sheetView>
  </sheetViews>
  <sheetFormatPr defaultColWidth="12.6640625" defaultRowHeight="13.2" x14ac:dyDescent="0.25"/>
  <cols>
    <col min="1" max="1" width="2.6640625" style="1" customWidth="1"/>
    <col min="2" max="2" width="46.44140625" style="78" customWidth="1"/>
    <col min="3" max="3" width="66" style="78" customWidth="1"/>
    <col min="4" max="4" width="2.44140625" style="78" customWidth="1"/>
    <col min="5" max="5" width="14.6640625" style="78" customWidth="1"/>
    <col min="6" max="6" width="2.6640625" style="78" customWidth="1"/>
    <col min="7" max="7" width="38.6640625" style="78" customWidth="1"/>
    <col min="8" max="9" width="1.6640625" style="78" customWidth="1"/>
    <col min="10" max="10" width="38.6640625" style="78" customWidth="1"/>
    <col min="11" max="11" width="2.6640625" style="78" customWidth="1"/>
    <col min="12" max="13" width="2.77734375" style="78" customWidth="1"/>
    <col min="14" max="14" width="50.77734375" style="78" customWidth="1"/>
    <col min="15" max="62" width="12.6640625" style="78" customWidth="1"/>
    <col min="63" max="16384" width="12.6640625" style="78"/>
  </cols>
  <sheetData>
    <row r="1" spans="1:14" s="77" customFormat="1" x14ac:dyDescent="0.3">
      <c r="A1" s="75"/>
      <c r="B1" s="76"/>
      <c r="C1" s="76"/>
      <c r="D1" s="76"/>
      <c r="E1" s="76"/>
      <c r="F1" s="76"/>
      <c r="G1" s="76"/>
      <c r="H1" s="76"/>
      <c r="I1" s="76"/>
      <c r="J1" s="76"/>
    </row>
    <row r="2" spans="1:14" s="77" customFormat="1" ht="24.75" customHeight="1" x14ac:dyDescent="0.3">
      <c r="A2" s="75"/>
      <c r="B2" s="68" t="s">
        <v>1043</v>
      </c>
      <c r="C2" s="68"/>
      <c r="D2" s="76"/>
      <c r="E2" s="44"/>
      <c r="F2" s="76"/>
      <c r="G2" s="44"/>
      <c r="H2" s="44"/>
      <c r="I2" s="44"/>
      <c r="J2" s="44"/>
    </row>
    <row r="3" spans="1:14" s="77" customFormat="1" ht="15" customHeight="1" x14ac:dyDescent="0.3">
      <c r="A3" s="75"/>
      <c r="B3" s="76"/>
      <c r="C3" s="76"/>
      <c r="D3" s="76"/>
      <c r="E3" s="76"/>
      <c r="F3" s="76"/>
      <c r="G3" s="76"/>
      <c r="H3" s="76"/>
      <c r="I3" s="76"/>
      <c r="J3" s="76"/>
    </row>
    <row r="4" spans="1:14" ht="20.25" customHeight="1" x14ac:dyDescent="0.25">
      <c r="A4" s="78"/>
    </row>
    <row r="5" spans="1:14" s="79" customFormat="1" ht="56.25" customHeight="1" x14ac:dyDescent="0.3">
      <c r="A5" s="81"/>
      <c r="B5" s="2209" t="s">
        <v>1164</v>
      </c>
      <c r="C5" s="2209"/>
      <c r="D5" s="2209"/>
      <c r="E5" s="2209"/>
      <c r="F5" s="2209"/>
      <c r="G5" s="2209"/>
      <c r="H5" s="35"/>
      <c r="I5" s="35"/>
      <c r="N5" s="756" t="s">
        <v>2090</v>
      </c>
    </row>
    <row r="6" spans="1:14" s="24" customFormat="1" ht="15" customHeight="1" x14ac:dyDescent="0.3">
      <c r="B6" s="55"/>
      <c r="C6" s="55"/>
      <c r="D6" s="55"/>
      <c r="E6" s="55"/>
      <c r="F6" s="55"/>
      <c r="G6" s="55"/>
      <c r="H6" s="55"/>
      <c r="I6" s="55"/>
      <c r="J6" s="55"/>
    </row>
    <row r="7" spans="1:14" s="24" customFormat="1" ht="27.75" customHeight="1" x14ac:dyDescent="0.3">
      <c r="B7" s="26" t="s">
        <v>285</v>
      </c>
      <c r="C7" s="26"/>
      <c r="E7" s="31"/>
      <c r="G7" s="31"/>
      <c r="H7" s="31"/>
      <c r="I7" s="31"/>
      <c r="J7" s="31"/>
    </row>
    <row r="8" spans="1:14" ht="21.75" customHeight="1" x14ac:dyDescent="0.25">
      <c r="A8" s="73"/>
      <c r="B8" s="29" t="s">
        <v>172</v>
      </c>
      <c r="C8" s="29"/>
      <c r="G8" s="1337"/>
    </row>
    <row r="9" spans="1:14" s="24" customFormat="1" ht="19.5" customHeight="1" x14ac:dyDescent="0.3">
      <c r="D9" s="31"/>
      <c r="E9" s="31"/>
      <c r="F9" s="2670" t="s">
        <v>347</v>
      </c>
      <c r="G9" s="2670"/>
      <c r="H9" s="2670"/>
      <c r="I9" s="2670" t="s">
        <v>348</v>
      </c>
      <c r="J9" s="2670"/>
      <c r="K9" s="2670"/>
    </row>
    <row r="10" spans="1:14" s="79" customFormat="1" ht="36.75" customHeight="1" x14ac:dyDescent="0.3">
      <c r="A10" s="81"/>
      <c r="B10" s="420" t="s">
        <v>0</v>
      </c>
      <c r="C10" s="1238" t="s">
        <v>2018</v>
      </c>
      <c r="D10" s="420"/>
      <c r="E10" s="421" t="s">
        <v>173</v>
      </c>
      <c r="F10" s="917"/>
      <c r="G10" s="868" t="str">
        <f>'Multiple Buildings Details'!B24</f>
        <v>Saudi Aramco Corporate Academy - Dhahran</v>
      </c>
      <c r="H10" s="924"/>
      <c r="I10" s="925"/>
      <c r="J10" s="869" t="s">
        <v>1596</v>
      </c>
      <c r="K10" s="934"/>
      <c r="N10" s="1904"/>
    </row>
    <row r="11" spans="1:14" s="79" customFormat="1" ht="71.400000000000006" x14ac:dyDescent="0.3">
      <c r="A11" s="81"/>
      <c r="B11" s="470" t="s">
        <v>401</v>
      </c>
      <c r="C11" s="1610" t="s">
        <v>1920</v>
      </c>
      <c r="D11" s="423"/>
      <c r="E11" s="262" t="s">
        <v>337</v>
      </c>
      <c r="F11" s="424"/>
      <c r="G11" s="417" t="s">
        <v>2306</v>
      </c>
      <c r="H11" s="926"/>
      <c r="I11" s="927"/>
      <c r="J11" s="417" t="s">
        <v>2343</v>
      </c>
      <c r="K11" s="935"/>
      <c r="N11" s="1904"/>
    </row>
    <row r="12" spans="1:14" s="79" customFormat="1" ht="40.799999999999997" x14ac:dyDescent="0.3">
      <c r="A12" s="81"/>
      <c r="B12" s="471" t="s">
        <v>400</v>
      </c>
      <c r="C12" s="1611" t="s">
        <v>1921</v>
      </c>
      <c r="D12" s="425"/>
      <c r="E12" s="623" t="s">
        <v>1017</v>
      </c>
      <c r="F12" s="426"/>
      <c r="G12" s="263" t="s">
        <v>2303</v>
      </c>
      <c r="H12" s="928"/>
      <c r="I12" s="929"/>
      <c r="J12" s="263" t="s">
        <v>2303</v>
      </c>
      <c r="K12" s="935"/>
      <c r="N12" s="1904"/>
    </row>
    <row r="13" spans="1:14" s="79" customFormat="1" x14ac:dyDescent="0.3">
      <c r="A13" s="81"/>
      <c r="B13" s="471" t="s">
        <v>399</v>
      </c>
      <c r="C13" s="1611" t="s">
        <v>1922</v>
      </c>
      <c r="D13" s="425"/>
      <c r="E13" s="439" t="s">
        <v>243</v>
      </c>
      <c r="F13" s="426"/>
      <c r="G13" s="263">
        <v>3528.6</v>
      </c>
      <c r="H13" s="928"/>
      <c r="I13" s="929"/>
      <c r="J13" s="263">
        <f>1785*2</f>
        <v>3570</v>
      </c>
      <c r="K13" s="935"/>
      <c r="N13" s="1904"/>
    </row>
    <row r="14" spans="1:14" s="79" customFormat="1" x14ac:dyDescent="0.3">
      <c r="A14" s="81"/>
      <c r="B14" s="471" t="s">
        <v>398</v>
      </c>
      <c r="C14" s="1611" t="s">
        <v>1923</v>
      </c>
      <c r="D14" s="425"/>
      <c r="E14" s="439" t="s">
        <v>750</v>
      </c>
      <c r="F14" s="426"/>
      <c r="G14" s="263">
        <v>6.11</v>
      </c>
      <c r="H14" s="928"/>
      <c r="I14" s="929"/>
      <c r="J14" s="263">
        <v>3.14</v>
      </c>
      <c r="K14" s="935"/>
      <c r="N14" s="1992" t="s">
        <v>2344</v>
      </c>
    </row>
    <row r="15" spans="1:14" s="79" customFormat="1" x14ac:dyDescent="0.3">
      <c r="A15" s="81"/>
      <c r="B15" s="471" t="s">
        <v>397</v>
      </c>
      <c r="C15" s="1611" t="s">
        <v>1923</v>
      </c>
      <c r="D15" s="425"/>
      <c r="E15" s="439" t="s">
        <v>2307</v>
      </c>
      <c r="F15" s="426"/>
      <c r="G15" s="263">
        <v>6.4</v>
      </c>
      <c r="H15" s="928"/>
      <c r="I15" s="929"/>
      <c r="J15" s="263"/>
      <c r="K15" s="935"/>
      <c r="N15" s="1992" t="s">
        <v>2345</v>
      </c>
    </row>
    <row r="16" spans="1:14" s="79" customFormat="1" ht="30.6" x14ac:dyDescent="0.3">
      <c r="A16" s="81"/>
      <c r="B16" s="471" t="s">
        <v>396</v>
      </c>
      <c r="C16" s="1611" t="s">
        <v>2081</v>
      </c>
      <c r="D16" s="425"/>
      <c r="E16" s="623" t="str">
        <f>IF('General Information'!$I$12="IP","°F","°C")</f>
        <v>°C</v>
      </c>
      <c r="F16" s="426"/>
      <c r="G16" s="263">
        <v>6.7</v>
      </c>
      <c r="H16" s="928"/>
      <c r="I16" s="929"/>
      <c r="J16" s="263">
        <v>5</v>
      </c>
      <c r="K16" s="935"/>
      <c r="N16" s="1904"/>
    </row>
    <row r="17" spans="1:14" s="79" customFormat="1" ht="30.6" x14ac:dyDescent="0.3">
      <c r="A17" s="81"/>
      <c r="B17" s="471" t="s">
        <v>350</v>
      </c>
      <c r="C17" s="1611" t="s">
        <v>2077</v>
      </c>
      <c r="D17" s="425"/>
      <c r="E17" s="622" t="str">
        <f>IF('General Information'!$I$12="IP","°F","°C")</f>
        <v>°C</v>
      </c>
      <c r="F17" s="426"/>
      <c r="G17" s="263">
        <v>6.3</v>
      </c>
      <c r="H17" s="928"/>
      <c r="I17" s="929"/>
      <c r="J17" s="263">
        <v>6.72</v>
      </c>
      <c r="K17" s="935"/>
      <c r="N17" s="1904"/>
    </row>
    <row r="18" spans="1:14" s="79" customFormat="1" ht="51" x14ac:dyDescent="0.3">
      <c r="A18" s="81"/>
      <c r="B18" s="471" t="s">
        <v>395</v>
      </c>
      <c r="C18" s="1611" t="s">
        <v>2078</v>
      </c>
      <c r="D18" s="425"/>
      <c r="E18" s="273" t="s">
        <v>337</v>
      </c>
      <c r="F18" s="426"/>
      <c r="G18" s="418" t="s">
        <v>2308</v>
      </c>
      <c r="H18" s="926"/>
      <c r="I18" s="927"/>
      <c r="J18" s="418" t="s">
        <v>2303</v>
      </c>
      <c r="K18" s="935"/>
      <c r="N18" s="1904"/>
    </row>
    <row r="19" spans="1:14" s="79" customFormat="1" ht="40.799999999999997" x14ac:dyDescent="0.3">
      <c r="A19" s="81"/>
      <c r="B19" s="471" t="s">
        <v>394</v>
      </c>
      <c r="C19" s="1611" t="s">
        <v>2082</v>
      </c>
      <c r="D19" s="425"/>
      <c r="E19" s="273" t="s">
        <v>337</v>
      </c>
      <c r="F19" s="426"/>
      <c r="G19" s="418" t="s">
        <v>2309</v>
      </c>
      <c r="H19" s="926"/>
      <c r="I19" s="927"/>
      <c r="J19" s="418" t="s">
        <v>2309</v>
      </c>
      <c r="K19" s="935"/>
      <c r="N19" s="1904"/>
    </row>
    <row r="20" spans="1:14" s="79" customFormat="1" ht="30.6" x14ac:dyDescent="0.3">
      <c r="A20" s="81"/>
      <c r="B20" s="472" t="s">
        <v>1018</v>
      </c>
      <c r="C20" s="1611" t="s">
        <v>2083</v>
      </c>
      <c r="D20" s="425"/>
      <c r="E20" s="623" t="s">
        <v>174</v>
      </c>
      <c r="F20" s="426"/>
      <c r="G20" s="263">
        <v>2</v>
      </c>
      <c r="H20" s="928"/>
      <c r="I20" s="929"/>
      <c r="J20" s="263">
        <v>2</v>
      </c>
      <c r="K20" s="935"/>
      <c r="N20" s="1904"/>
    </row>
    <row r="21" spans="1:14" s="79" customFormat="1" ht="30.6" x14ac:dyDescent="0.3">
      <c r="A21" s="81"/>
      <c r="B21" s="471" t="s">
        <v>1002</v>
      </c>
      <c r="C21" s="1611" t="s">
        <v>2084</v>
      </c>
      <c r="D21" s="425"/>
      <c r="E21" s="439" t="s">
        <v>243</v>
      </c>
      <c r="F21" s="426"/>
      <c r="G21" s="263">
        <v>17.98</v>
      </c>
      <c r="H21" s="928"/>
      <c r="I21" s="929"/>
      <c r="J21" s="263">
        <v>27.4</v>
      </c>
      <c r="K21" s="935"/>
      <c r="N21" s="1904"/>
    </row>
    <row r="22" spans="1:14" s="79" customFormat="1" x14ac:dyDescent="0.3">
      <c r="A22" s="81"/>
      <c r="B22" s="471" t="s">
        <v>1003</v>
      </c>
      <c r="C22" s="1611" t="s">
        <v>1924</v>
      </c>
      <c r="D22" s="425"/>
      <c r="E22" s="623" t="str">
        <f>IF('General Information'!$I$12="IP","gpm","L/s")</f>
        <v>L/s</v>
      </c>
      <c r="F22" s="426"/>
      <c r="G22" s="263">
        <v>126</v>
      </c>
      <c r="H22" s="928"/>
      <c r="I22" s="929"/>
      <c r="J22" s="263">
        <v>127.2</v>
      </c>
      <c r="K22" s="935"/>
      <c r="N22" s="1904"/>
    </row>
    <row r="23" spans="1:14" s="79" customFormat="1" ht="22.8" x14ac:dyDescent="0.3">
      <c r="A23" s="81"/>
      <c r="B23" s="471" t="s">
        <v>1004</v>
      </c>
      <c r="C23" s="1611" t="s">
        <v>1925</v>
      </c>
      <c r="D23" s="425"/>
      <c r="E23" s="273" t="s">
        <v>337</v>
      </c>
      <c r="F23" s="426"/>
      <c r="G23" s="418" t="s">
        <v>2310</v>
      </c>
      <c r="H23" s="926"/>
      <c r="I23" s="927"/>
      <c r="J23" s="418" t="s">
        <v>2310</v>
      </c>
      <c r="K23" s="935"/>
      <c r="N23" s="1904"/>
    </row>
    <row r="24" spans="1:14" s="79" customFormat="1" ht="40.799999999999997" x14ac:dyDescent="0.3">
      <c r="A24" s="81"/>
      <c r="B24" s="471" t="s">
        <v>1005</v>
      </c>
      <c r="C24" s="1611" t="s">
        <v>2085</v>
      </c>
      <c r="D24" s="425"/>
      <c r="E24" s="623" t="s">
        <v>174</v>
      </c>
      <c r="F24" s="426"/>
      <c r="G24" s="263">
        <v>1</v>
      </c>
      <c r="H24" s="928"/>
      <c r="I24" s="929"/>
      <c r="J24" s="263">
        <v>2</v>
      </c>
      <c r="K24" s="935"/>
      <c r="N24" s="1904"/>
    </row>
    <row r="25" spans="1:14" s="79" customFormat="1" ht="51" x14ac:dyDescent="0.3">
      <c r="A25" s="81"/>
      <c r="B25" s="471" t="s">
        <v>1006</v>
      </c>
      <c r="C25" s="1611" t="s">
        <v>2086</v>
      </c>
      <c r="D25" s="425"/>
      <c r="E25" s="439" t="s">
        <v>243</v>
      </c>
      <c r="F25" s="426"/>
      <c r="G25" s="263">
        <v>25.97</v>
      </c>
      <c r="H25" s="928"/>
      <c r="I25" s="929"/>
      <c r="J25" s="263">
        <v>69.52</v>
      </c>
      <c r="K25" s="935"/>
      <c r="N25" s="1904"/>
    </row>
    <row r="26" spans="1:14" s="79" customFormat="1" x14ac:dyDescent="0.3">
      <c r="A26" s="81"/>
      <c r="B26" s="471" t="s">
        <v>1007</v>
      </c>
      <c r="C26" s="1611" t="s">
        <v>1924</v>
      </c>
      <c r="D26" s="425"/>
      <c r="E26" s="623" t="str">
        <f>IF('General Information'!$I$12="IP","gpm","L/s")</f>
        <v>L/s</v>
      </c>
      <c r="F26" s="426"/>
      <c r="G26" s="439">
        <v>126</v>
      </c>
      <c r="H26" s="930"/>
      <c r="I26" s="931"/>
      <c r="J26" s="439">
        <v>127.2</v>
      </c>
      <c r="K26" s="935"/>
      <c r="N26" s="1904"/>
    </row>
    <row r="27" spans="1:14" s="79" customFormat="1" ht="20.399999999999999" x14ac:dyDescent="0.3">
      <c r="A27" s="81"/>
      <c r="B27" s="472" t="s">
        <v>1008</v>
      </c>
      <c r="C27" s="1611" t="s">
        <v>1926</v>
      </c>
      <c r="D27" s="425"/>
      <c r="E27" s="273" t="s">
        <v>337</v>
      </c>
      <c r="F27" s="426"/>
      <c r="G27" s="418" t="s">
        <v>2311</v>
      </c>
      <c r="H27" s="926"/>
      <c r="I27" s="927"/>
      <c r="J27" s="418" t="s">
        <v>2311</v>
      </c>
      <c r="K27" s="935"/>
      <c r="N27" s="1904"/>
    </row>
    <row r="28" spans="1:14" s="79" customFormat="1" x14ac:dyDescent="0.3">
      <c r="A28" s="81"/>
      <c r="B28" s="471" t="s">
        <v>393</v>
      </c>
      <c r="C28" s="1611"/>
      <c r="D28" s="425"/>
      <c r="E28" s="273" t="s">
        <v>337</v>
      </c>
      <c r="F28" s="426"/>
      <c r="G28" s="418" t="s">
        <v>2303</v>
      </c>
      <c r="H28" s="926"/>
      <c r="I28" s="927"/>
      <c r="J28" s="418" t="s">
        <v>2303</v>
      </c>
      <c r="K28" s="935"/>
      <c r="N28" s="1904"/>
    </row>
    <row r="29" spans="1:14" s="79" customFormat="1" x14ac:dyDescent="0.3">
      <c r="A29" s="81"/>
      <c r="B29" s="473" t="s">
        <v>392</v>
      </c>
      <c r="C29" s="1612"/>
      <c r="D29" s="427"/>
      <c r="E29" s="268" t="s">
        <v>337</v>
      </c>
      <c r="F29" s="428"/>
      <c r="G29" s="419" t="s">
        <v>2303</v>
      </c>
      <c r="H29" s="932"/>
      <c r="I29" s="933"/>
      <c r="J29" s="419" t="s">
        <v>2303</v>
      </c>
      <c r="K29" s="936"/>
      <c r="N29" s="1904"/>
    </row>
    <row r="30" spans="1:14" customFormat="1" ht="21" customHeight="1" x14ac:dyDescent="0.3"/>
    <row r="31" spans="1:14" s="24" customFormat="1" ht="26.25" customHeight="1" x14ac:dyDescent="0.3">
      <c r="B31" s="29" t="s">
        <v>351</v>
      </c>
      <c r="C31" s="29"/>
      <c r="D31" s="31"/>
      <c r="E31" s="31"/>
      <c r="F31" s="31"/>
      <c r="G31" s="31"/>
      <c r="H31" s="31"/>
      <c r="I31" s="31"/>
      <c r="J31" s="31"/>
    </row>
    <row r="32" spans="1:14" s="79" customFormat="1" ht="36.75" customHeight="1" x14ac:dyDescent="0.3">
      <c r="A32" s="81"/>
      <c r="B32" s="420" t="s">
        <v>0</v>
      </c>
      <c r="C32" s="1238" t="s">
        <v>2018</v>
      </c>
      <c r="D32" s="420"/>
      <c r="E32" s="421" t="s">
        <v>173</v>
      </c>
      <c r="F32" s="420"/>
      <c r="G32" s="918" t="str">
        <f>G10</f>
        <v>Saudi Aramco Corporate Academy - Dhahran</v>
      </c>
      <c r="H32" s="924"/>
      <c r="I32" s="925"/>
      <c r="J32" s="919" t="str">
        <f>J10</f>
        <v>Project</v>
      </c>
      <c r="K32" s="934"/>
    </row>
    <row r="33" spans="1:14" s="79" customFormat="1" x14ac:dyDescent="0.3">
      <c r="A33" s="81"/>
      <c r="B33" s="429" t="s">
        <v>391</v>
      </c>
      <c r="C33" s="1610" t="s">
        <v>1927</v>
      </c>
      <c r="D33" s="425"/>
      <c r="E33" s="624" t="s">
        <v>174</v>
      </c>
      <c r="F33" s="426"/>
      <c r="G33" s="920">
        <v>2</v>
      </c>
      <c r="H33" s="928"/>
      <c r="I33" s="929"/>
      <c r="J33" s="920" t="s">
        <v>2303</v>
      </c>
      <c r="K33" s="935"/>
      <c r="N33" s="1904"/>
    </row>
    <row r="34" spans="1:14" s="79" customFormat="1" ht="20.399999999999999" x14ac:dyDescent="0.3">
      <c r="A34" s="81"/>
      <c r="B34" s="430" t="s">
        <v>390</v>
      </c>
      <c r="C34" s="1611" t="s">
        <v>1928</v>
      </c>
      <c r="D34" s="425"/>
      <c r="E34" s="439" t="s">
        <v>243</v>
      </c>
      <c r="F34" s="426"/>
      <c r="G34" s="263">
        <v>54.7</v>
      </c>
      <c r="H34" s="928"/>
      <c r="I34" s="929"/>
      <c r="J34" s="263"/>
      <c r="K34" s="935"/>
      <c r="N34" s="1904"/>
    </row>
    <row r="35" spans="1:14" s="79" customFormat="1" x14ac:dyDescent="0.3">
      <c r="A35" s="81"/>
      <c r="B35" s="430" t="s">
        <v>389</v>
      </c>
      <c r="C35" s="1611" t="s">
        <v>1929</v>
      </c>
      <c r="D35" s="425"/>
      <c r="E35" s="273" t="s">
        <v>337</v>
      </c>
      <c r="F35" s="426"/>
      <c r="G35" s="418" t="s">
        <v>2312</v>
      </c>
      <c r="H35" s="926"/>
      <c r="I35" s="927"/>
      <c r="J35" s="418"/>
      <c r="K35" s="935"/>
      <c r="N35" s="1904"/>
    </row>
    <row r="36" spans="1:14" s="79" customFormat="1" ht="20.399999999999999" x14ac:dyDescent="0.3">
      <c r="A36" s="81"/>
      <c r="B36" s="430" t="s">
        <v>388</v>
      </c>
      <c r="C36" s="1611" t="s">
        <v>1930</v>
      </c>
      <c r="D36" s="425"/>
      <c r="E36" s="622" t="str">
        <f>IF('General Information'!$I$12="IP","°F","°C")</f>
        <v>°C</v>
      </c>
      <c r="F36" s="426"/>
      <c r="G36" s="263" t="s">
        <v>2313</v>
      </c>
      <c r="H36" s="928"/>
      <c r="I36" s="929"/>
      <c r="J36" s="263"/>
      <c r="K36" s="935"/>
      <c r="N36" s="1904"/>
    </row>
    <row r="37" spans="1:14" s="79" customFormat="1" x14ac:dyDescent="0.3">
      <c r="A37" s="81"/>
      <c r="B37" s="430" t="s">
        <v>175</v>
      </c>
      <c r="C37" s="1611" t="s">
        <v>1931</v>
      </c>
      <c r="D37" s="425"/>
      <c r="E37" s="622" t="str">
        <f>IF('General Information'!$I$12="IP","°F","°C")</f>
        <v>°C</v>
      </c>
      <c r="F37" s="426"/>
      <c r="G37" s="263" t="s">
        <v>2314</v>
      </c>
      <c r="H37" s="928"/>
      <c r="I37" s="929"/>
      <c r="J37" s="263"/>
      <c r="K37" s="935"/>
      <c r="N37" s="1904"/>
    </row>
    <row r="38" spans="1:14" s="79" customFormat="1" ht="34.200000000000003" x14ac:dyDescent="0.3">
      <c r="A38" s="81"/>
      <c r="B38" s="430" t="s">
        <v>387</v>
      </c>
      <c r="C38" s="1611" t="s">
        <v>1932</v>
      </c>
      <c r="D38" s="425"/>
      <c r="E38" s="273" t="s">
        <v>337</v>
      </c>
      <c r="F38" s="426"/>
      <c r="G38" s="418" t="s">
        <v>2315</v>
      </c>
      <c r="H38" s="926"/>
      <c r="I38" s="927"/>
      <c r="J38" s="418"/>
      <c r="K38" s="935"/>
      <c r="N38" s="1904"/>
    </row>
    <row r="39" spans="1:14" s="79" customFormat="1" x14ac:dyDescent="0.3">
      <c r="A39" s="81"/>
      <c r="B39" s="430" t="s">
        <v>386</v>
      </c>
      <c r="C39" s="1611" t="s">
        <v>1933</v>
      </c>
      <c r="D39" s="425"/>
      <c r="E39" s="623" t="s">
        <v>174</v>
      </c>
      <c r="F39" s="426"/>
      <c r="G39" s="263">
        <v>2</v>
      </c>
      <c r="H39" s="928"/>
      <c r="I39" s="929"/>
      <c r="J39" s="263"/>
      <c r="K39" s="935"/>
      <c r="N39" s="1904"/>
    </row>
    <row r="40" spans="1:14" s="79" customFormat="1" ht="20.399999999999999" x14ac:dyDescent="0.3">
      <c r="A40" s="81"/>
      <c r="B40" s="430" t="s">
        <v>385</v>
      </c>
      <c r="C40" s="1611" t="s">
        <v>1934</v>
      </c>
      <c r="D40" s="425"/>
      <c r="E40" s="439" t="s">
        <v>243</v>
      </c>
      <c r="F40" s="426"/>
      <c r="G40" s="263">
        <v>53.21</v>
      </c>
      <c r="H40" s="928"/>
      <c r="I40" s="929"/>
      <c r="J40" s="263"/>
      <c r="K40" s="935"/>
      <c r="N40" s="1904"/>
    </row>
    <row r="41" spans="1:14" s="79" customFormat="1" x14ac:dyDescent="0.3">
      <c r="A41" s="81"/>
      <c r="B41" s="430" t="s">
        <v>384</v>
      </c>
      <c r="C41" s="1611" t="s">
        <v>1935</v>
      </c>
      <c r="D41" s="425"/>
      <c r="E41" s="623" t="str">
        <f>IF('General Information'!$I$12="IP","gpm","L/s")</f>
        <v>L/s</v>
      </c>
      <c r="F41" s="426"/>
      <c r="G41" s="263">
        <v>176.7</v>
      </c>
      <c r="H41" s="928"/>
      <c r="I41" s="929"/>
      <c r="J41" s="263"/>
      <c r="K41" s="935"/>
      <c r="N41" s="1904"/>
    </row>
    <row r="42" spans="1:14" s="79" customFormat="1" x14ac:dyDescent="0.3">
      <c r="A42" s="81"/>
      <c r="B42" s="431" t="s">
        <v>383</v>
      </c>
      <c r="C42" s="1612" t="s">
        <v>1936</v>
      </c>
      <c r="D42" s="427"/>
      <c r="E42" s="268" t="s">
        <v>337</v>
      </c>
      <c r="F42" s="428"/>
      <c r="G42" s="921" t="s">
        <v>2316</v>
      </c>
      <c r="H42" s="932"/>
      <c r="I42" s="933"/>
      <c r="J42" s="921"/>
      <c r="K42" s="936"/>
      <c r="N42" s="1904"/>
    </row>
    <row r="43" spans="1:14" customFormat="1" ht="21" customHeight="1" x14ac:dyDescent="0.3"/>
    <row r="44" spans="1:14" s="24" customFormat="1" ht="26.25" customHeight="1" x14ac:dyDescent="0.3">
      <c r="B44" s="29" t="s">
        <v>352</v>
      </c>
      <c r="C44" s="29"/>
      <c r="D44" s="31"/>
      <c r="E44" s="31"/>
      <c r="F44" s="31"/>
      <c r="G44" s="1336"/>
      <c r="H44" s="31"/>
      <c r="I44" s="31"/>
      <c r="J44" s="31"/>
    </row>
    <row r="45" spans="1:14" s="79" customFormat="1" ht="36.75" customHeight="1" x14ac:dyDescent="0.3">
      <c r="A45" s="81"/>
      <c r="B45" s="420" t="s">
        <v>0</v>
      </c>
      <c r="C45" s="1238" t="s">
        <v>2018</v>
      </c>
      <c r="D45" s="420"/>
      <c r="E45" s="421" t="s">
        <v>173</v>
      </c>
      <c r="F45" s="420"/>
      <c r="G45" s="918" t="str">
        <f>G10</f>
        <v>Saudi Aramco Corporate Academy - Dhahran</v>
      </c>
      <c r="H45" s="924"/>
      <c r="I45" s="925"/>
      <c r="J45" s="922" t="str">
        <f>J10</f>
        <v>Project</v>
      </c>
      <c r="K45" s="934"/>
    </row>
    <row r="46" spans="1:14" s="79" customFormat="1" ht="30.6" x14ac:dyDescent="0.3">
      <c r="A46" s="81"/>
      <c r="B46" s="429" t="s">
        <v>368</v>
      </c>
      <c r="C46" s="1610" t="s">
        <v>1937</v>
      </c>
      <c r="D46" s="425"/>
      <c r="E46" s="262" t="s">
        <v>337</v>
      </c>
      <c r="F46" s="426"/>
      <c r="G46" s="417" t="s">
        <v>1069</v>
      </c>
      <c r="H46" s="926"/>
      <c r="I46" s="927"/>
      <c r="J46" s="418"/>
      <c r="K46" s="935"/>
      <c r="N46" s="1904"/>
    </row>
    <row r="47" spans="1:14" s="79" customFormat="1" ht="40.799999999999997" x14ac:dyDescent="0.3">
      <c r="A47" s="81"/>
      <c r="B47" s="430" t="s">
        <v>369</v>
      </c>
      <c r="C47" s="1611" t="s">
        <v>1938</v>
      </c>
      <c r="D47" s="425"/>
      <c r="E47" s="623" t="s">
        <v>1017</v>
      </c>
      <c r="F47" s="426"/>
      <c r="G47" s="263" t="s">
        <v>1069</v>
      </c>
      <c r="H47" s="928"/>
      <c r="I47" s="929"/>
      <c r="J47" s="263"/>
      <c r="K47" s="935"/>
      <c r="N47" s="1904"/>
    </row>
    <row r="48" spans="1:14" s="79" customFormat="1" x14ac:dyDescent="0.3">
      <c r="A48" s="81"/>
      <c r="B48" s="430" t="s">
        <v>370</v>
      </c>
      <c r="C48" s="1611" t="s">
        <v>1939</v>
      </c>
      <c r="D48" s="425"/>
      <c r="E48" s="439"/>
      <c r="F48" s="426"/>
      <c r="G48" s="263" t="s">
        <v>1069</v>
      </c>
      <c r="H48" s="928"/>
      <c r="I48" s="929"/>
      <c r="J48" s="263"/>
      <c r="K48" s="935"/>
      <c r="N48" s="1904"/>
    </row>
    <row r="49" spans="1:14" s="79" customFormat="1" x14ac:dyDescent="0.3">
      <c r="A49" s="81"/>
      <c r="B49" s="430" t="s">
        <v>371</v>
      </c>
      <c r="C49" s="1611" t="s">
        <v>1940</v>
      </c>
      <c r="D49" s="425"/>
      <c r="E49" s="439"/>
      <c r="F49" s="426"/>
      <c r="G49" s="263" t="s">
        <v>1069</v>
      </c>
      <c r="H49" s="928"/>
      <c r="I49" s="929"/>
      <c r="J49" s="263"/>
      <c r="K49" s="935"/>
      <c r="N49" s="1904"/>
    </row>
    <row r="50" spans="1:14" s="79" customFormat="1" ht="30.6" x14ac:dyDescent="0.3">
      <c r="A50" s="81"/>
      <c r="B50" s="430" t="s">
        <v>372</v>
      </c>
      <c r="C50" s="1611" t="s">
        <v>1941</v>
      </c>
      <c r="D50" s="425"/>
      <c r="E50" s="622" t="str">
        <f>IF('General Information'!$I$12="IP","°F","°C")</f>
        <v>°C</v>
      </c>
      <c r="F50" s="426"/>
      <c r="G50" s="263" t="s">
        <v>1069</v>
      </c>
      <c r="H50" s="928"/>
      <c r="I50" s="929"/>
      <c r="J50" s="263"/>
      <c r="K50" s="935"/>
      <c r="N50" s="1904"/>
    </row>
    <row r="51" spans="1:14" s="79" customFormat="1" ht="30.6" x14ac:dyDescent="0.3">
      <c r="A51" s="81"/>
      <c r="B51" s="430" t="s">
        <v>176</v>
      </c>
      <c r="C51" s="1611" t="s">
        <v>2079</v>
      </c>
      <c r="D51" s="425"/>
      <c r="E51" s="622" t="str">
        <f>IF('General Information'!$I$12="IP","°F","°C")</f>
        <v>°C</v>
      </c>
      <c r="F51" s="426"/>
      <c r="G51" s="263" t="s">
        <v>1069</v>
      </c>
      <c r="H51" s="928"/>
      <c r="I51" s="929"/>
      <c r="J51" s="263"/>
      <c r="K51" s="935"/>
      <c r="N51" s="1904"/>
    </row>
    <row r="52" spans="1:14" s="433" customFormat="1" ht="51" x14ac:dyDescent="0.3">
      <c r="A52" s="432"/>
      <c r="B52" s="430" t="s">
        <v>373</v>
      </c>
      <c r="C52" s="1611" t="s">
        <v>2080</v>
      </c>
      <c r="D52" s="425"/>
      <c r="E52" s="273" t="s">
        <v>337</v>
      </c>
      <c r="F52" s="426"/>
      <c r="G52" s="923" t="s">
        <v>1069</v>
      </c>
      <c r="H52" s="938"/>
      <c r="I52" s="937"/>
      <c r="J52" s="923"/>
      <c r="K52" s="939"/>
      <c r="N52" s="1905"/>
    </row>
    <row r="53" spans="1:14" s="79" customFormat="1" ht="40.799999999999997" x14ac:dyDescent="0.3">
      <c r="A53" s="81"/>
      <c r="B53" s="430" t="s">
        <v>374</v>
      </c>
      <c r="C53" s="1611" t="s">
        <v>2087</v>
      </c>
      <c r="D53" s="425"/>
      <c r="E53" s="273" t="s">
        <v>337</v>
      </c>
      <c r="F53" s="426"/>
      <c r="G53" s="418" t="s">
        <v>1069</v>
      </c>
      <c r="H53" s="926"/>
      <c r="I53" s="927"/>
      <c r="J53" s="418"/>
      <c r="K53" s="935"/>
      <c r="N53" s="1904"/>
    </row>
    <row r="54" spans="1:14" s="79" customFormat="1" ht="30.6" x14ac:dyDescent="0.3">
      <c r="A54" s="81"/>
      <c r="B54" s="434" t="s">
        <v>1009</v>
      </c>
      <c r="C54" s="1611" t="s">
        <v>2088</v>
      </c>
      <c r="D54" s="425"/>
      <c r="E54" s="623" t="s">
        <v>174</v>
      </c>
      <c r="F54" s="426"/>
      <c r="G54" s="263" t="s">
        <v>1069</v>
      </c>
      <c r="H54" s="928"/>
      <c r="I54" s="929"/>
      <c r="J54" s="263"/>
      <c r="K54" s="935"/>
      <c r="N54" s="1904"/>
    </row>
    <row r="55" spans="1:14" s="79" customFormat="1" ht="81.599999999999994" x14ac:dyDescent="0.3">
      <c r="A55" s="81"/>
      <c r="B55" s="434" t="s">
        <v>1010</v>
      </c>
      <c r="C55" s="1611" t="s">
        <v>2089</v>
      </c>
      <c r="D55" s="425"/>
      <c r="E55" s="439"/>
      <c r="F55" s="426"/>
      <c r="G55" s="263" t="s">
        <v>1069</v>
      </c>
      <c r="H55" s="928"/>
      <c r="I55" s="929"/>
      <c r="J55" s="263"/>
      <c r="K55" s="935"/>
      <c r="N55" s="1904"/>
    </row>
    <row r="56" spans="1:14" s="79" customFormat="1" x14ac:dyDescent="0.3">
      <c r="A56" s="81"/>
      <c r="B56" s="434" t="s">
        <v>1011</v>
      </c>
      <c r="C56" s="1611" t="s">
        <v>1942</v>
      </c>
      <c r="D56" s="425"/>
      <c r="E56" s="623" t="str">
        <f>IF('General Information'!$I$12="IP","gpm","L/s")</f>
        <v>L/s</v>
      </c>
      <c r="F56" s="426"/>
      <c r="G56" s="439" t="s">
        <v>1069</v>
      </c>
      <c r="H56" s="930"/>
      <c r="I56" s="931"/>
      <c r="J56" s="439"/>
      <c r="K56" s="935"/>
      <c r="N56" s="1904"/>
    </row>
    <row r="57" spans="1:14" s="79" customFormat="1" ht="20.399999999999999" x14ac:dyDescent="0.3">
      <c r="A57" s="81"/>
      <c r="B57" s="434" t="s">
        <v>1012</v>
      </c>
      <c r="C57" s="1611" t="s">
        <v>1943</v>
      </c>
      <c r="D57" s="425"/>
      <c r="E57" s="273" t="s">
        <v>337</v>
      </c>
      <c r="F57" s="426"/>
      <c r="G57" s="418" t="s">
        <v>1069</v>
      </c>
      <c r="H57" s="926"/>
      <c r="I57" s="927"/>
      <c r="J57" s="418"/>
      <c r="K57" s="935"/>
      <c r="N57" s="1904"/>
    </row>
    <row r="58" spans="1:14" s="79" customFormat="1" ht="26.4" x14ac:dyDescent="0.3">
      <c r="A58" s="81"/>
      <c r="B58" s="434" t="s">
        <v>1013</v>
      </c>
      <c r="C58" s="1611" t="s">
        <v>1944</v>
      </c>
      <c r="D58" s="425"/>
      <c r="E58" s="623" t="s">
        <v>174</v>
      </c>
      <c r="F58" s="426"/>
      <c r="G58" s="923" t="s">
        <v>1069</v>
      </c>
      <c r="H58" s="938"/>
      <c r="I58" s="937"/>
      <c r="J58" s="923"/>
      <c r="K58" s="935"/>
      <c r="N58" s="1904"/>
    </row>
    <row r="59" spans="1:14" s="79" customFormat="1" x14ac:dyDescent="0.3">
      <c r="A59" s="81"/>
      <c r="B59" s="434" t="s">
        <v>1014</v>
      </c>
      <c r="C59" s="1611" t="s">
        <v>1944</v>
      </c>
      <c r="D59" s="425"/>
      <c r="E59" s="273" t="s">
        <v>337</v>
      </c>
      <c r="F59" s="426"/>
      <c r="G59" s="418" t="s">
        <v>1069</v>
      </c>
      <c r="H59" s="926"/>
      <c r="I59" s="927"/>
      <c r="J59" s="418"/>
      <c r="K59" s="935"/>
      <c r="N59" s="1904"/>
    </row>
    <row r="60" spans="1:14" s="79" customFormat="1" x14ac:dyDescent="0.3">
      <c r="A60" s="81"/>
      <c r="B60" s="434" t="s">
        <v>1015</v>
      </c>
      <c r="C60" s="1611" t="s">
        <v>1944</v>
      </c>
      <c r="D60" s="425"/>
      <c r="E60" s="273" t="s">
        <v>337</v>
      </c>
      <c r="F60" s="426"/>
      <c r="G60" s="418" t="s">
        <v>1069</v>
      </c>
      <c r="H60" s="926"/>
      <c r="I60" s="927"/>
      <c r="J60" s="418"/>
      <c r="K60" s="935"/>
      <c r="N60" s="1904"/>
    </row>
    <row r="61" spans="1:14" s="79" customFormat="1" x14ac:dyDescent="0.3">
      <c r="A61" s="81"/>
      <c r="B61" s="435" t="s">
        <v>1016</v>
      </c>
      <c r="C61" s="1612" t="s">
        <v>1944</v>
      </c>
      <c r="D61" s="427"/>
      <c r="E61" s="268" t="s">
        <v>337</v>
      </c>
      <c r="F61" s="428"/>
      <c r="G61" s="419" t="s">
        <v>1069</v>
      </c>
      <c r="H61" s="932"/>
      <c r="I61" s="933"/>
      <c r="J61" s="921"/>
      <c r="K61" s="936"/>
      <c r="N61" s="1904"/>
    </row>
    <row r="62" spans="1:14" customFormat="1" ht="14.4" x14ac:dyDescent="0.3"/>
    <row r="63" spans="1:14" s="24" customFormat="1" ht="26.25" customHeight="1" x14ac:dyDescent="0.3">
      <c r="B63" s="29" t="s">
        <v>266</v>
      </c>
      <c r="C63" s="29"/>
      <c r="D63" s="31"/>
      <c r="E63" s="31"/>
      <c r="F63" s="31"/>
      <c r="G63" s="31"/>
      <c r="H63" s="31"/>
      <c r="I63" s="31"/>
      <c r="J63" s="31"/>
    </row>
    <row r="64" spans="1:14" s="79" customFormat="1" ht="36.75" customHeight="1" x14ac:dyDescent="0.3">
      <c r="A64" s="81"/>
      <c r="B64" s="420" t="s">
        <v>0</v>
      </c>
      <c r="C64" s="1238" t="s">
        <v>2018</v>
      </c>
      <c r="D64" s="420"/>
      <c r="E64" s="421" t="s">
        <v>173</v>
      </c>
      <c r="F64" s="420"/>
      <c r="G64" s="918" t="str">
        <f>G10</f>
        <v>Saudi Aramco Corporate Academy - Dhahran</v>
      </c>
      <c r="H64" s="924"/>
      <c r="I64" s="925"/>
      <c r="J64" s="918" t="str">
        <f>J10</f>
        <v>Project</v>
      </c>
      <c r="K64" s="934"/>
    </row>
    <row r="65" spans="1:14" s="79" customFormat="1" ht="20.399999999999999" x14ac:dyDescent="0.3">
      <c r="A65" s="81"/>
      <c r="B65" s="429" t="s">
        <v>360</v>
      </c>
      <c r="C65" s="1610" t="s">
        <v>1945</v>
      </c>
      <c r="D65" s="425"/>
      <c r="E65" s="262" t="s">
        <v>337</v>
      </c>
      <c r="F65" s="426"/>
      <c r="G65" s="272"/>
      <c r="H65" s="942"/>
      <c r="I65" s="940"/>
      <c r="J65" s="1332"/>
      <c r="K65" s="935"/>
      <c r="N65" s="1904"/>
    </row>
    <row r="66" spans="1:14" s="79" customFormat="1" ht="20.399999999999999" x14ac:dyDescent="0.3">
      <c r="A66" s="81"/>
      <c r="B66" s="430" t="s">
        <v>361</v>
      </c>
      <c r="C66" s="1611" t="s">
        <v>1946</v>
      </c>
      <c r="D66" s="425"/>
      <c r="E66" s="273" t="s">
        <v>337</v>
      </c>
      <c r="F66" s="426"/>
      <c r="G66" s="272"/>
      <c r="H66" s="942"/>
      <c r="I66" s="940"/>
      <c r="J66" s="1332"/>
      <c r="K66" s="935"/>
      <c r="N66" s="1904"/>
    </row>
    <row r="67" spans="1:14" s="79" customFormat="1" ht="20.399999999999999" x14ac:dyDescent="0.3">
      <c r="A67" s="81"/>
      <c r="B67" s="430" t="s">
        <v>262</v>
      </c>
      <c r="C67" s="1611" t="s">
        <v>1947</v>
      </c>
      <c r="D67" s="425"/>
      <c r="E67" s="622" t="str">
        <f>IF('General Information'!$I$12="IP","°F","°C")</f>
        <v>°C</v>
      </c>
      <c r="F67" s="426"/>
      <c r="G67" s="272"/>
      <c r="H67" s="942"/>
      <c r="I67" s="940"/>
      <c r="J67" s="1332"/>
      <c r="K67" s="935"/>
      <c r="N67" s="1904"/>
    </row>
    <row r="68" spans="1:14" s="79" customFormat="1" ht="20.399999999999999" x14ac:dyDescent="0.3">
      <c r="A68" s="81"/>
      <c r="B68" s="430" t="s">
        <v>263</v>
      </c>
      <c r="C68" s="1611" t="s">
        <v>1948</v>
      </c>
      <c r="D68" s="425"/>
      <c r="E68" s="622" t="str">
        <f>IF('General Information'!$I$12="IP","°F","°C")</f>
        <v>°C</v>
      </c>
      <c r="F68" s="426"/>
      <c r="G68" s="272"/>
      <c r="H68" s="942"/>
      <c r="I68" s="940"/>
      <c r="J68" s="1332"/>
      <c r="K68" s="935"/>
      <c r="N68" s="1904"/>
    </row>
    <row r="69" spans="1:14" s="79" customFormat="1" ht="26.4" x14ac:dyDescent="0.3">
      <c r="A69" s="81"/>
      <c r="B69" s="430" t="s">
        <v>260</v>
      </c>
      <c r="C69" s="1611"/>
      <c r="D69" s="425"/>
      <c r="E69" s="622" t="str">
        <f>IF('General Information'!$I$12="IP","°F","°C")</f>
        <v>°C</v>
      </c>
      <c r="F69" s="426"/>
      <c r="G69" s="272"/>
      <c r="H69" s="942"/>
      <c r="I69" s="940"/>
      <c r="J69" s="1332"/>
      <c r="K69" s="935"/>
      <c r="N69" s="1904"/>
    </row>
    <row r="70" spans="1:14" s="79" customFormat="1" ht="26.4" x14ac:dyDescent="0.3">
      <c r="A70" s="81"/>
      <c r="B70" s="430" t="s">
        <v>261</v>
      </c>
      <c r="C70" s="1611"/>
      <c r="D70" s="425"/>
      <c r="E70" s="622" t="str">
        <f>IF('General Information'!$I$12="IP","°F","°C")</f>
        <v>°C</v>
      </c>
      <c r="F70" s="426"/>
      <c r="G70" s="272"/>
      <c r="H70" s="942"/>
      <c r="I70" s="940"/>
      <c r="J70" s="1332"/>
      <c r="K70" s="935"/>
      <c r="N70" s="1904"/>
    </row>
    <row r="71" spans="1:14" s="79" customFormat="1" ht="20.399999999999999" x14ac:dyDescent="0.3">
      <c r="A71" s="81"/>
      <c r="B71" s="430" t="s">
        <v>265</v>
      </c>
      <c r="C71" s="1611" t="s">
        <v>1949</v>
      </c>
      <c r="D71" s="425"/>
      <c r="E71" s="622" t="str">
        <f>IF('General Information'!$I$12="IP","°F","°C")</f>
        <v>°C</v>
      </c>
      <c r="F71" s="426"/>
      <c r="G71" s="272"/>
      <c r="H71" s="942"/>
      <c r="I71" s="940"/>
      <c r="J71" s="1332"/>
      <c r="K71" s="935"/>
      <c r="N71" s="1904"/>
    </row>
    <row r="72" spans="1:14" s="79" customFormat="1" ht="20.399999999999999" x14ac:dyDescent="0.3">
      <c r="A72" s="81"/>
      <c r="B72" s="430" t="s">
        <v>264</v>
      </c>
      <c r="C72" s="1611" t="s">
        <v>1950</v>
      </c>
      <c r="D72" s="425"/>
      <c r="E72" s="273" t="s">
        <v>337</v>
      </c>
      <c r="F72" s="426"/>
      <c r="G72" s="272"/>
      <c r="H72" s="942"/>
      <c r="I72" s="940"/>
      <c r="J72" s="1332"/>
      <c r="K72" s="935"/>
      <c r="N72" s="1904"/>
    </row>
    <row r="73" spans="1:14" s="79" customFormat="1" x14ac:dyDescent="0.3">
      <c r="A73" s="81"/>
      <c r="B73" s="430" t="s">
        <v>362</v>
      </c>
      <c r="C73" s="1611"/>
      <c r="D73" s="425"/>
      <c r="E73" s="273" t="s">
        <v>337</v>
      </c>
      <c r="F73" s="426"/>
      <c r="G73" s="272"/>
      <c r="H73" s="942"/>
      <c r="I73" s="940"/>
      <c r="J73" s="1332"/>
      <c r="K73" s="935"/>
      <c r="N73" s="1904"/>
    </row>
    <row r="74" spans="1:14" s="79" customFormat="1" ht="20.399999999999999" x14ac:dyDescent="0.3">
      <c r="A74" s="81"/>
      <c r="B74" s="430" t="s">
        <v>363</v>
      </c>
      <c r="C74" s="1611" t="s">
        <v>1951</v>
      </c>
      <c r="D74" s="425"/>
      <c r="E74" s="623" t="s">
        <v>174</v>
      </c>
      <c r="F74" s="426"/>
      <c r="G74" s="272"/>
      <c r="H74" s="942"/>
      <c r="I74" s="940"/>
      <c r="J74" s="1332"/>
      <c r="K74" s="935"/>
      <c r="N74" s="1904"/>
    </row>
    <row r="75" spans="1:14" s="79" customFormat="1" x14ac:dyDescent="0.3">
      <c r="A75" s="81"/>
      <c r="B75" s="430" t="s">
        <v>364</v>
      </c>
      <c r="C75" s="1611"/>
      <c r="D75" s="425"/>
      <c r="E75" s="273" t="s">
        <v>337</v>
      </c>
      <c r="F75" s="426"/>
      <c r="G75" s="272"/>
      <c r="H75" s="942"/>
      <c r="I75" s="940"/>
      <c r="J75" s="1332"/>
      <c r="K75" s="935"/>
      <c r="N75" s="1904"/>
    </row>
    <row r="76" spans="1:14" s="79" customFormat="1" x14ac:dyDescent="0.3">
      <c r="A76" s="81"/>
      <c r="B76" s="430" t="s">
        <v>365</v>
      </c>
      <c r="C76" s="1611"/>
      <c r="D76" s="425"/>
      <c r="E76" s="273" t="s">
        <v>337</v>
      </c>
      <c r="F76" s="426"/>
      <c r="G76" s="272"/>
      <c r="H76" s="942"/>
      <c r="I76" s="940"/>
      <c r="J76" s="1332"/>
      <c r="K76" s="935"/>
      <c r="N76" s="1904"/>
    </row>
    <row r="77" spans="1:14" s="79" customFormat="1" x14ac:dyDescent="0.3">
      <c r="A77" s="81"/>
      <c r="B77" s="430" t="s">
        <v>366</v>
      </c>
      <c r="C77" s="1611"/>
      <c r="D77" s="425"/>
      <c r="E77" s="273" t="s">
        <v>337</v>
      </c>
      <c r="F77" s="426"/>
      <c r="G77" s="272"/>
      <c r="H77" s="942"/>
      <c r="I77" s="940"/>
      <c r="J77" s="1332"/>
      <c r="K77" s="935"/>
      <c r="N77" s="1904"/>
    </row>
    <row r="78" spans="1:14" s="79" customFormat="1" ht="30.6" x14ac:dyDescent="0.3">
      <c r="A78" s="81"/>
      <c r="B78" s="431" t="s">
        <v>367</v>
      </c>
      <c r="C78" s="1612" t="s">
        <v>1952</v>
      </c>
      <c r="D78" s="427"/>
      <c r="E78" s="268" t="s">
        <v>337</v>
      </c>
      <c r="F78" s="428"/>
      <c r="G78" s="268"/>
      <c r="H78" s="943"/>
      <c r="I78" s="941"/>
      <c r="J78" s="1333"/>
      <c r="K78" s="936"/>
      <c r="N78" s="1904"/>
    </row>
    <row r="79" spans="1:14" customFormat="1" ht="21" customHeight="1" x14ac:dyDescent="0.3"/>
    <row r="80" spans="1:14" s="24" customFormat="1" ht="26.25" customHeight="1" x14ac:dyDescent="0.3">
      <c r="B80" s="29" t="s">
        <v>353</v>
      </c>
      <c r="C80" s="29"/>
      <c r="D80" s="31"/>
      <c r="E80" s="31"/>
      <c r="F80" s="31"/>
      <c r="G80" s="31"/>
      <c r="H80" s="31"/>
      <c r="I80" s="31"/>
      <c r="J80" s="31"/>
    </row>
    <row r="81" spans="1:14" s="79" customFormat="1" ht="26.4" x14ac:dyDescent="0.3">
      <c r="A81" s="81"/>
      <c r="B81" s="420" t="s">
        <v>0</v>
      </c>
      <c r="C81" s="1238" t="s">
        <v>2018</v>
      </c>
      <c r="D81" s="420"/>
      <c r="E81" s="422" t="s">
        <v>173</v>
      </c>
      <c r="F81" s="420"/>
      <c r="G81" s="918" t="str">
        <f>G10</f>
        <v>Saudi Aramco Corporate Academy - Dhahran</v>
      </c>
      <c r="H81" s="924"/>
      <c r="I81" s="925"/>
      <c r="J81" s="918" t="str">
        <f>J10</f>
        <v>Project</v>
      </c>
      <c r="K81" s="934"/>
    </row>
    <row r="82" spans="1:14" s="79" customFormat="1" x14ac:dyDescent="0.3">
      <c r="A82" s="81"/>
      <c r="B82" s="436" t="s">
        <v>382</v>
      </c>
      <c r="C82" s="1239"/>
      <c r="D82" s="425"/>
      <c r="E82" s="272" t="s">
        <v>337</v>
      </c>
      <c r="F82" s="426"/>
      <c r="G82" s="262"/>
      <c r="H82" s="942"/>
      <c r="I82" s="940"/>
      <c r="J82" s="1334"/>
      <c r="K82" s="935"/>
      <c r="N82" s="1904"/>
    </row>
    <row r="83" spans="1:14" s="79" customFormat="1" x14ac:dyDescent="0.3">
      <c r="A83" s="81"/>
      <c r="B83" s="437" t="s">
        <v>255</v>
      </c>
      <c r="C83" s="1240"/>
      <c r="D83" s="425"/>
      <c r="E83" s="273" t="s">
        <v>337</v>
      </c>
      <c r="F83" s="426"/>
      <c r="G83" s="273"/>
      <c r="H83" s="942"/>
      <c r="I83" s="940"/>
      <c r="J83" s="1335"/>
      <c r="K83" s="935"/>
      <c r="N83" s="1904"/>
    </row>
    <row r="84" spans="1:14" s="79" customFormat="1" ht="26.4" x14ac:dyDescent="0.3">
      <c r="A84" s="81"/>
      <c r="B84" s="437" t="s">
        <v>256</v>
      </c>
      <c r="C84" s="1240"/>
      <c r="D84" s="425"/>
      <c r="E84" s="273" t="s">
        <v>337</v>
      </c>
      <c r="F84" s="426"/>
      <c r="G84" s="273"/>
      <c r="H84" s="942"/>
      <c r="I84" s="940"/>
      <c r="J84" s="1335"/>
      <c r="K84" s="935"/>
      <c r="N84" s="1904"/>
    </row>
    <row r="85" spans="1:14" s="79" customFormat="1" x14ac:dyDescent="0.3">
      <c r="A85" s="81"/>
      <c r="B85" s="437" t="s">
        <v>375</v>
      </c>
      <c r="C85" s="1240"/>
      <c r="D85" s="425"/>
      <c r="E85" s="273" t="s">
        <v>337</v>
      </c>
      <c r="F85" s="426"/>
      <c r="G85" s="273"/>
      <c r="H85" s="942"/>
      <c r="I85" s="940"/>
      <c r="J85" s="1335"/>
      <c r="K85" s="935"/>
      <c r="N85" s="1904"/>
    </row>
    <row r="86" spans="1:14" s="79" customFormat="1" x14ac:dyDescent="0.3">
      <c r="A86" s="81"/>
      <c r="B86" s="437" t="s">
        <v>376</v>
      </c>
      <c r="C86" s="1240"/>
      <c r="D86" s="425"/>
      <c r="E86" s="273" t="s">
        <v>337</v>
      </c>
      <c r="F86" s="426"/>
      <c r="G86" s="273"/>
      <c r="H86" s="942"/>
      <c r="I86" s="940"/>
      <c r="J86" s="1335"/>
      <c r="K86" s="935"/>
      <c r="N86" s="1904"/>
    </row>
    <row r="87" spans="1:14" s="79" customFormat="1" x14ac:dyDescent="0.3">
      <c r="A87" s="81"/>
      <c r="B87" s="437" t="s">
        <v>377</v>
      </c>
      <c r="C87" s="1240"/>
      <c r="D87" s="425"/>
      <c r="E87" s="273" t="s">
        <v>337</v>
      </c>
      <c r="F87" s="426"/>
      <c r="G87" s="273"/>
      <c r="H87" s="942"/>
      <c r="I87" s="940"/>
      <c r="J87" s="1335"/>
      <c r="K87" s="935"/>
      <c r="N87" s="1904"/>
    </row>
    <row r="88" spans="1:14" s="79" customFormat="1" x14ac:dyDescent="0.3">
      <c r="A88" s="81"/>
      <c r="B88" s="437" t="s">
        <v>378</v>
      </c>
      <c r="C88" s="1240"/>
      <c r="D88" s="425"/>
      <c r="E88" s="273" t="s">
        <v>337</v>
      </c>
      <c r="F88" s="426"/>
      <c r="G88" s="273"/>
      <c r="H88" s="942"/>
      <c r="I88" s="940"/>
      <c r="J88" s="1335"/>
      <c r="K88" s="935"/>
      <c r="N88" s="1904"/>
    </row>
    <row r="89" spans="1:14" s="79" customFormat="1" ht="26.4" x14ac:dyDescent="0.3">
      <c r="A89" s="81"/>
      <c r="B89" s="437" t="s">
        <v>379</v>
      </c>
      <c r="C89" s="1240"/>
      <c r="D89" s="425"/>
      <c r="E89" s="273" t="s">
        <v>337</v>
      </c>
      <c r="F89" s="426"/>
      <c r="G89" s="273"/>
      <c r="H89" s="942"/>
      <c r="I89" s="940"/>
      <c r="J89" s="1335"/>
      <c r="K89" s="935"/>
      <c r="N89" s="1904"/>
    </row>
    <row r="90" spans="1:14" s="79" customFormat="1" ht="26.4" x14ac:dyDescent="0.3">
      <c r="A90" s="81"/>
      <c r="B90" s="437" t="s">
        <v>380</v>
      </c>
      <c r="C90" s="1240"/>
      <c r="D90" s="425"/>
      <c r="E90" s="273" t="s">
        <v>337</v>
      </c>
      <c r="F90" s="426"/>
      <c r="G90" s="273"/>
      <c r="H90" s="942"/>
      <c r="I90" s="940"/>
      <c r="J90" s="1335"/>
      <c r="K90" s="935"/>
      <c r="N90" s="1904"/>
    </row>
    <row r="91" spans="1:14" s="79" customFormat="1" ht="26.4" x14ac:dyDescent="0.3">
      <c r="A91" s="81"/>
      <c r="B91" s="438" t="s">
        <v>381</v>
      </c>
      <c r="C91" s="1241"/>
      <c r="D91" s="427"/>
      <c r="E91" s="268" t="s">
        <v>337</v>
      </c>
      <c r="F91" s="428"/>
      <c r="G91" s="268"/>
      <c r="H91" s="943"/>
      <c r="I91" s="941"/>
      <c r="J91" s="1333"/>
      <c r="K91" s="936"/>
      <c r="N91" s="1904"/>
    </row>
    <row r="92" spans="1:14" customFormat="1" ht="21" customHeight="1" x14ac:dyDescent="0.3"/>
    <row r="93" spans="1:14" s="24" customFormat="1" ht="26.25" customHeight="1" x14ac:dyDescent="0.3">
      <c r="B93" s="29" t="s">
        <v>354</v>
      </c>
      <c r="C93" s="29"/>
      <c r="D93" s="31"/>
      <c r="E93" s="31"/>
      <c r="F93" s="31"/>
      <c r="G93" s="31"/>
      <c r="H93" s="31"/>
      <c r="I93" s="31"/>
      <c r="J93" s="31"/>
    </row>
    <row r="94" spans="1:14" s="79" customFormat="1" ht="36.75" customHeight="1" x14ac:dyDescent="0.3">
      <c r="A94" s="81"/>
      <c r="B94" s="2626" t="s">
        <v>0</v>
      </c>
      <c r="C94" s="2627"/>
      <c r="D94" s="420"/>
      <c r="E94" s="422" t="s">
        <v>173</v>
      </c>
      <c r="F94" s="420"/>
      <c r="G94" s="918" t="str">
        <f>G10</f>
        <v>Saudi Aramco Corporate Academy - Dhahran</v>
      </c>
      <c r="H94" s="924"/>
      <c r="I94" s="925"/>
      <c r="J94" s="918" t="str">
        <f>J10</f>
        <v>Project</v>
      </c>
      <c r="K94" s="934"/>
    </row>
    <row r="95" spans="1:14" s="79" customFormat="1" ht="21" customHeight="1" x14ac:dyDescent="0.3">
      <c r="A95" s="81"/>
      <c r="B95" s="2671" t="s">
        <v>432</v>
      </c>
      <c r="C95" s="2672"/>
      <c r="D95" s="1242"/>
      <c r="E95" s="414"/>
      <c r="F95" s="426"/>
      <c r="G95" s="417"/>
      <c r="H95" s="926"/>
      <c r="I95" s="944"/>
      <c r="J95" s="417"/>
      <c r="K95" s="935"/>
      <c r="N95" s="1904"/>
    </row>
    <row r="96" spans="1:14" s="79" customFormat="1" ht="21" customHeight="1" x14ac:dyDescent="0.3">
      <c r="A96" s="81"/>
      <c r="B96" s="2673" t="s">
        <v>432</v>
      </c>
      <c r="C96" s="2674"/>
      <c r="D96" s="1242"/>
      <c r="E96" s="415"/>
      <c r="F96" s="426"/>
      <c r="G96" s="418"/>
      <c r="H96" s="926"/>
      <c r="I96" s="944"/>
      <c r="J96" s="418"/>
      <c r="K96" s="935"/>
      <c r="N96" s="1904"/>
    </row>
    <row r="97" spans="1:14" s="79" customFormat="1" ht="21" customHeight="1" x14ac:dyDescent="0.3">
      <c r="A97" s="81"/>
      <c r="B97" s="2673" t="s">
        <v>432</v>
      </c>
      <c r="C97" s="2674"/>
      <c r="D97" s="1242"/>
      <c r="E97" s="415"/>
      <c r="F97" s="426"/>
      <c r="G97" s="418"/>
      <c r="H97" s="926"/>
      <c r="I97" s="944"/>
      <c r="J97" s="418"/>
      <c r="K97" s="935"/>
      <c r="N97" s="1904"/>
    </row>
    <row r="98" spans="1:14" s="79" customFormat="1" ht="21" customHeight="1" x14ac:dyDescent="0.3">
      <c r="A98" s="81"/>
      <c r="B98" s="2673" t="s">
        <v>432</v>
      </c>
      <c r="C98" s="2674"/>
      <c r="D98" s="1242"/>
      <c r="E98" s="415"/>
      <c r="F98" s="426"/>
      <c r="G98" s="418"/>
      <c r="H98" s="926"/>
      <c r="I98" s="944"/>
      <c r="J98" s="418"/>
      <c r="K98" s="935"/>
      <c r="N98" s="1904"/>
    </row>
    <row r="99" spans="1:14" s="79" customFormat="1" ht="21" customHeight="1" x14ac:dyDescent="0.3">
      <c r="A99" s="81"/>
      <c r="B99" s="2673" t="s">
        <v>432</v>
      </c>
      <c r="C99" s="2674"/>
      <c r="D99" s="1242"/>
      <c r="E99" s="415"/>
      <c r="F99" s="426"/>
      <c r="G99" s="418"/>
      <c r="H99" s="926"/>
      <c r="I99" s="944"/>
      <c r="J99" s="418"/>
      <c r="K99" s="935"/>
      <c r="N99" s="1904"/>
    </row>
    <row r="100" spans="1:14" s="79" customFormat="1" ht="21" customHeight="1" x14ac:dyDescent="0.3">
      <c r="A100" s="81"/>
      <c r="B100" s="2675" t="s">
        <v>432</v>
      </c>
      <c r="C100" s="2676"/>
      <c r="D100" s="1243"/>
      <c r="E100" s="416"/>
      <c r="F100" s="428"/>
      <c r="G100" s="419"/>
      <c r="H100" s="932"/>
      <c r="I100" s="945"/>
      <c r="J100" s="419"/>
      <c r="K100" s="936"/>
      <c r="N100" s="1904"/>
    </row>
  </sheetData>
  <sheetProtection algorithmName="SHA-512" hashValue="jsfxkUJ4sJH3U295NKHPdtPmXL98xcFGZCaUf2XbxTJD0/hX7VSOn/REpV4aPa5m2cBHJlGPzFptBtNLQLY2Rw==" saltValue="WJgYyLVciRh6PBdh0982Pg==" spinCount="100000" sheet="1" objects="1" scenarios="1"/>
  <customSheetViews>
    <customSheetView guid="{75D6F8CE-A4F4-4FDD-BA92-7996F9E19FA9}" scale="90" showGridLines="0">
      <selection activeCell="K12" sqref="K12"/>
      <rowBreaks count="1" manualBreakCount="1">
        <brk id="64" max="8" man="1"/>
      </rowBreaks>
      <pageMargins left="0.25" right="0.25" top="0.75" bottom="0.75" header="0.3" footer="0.3"/>
      <pageSetup scale="63" orientation="portrait" verticalDpi="1200" r:id="rId1"/>
    </customSheetView>
  </customSheetViews>
  <mergeCells count="10">
    <mergeCell ref="B96:C96"/>
    <mergeCell ref="B97:C97"/>
    <mergeCell ref="B98:C98"/>
    <mergeCell ref="B99:C99"/>
    <mergeCell ref="B100:C100"/>
    <mergeCell ref="B5:G5"/>
    <mergeCell ref="F9:H9"/>
    <mergeCell ref="I9:K9"/>
    <mergeCell ref="B94:C94"/>
    <mergeCell ref="B95:C95"/>
  </mergeCells>
  <dataValidations count="16">
    <dataValidation allowBlank="1" showInputMessage="1" sqref="E54 E33 E39 E20 E36:E37 E17 E24 E41 E26 E22 E67:E71 E74 E58 E50:E51 E56 J11 J95:J100 G95:G100" xr:uid="{00000000-0002-0000-1000-000000000000}"/>
    <dataValidation type="list" allowBlank="1" showInputMessage="1" sqref="E55 E40 E25" xr:uid="{00000000-0002-0000-1000-000001000000}">
      <formula1>"kW, HP, BHP, W/gpm, other (specify)"</formula1>
    </dataValidation>
    <dataValidation type="list" allowBlank="1" showInputMessage="1" sqref="E48" xr:uid="{00000000-0002-0000-1000-000002000000}">
      <formula1>"MBH, other (specify)"</formula1>
    </dataValidation>
    <dataValidation type="list" allowBlank="1" showInputMessage="1" sqref="E49" xr:uid="{00000000-0002-0000-1000-000003000000}">
      <formula1>"%, AFUE, other (specify)"</formula1>
    </dataValidation>
    <dataValidation type="list" allowBlank="1" showInputMessage="1" sqref="E15" xr:uid="{00000000-0002-0000-1000-000004000000}">
      <formula1>"IPLV, other (specify)"</formula1>
    </dataValidation>
    <dataValidation type="list" allowBlank="1" showInputMessage="1" sqref="E34" xr:uid="{00000000-0002-0000-1000-000005000000}">
      <formula1>"kW, HP, BHP, gpm/HP, hp/gpm, W/gpm, other (specify)"</formula1>
    </dataValidation>
    <dataValidation type="list" allowBlank="1" showInputMessage="1" sqref="E14" xr:uid="{00000000-0002-0000-1000-000006000000}">
      <formula1>"COP, kW/ton, other (specify)"</formula1>
    </dataValidation>
    <dataValidation type="list" allowBlank="1" showInputMessage="1" sqref="E21" xr:uid="{00000000-0002-0000-1000-000007000000}">
      <formula1>"W/gpm,kW"</formula1>
    </dataValidation>
    <dataValidation type="list" operator="greaterThanOrEqual" allowBlank="1" showInputMessage="1" error="Please enter the value only (without any labels)" sqref="E13" xr:uid="{00000000-0002-0000-1000-000008000000}">
      <formula1>"kBtu/h, tons, kW, Btuh"</formula1>
    </dataValidation>
    <dataValidation type="list" allowBlank="1" showInputMessage="1" showErrorMessage="1" sqref="J10" xr:uid="{00000000-0002-0000-1000-000009000000}">
      <formula1>BuildingIDLookup</formula1>
    </dataValidation>
    <dataValidation type="list" allowBlank="1" showInputMessage="1" sqref="J57 G57" xr:uid="{00000000-0002-0000-1000-00000A000000}">
      <formula1>"Riding the pump curve,Variable speed"</formula1>
    </dataValidation>
    <dataValidation type="list" allowBlank="1" showInputMessage="1" sqref="J46 G46" xr:uid="{00000000-0002-0000-1000-00000B000000}">
      <formula1>"1 natural draft hot water boiler, 2 equally-sized natural draft hot water boilers, N/A (purchased heat),N/A"</formula1>
    </dataValidation>
    <dataValidation type="list" allowBlank="1" showInputMessage="1" sqref="J36 G36" xr:uid="{00000000-0002-0000-1000-00000C000000}">
      <formula1>"85°F,10°F approaching design wet-bulb temperature"</formula1>
    </dataValidation>
    <dataValidation type="list" allowBlank="1" showInputMessage="1" sqref="G11" xr:uid="{00000000-0002-0000-1000-00000D000000}">
      <formula1>"1 water-cooled screw chiller, 2 water-cooled screw chillers, 2 water-cooled centrifugal chillers, &gt;2 water-cooled centrifugal chillers (overwrite), n/a (purchased chilled water),n/a"</formula1>
    </dataValidation>
    <dataValidation type="list" allowBlank="1" showInputMessage="1" sqref="J23 G23" xr:uid="{00000000-0002-0000-1000-00000E000000}">
      <formula1>"Constant Speed - each primary pump interlocked with associated chiller, No primary pumps modeled"</formula1>
    </dataValidation>
    <dataValidation type="list" allowBlank="1" showInputMessage="1" sqref="J27 G27" xr:uid="{00000000-0002-0000-1000-00000F000000}">
      <formula1>"Riding the pump curve, Variable speed"</formula1>
    </dataValidation>
  </dataValidations>
  <pageMargins left="0.25" right="0.25" top="0.75" bottom="0.75" header="0.3" footer="0.3"/>
  <pageSetup scale="63" orientation="portrait" verticalDpi="1200" r:id="rId2"/>
  <rowBreaks count="1" manualBreakCount="1">
    <brk id="64" max="8" man="1"/>
  </rowBreaks>
  <drawing r:id="rId3"/>
  <legacyDrawing r:id="rId4"/>
  <mc:AlternateContent xmlns:mc="http://schemas.openxmlformats.org/markup-compatibility/2006">
    <mc:Choice Requires="x14">
      <controls>
        <mc:AlternateContent xmlns:mc="http://schemas.openxmlformats.org/markup-compatibility/2006">
          <mc:Choice Requires="x14">
            <control shapeId="11487" r:id="rId5" name="Button 223">
              <controlPr defaultSize="0" print="0" autoFill="0" autoPict="0" macro="[0]!AddProposedHVACColumnsToRange">
                <anchor moveWithCells="1">
                  <from>
                    <xdr:col>1</xdr:col>
                    <xdr:colOff>2827020</xdr:colOff>
                    <xdr:row>5</xdr:row>
                    <xdr:rowOff>137160</xdr:rowOff>
                  </from>
                  <to>
                    <xdr:col>2</xdr:col>
                    <xdr:colOff>1470660</xdr:colOff>
                    <xdr:row>6</xdr:row>
                    <xdr:rowOff>259080</xdr:rowOff>
                  </to>
                </anchor>
              </controlPr>
            </control>
          </mc:Choice>
        </mc:AlternateContent>
        <mc:AlternateContent xmlns:mc="http://schemas.openxmlformats.org/markup-compatibility/2006">
          <mc:Choice Requires="x14">
            <control shapeId="11491" r:id="rId6" name="Button 227">
              <controlPr defaultSize="0" print="0" autoFill="0" autoPict="0" macro="[0]!DeleteProposedHVACColumnsToRange">
                <anchor moveWithCells="1">
                  <from>
                    <xdr:col>2</xdr:col>
                    <xdr:colOff>1584960</xdr:colOff>
                    <xdr:row>5</xdr:row>
                    <xdr:rowOff>137160</xdr:rowOff>
                  </from>
                  <to>
                    <xdr:col>2</xdr:col>
                    <xdr:colOff>3337560</xdr:colOff>
                    <xdr:row>6</xdr:row>
                    <xdr:rowOff>251460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6">
    <tabColor theme="0" tint="-0.249977111117893"/>
  </sheetPr>
  <dimension ref="A1:BX15"/>
  <sheetViews>
    <sheetView showGridLines="0" zoomScaleNormal="100" workbookViewId="0"/>
  </sheetViews>
  <sheetFormatPr defaultColWidth="9.109375" defaultRowHeight="13.2" x14ac:dyDescent="0.25"/>
  <cols>
    <col min="1" max="1" width="33.88671875" style="1911" customWidth="1"/>
    <col min="2" max="2" width="10.44140625" style="1911" bestFit="1" customWidth="1"/>
    <col min="3" max="3" width="5.6640625" style="1911" bestFit="1" customWidth="1"/>
    <col min="4" max="4" width="8.88671875" style="1911" bestFit="1" customWidth="1"/>
    <col min="5" max="5" width="7.5546875" style="1911" bestFit="1" customWidth="1"/>
    <col min="6" max="6" width="12.44140625" style="1911" bestFit="1" customWidth="1"/>
    <col min="7" max="7" width="12.88671875" style="1911" bestFit="1" customWidth="1"/>
    <col min="8" max="8" width="14.33203125" style="1911" bestFit="1" customWidth="1"/>
    <col min="9" max="9" width="22.5546875" style="1911" bestFit="1" customWidth="1"/>
    <col min="10" max="10" width="25" style="1911" bestFit="1" customWidth="1"/>
    <col min="11" max="11" width="16.33203125" style="1911" bestFit="1" customWidth="1"/>
    <col min="12" max="12" width="11.109375" style="1911" bestFit="1" customWidth="1"/>
    <col min="13" max="13" width="8.109375" style="1911" bestFit="1" customWidth="1"/>
    <col min="14" max="14" width="9.88671875" style="1911" customWidth="1"/>
    <col min="15" max="15" width="10.44140625" style="1911" bestFit="1" customWidth="1"/>
    <col min="16" max="16" width="10.33203125" style="1911" bestFit="1" customWidth="1"/>
    <col min="17" max="17" width="8.6640625" style="1911" bestFit="1" customWidth="1"/>
    <col min="18" max="18" width="10" style="1911" bestFit="1" customWidth="1"/>
    <col min="19" max="19" width="12" style="1911" bestFit="1" customWidth="1"/>
    <col min="20" max="20" width="10.33203125" style="1911" bestFit="1" customWidth="1"/>
    <col min="21" max="21" width="17.33203125" style="1911" bestFit="1" customWidth="1"/>
    <col min="22" max="22" width="14.6640625" style="1911" bestFit="1" customWidth="1"/>
    <col min="23" max="23" width="10.6640625" style="1911" bestFit="1" customWidth="1"/>
    <col min="24" max="24" width="12" style="1911" customWidth="1"/>
    <col min="25" max="25" width="11.109375" style="1911" bestFit="1" customWidth="1"/>
    <col min="26" max="26" width="8.109375" style="1911" bestFit="1" customWidth="1"/>
    <col min="27" max="27" width="8.33203125" style="1911" bestFit="1" customWidth="1"/>
    <col min="28" max="28" width="10.44140625" style="1911" bestFit="1" customWidth="1"/>
    <col min="29" max="29" width="10.33203125" style="1911" bestFit="1" customWidth="1"/>
    <col min="30" max="30" width="8.6640625" style="1911" bestFit="1" customWidth="1"/>
    <col min="31" max="31" width="10" style="1911" bestFit="1" customWidth="1"/>
    <col min="32" max="32" width="12" style="1911" bestFit="1" customWidth="1"/>
    <col min="33" max="33" width="10.33203125" style="1911" bestFit="1" customWidth="1"/>
    <col min="34" max="34" width="17.33203125" style="1911" bestFit="1" customWidth="1"/>
    <col min="35" max="35" width="14.6640625" style="1911" bestFit="1" customWidth="1"/>
    <col min="36" max="36" width="10.6640625" style="1911" bestFit="1" customWidth="1"/>
    <col min="37" max="37" width="11.109375" style="1911" bestFit="1" customWidth="1"/>
    <col min="38" max="38" width="8.109375" style="1911" bestFit="1" customWidth="1"/>
    <col min="39" max="39" width="8.33203125" style="1911" bestFit="1" customWidth="1"/>
    <col min="40" max="40" width="10.44140625" style="1911" bestFit="1" customWidth="1"/>
    <col min="41" max="41" width="10.33203125" style="1911" bestFit="1" customWidth="1"/>
    <col min="42" max="42" width="8.6640625" style="1911" bestFit="1" customWidth="1"/>
    <col min="43" max="43" width="10" style="1911" bestFit="1" customWidth="1"/>
    <col min="44" max="44" width="12" style="1911" bestFit="1" customWidth="1"/>
    <col min="45" max="45" width="10.33203125" style="1911" bestFit="1" customWidth="1"/>
    <col min="46" max="46" width="17.33203125" style="1911" bestFit="1" customWidth="1"/>
    <col min="47" max="47" width="14.6640625" style="1911" bestFit="1" customWidth="1"/>
    <col min="48" max="48" width="10.6640625" style="1911" bestFit="1" customWidth="1"/>
    <col min="49" max="49" width="7.5546875" style="1911" bestFit="1" customWidth="1"/>
    <col min="50" max="50" width="11.109375" style="1911" bestFit="1" customWidth="1"/>
    <col min="51" max="51" width="8.109375" style="1911" bestFit="1" customWidth="1"/>
    <col min="52" max="52" width="8.33203125" style="1911" bestFit="1" customWidth="1"/>
    <col min="53" max="53" width="10.44140625" style="1911" bestFit="1" customWidth="1"/>
    <col min="54" max="54" width="10.33203125" style="1911" bestFit="1" customWidth="1"/>
    <col min="55" max="55" width="8.6640625" style="1911" bestFit="1" customWidth="1"/>
    <col min="56" max="56" width="10" style="1911" bestFit="1" customWidth="1"/>
    <col min="57" max="57" width="12" style="1911" bestFit="1" customWidth="1"/>
    <col min="58" max="58" width="10.33203125" style="1911" bestFit="1" customWidth="1"/>
    <col min="59" max="59" width="17.33203125" style="1911" bestFit="1" customWidth="1"/>
    <col min="60" max="60" width="14.6640625" style="1911" bestFit="1" customWidth="1"/>
    <col min="61" max="61" width="10.6640625" style="1911" bestFit="1" customWidth="1"/>
    <col min="62" max="62" width="6.109375" style="1911" bestFit="1" customWidth="1"/>
    <col min="63" max="63" width="8.6640625" style="1911" bestFit="1" customWidth="1"/>
    <col min="64" max="64" width="7.6640625" style="1911" bestFit="1" customWidth="1"/>
    <col min="65" max="65" width="8.6640625" style="1911" bestFit="1" customWidth="1"/>
    <col min="66" max="66" width="11.109375" style="1911" bestFit="1" customWidth="1"/>
    <col min="67" max="67" width="9.5546875" style="1911" bestFit="1" customWidth="1"/>
    <col min="68" max="68" width="8" style="1911" bestFit="1" customWidth="1"/>
    <col min="69" max="69" width="9.33203125" style="1911" bestFit="1" customWidth="1"/>
    <col min="70" max="70" width="8.44140625" style="1911" bestFit="1" customWidth="1"/>
    <col min="71" max="71" width="17" style="1911" bestFit="1" customWidth="1"/>
    <col min="72" max="72" width="12.33203125" style="1911" bestFit="1" customWidth="1"/>
    <col min="73" max="73" width="9.88671875" style="1911" bestFit="1" customWidth="1"/>
    <col min="74" max="74" width="17" style="1911" bestFit="1" customWidth="1"/>
    <col min="75" max="75" width="14.33203125" style="1911" bestFit="1" customWidth="1"/>
    <col min="76" max="76" width="14.44140625" style="1911" bestFit="1" customWidth="1"/>
    <col min="77" max="77" width="9.109375" style="1911" customWidth="1"/>
    <col min="78" max="16384" width="9.109375" style="1911"/>
  </cols>
  <sheetData>
    <row r="1" spans="1:76" s="759" customFormat="1" ht="14.4" x14ac:dyDescent="0.3">
      <c r="A1" s="717"/>
      <c r="B1" s="777"/>
      <c r="C1" s="777"/>
      <c r="D1" s="777"/>
      <c r="E1" s="777"/>
      <c r="F1" s="778"/>
      <c r="G1" s="778"/>
      <c r="H1" s="777"/>
      <c r="I1" s="777"/>
      <c r="J1" s="777"/>
      <c r="K1" s="777"/>
      <c r="L1" s="777"/>
      <c r="M1" s="777"/>
      <c r="N1" s="777"/>
      <c r="O1" s="777"/>
      <c r="P1" s="777"/>
      <c r="Q1" s="777"/>
      <c r="R1" s="778"/>
      <c r="S1" s="777"/>
      <c r="T1" s="777"/>
      <c r="U1" s="777"/>
      <c r="V1" s="777"/>
      <c r="W1" s="777"/>
      <c r="X1" s="777"/>
      <c r="Y1" s="777"/>
      <c r="Z1" s="777"/>
      <c r="AA1" s="777"/>
      <c r="AB1" s="1394"/>
    </row>
    <row r="2" spans="1:76" s="759" customFormat="1" ht="25.2" x14ac:dyDescent="0.3">
      <c r="A2" s="1910" t="s">
        <v>2092</v>
      </c>
      <c r="B2" s="40"/>
      <c r="C2" s="40"/>
      <c r="D2" s="40"/>
      <c r="E2" s="40"/>
      <c r="F2" s="40"/>
      <c r="G2" s="40"/>
      <c r="H2" s="40"/>
      <c r="I2" s="40"/>
      <c r="J2" s="40"/>
      <c r="K2" s="40"/>
      <c r="L2" s="40"/>
      <c r="M2" s="40"/>
      <c r="N2" s="40"/>
      <c r="O2" s="40"/>
      <c r="P2" s="40"/>
      <c r="Q2" s="40"/>
      <c r="R2" s="40"/>
      <c r="S2" s="40"/>
      <c r="T2" s="40"/>
      <c r="U2" s="40"/>
      <c r="V2" s="40"/>
      <c r="W2" s="40"/>
      <c r="X2" s="40"/>
      <c r="Y2" s="40"/>
      <c r="Z2" s="40"/>
      <c r="AA2" s="40"/>
      <c r="AB2" s="1394"/>
    </row>
    <row r="3" spans="1:76" s="759" customFormat="1" ht="14.4" x14ac:dyDescent="0.3">
      <c r="A3" s="717"/>
      <c r="B3" s="777"/>
      <c r="C3" s="777"/>
      <c r="D3" s="777"/>
      <c r="E3" s="777"/>
      <c r="F3" s="778"/>
      <c r="G3" s="778"/>
      <c r="H3" s="777"/>
      <c r="I3" s="777"/>
      <c r="J3" s="777"/>
      <c r="K3" s="777"/>
      <c r="L3" s="777"/>
      <c r="M3" s="777"/>
      <c r="N3" s="777"/>
      <c r="O3" s="777"/>
      <c r="P3" s="777"/>
      <c r="Q3" s="777"/>
      <c r="R3" s="778"/>
      <c r="S3" s="777"/>
      <c r="T3" s="777"/>
      <c r="U3" s="777"/>
      <c r="V3" s="777"/>
      <c r="W3" s="777"/>
      <c r="X3" s="777"/>
      <c r="Y3" s="777"/>
      <c r="Z3" s="777"/>
      <c r="AA3" s="777"/>
      <c r="AB3" s="1394"/>
    </row>
    <row r="4" spans="1:76" ht="57" customHeight="1" x14ac:dyDescent="0.25">
      <c r="A4" s="2681" t="s">
        <v>2221</v>
      </c>
      <c r="B4" s="2681"/>
      <c r="C4" s="2681"/>
      <c r="D4" s="2681"/>
      <c r="E4" s="2681"/>
      <c r="F4" s="2681"/>
      <c r="G4" s="2681"/>
      <c r="H4" s="2681"/>
      <c r="I4" s="2681"/>
      <c r="J4" s="2681"/>
      <c r="K4" s="2681"/>
    </row>
    <row r="5" spans="1:76" ht="13.8" thickBot="1" x14ac:dyDescent="0.3"/>
    <row r="6" spans="1:76" s="1915" customFormat="1" ht="12.6" thickBot="1" x14ac:dyDescent="0.3">
      <c r="A6" s="1912"/>
      <c r="B6" s="1913"/>
      <c r="C6" s="1914"/>
      <c r="L6" s="2678" t="s">
        <v>2093</v>
      </c>
      <c r="M6" s="2680"/>
      <c r="N6" s="2680"/>
      <c r="O6" s="2680"/>
      <c r="P6" s="2680"/>
      <c r="Q6" s="2680"/>
      <c r="R6" s="2680"/>
      <c r="S6" s="2680"/>
      <c r="T6" s="2680"/>
      <c r="U6" s="2680"/>
      <c r="V6" s="2680"/>
      <c r="W6" s="2680"/>
      <c r="X6" s="2679"/>
      <c r="Y6" s="2678" t="s">
        <v>2094</v>
      </c>
      <c r="Z6" s="2680"/>
      <c r="AA6" s="2680"/>
      <c r="AB6" s="2680"/>
      <c r="AC6" s="2680"/>
      <c r="AD6" s="2680"/>
      <c r="AE6" s="2680"/>
      <c r="AF6" s="2680"/>
      <c r="AG6" s="2680"/>
      <c r="AH6" s="2680"/>
      <c r="AI6" s="2680"/>
      <c r="AJ6" s="2679"/>
      <c r="AK6" s="2678" t="s">
        <v>2095</v>
      </c>
      <c r="AL6" s="2680"/>
      <c r="AM6" s="2680"/>
      <c r="AN6" s="2680"/>
      <c r="AO6" s="2680"/>
      <c r="AP6" s="2680"/>
      <c r="AQ6" s="2680"/>
      <c r="AR6" s="2680"/>
      <c r="AS6" s="2680"/>
      <c r="AT6" s="2680"/>
      <c r="AU6" s="2680"/>
      <c r="AV6" s="2680"/>
      <c r="AW6" s="2679"/>
      <c r="AX6" s="2678" t="s">
        <v>2096</v>
      </c>
      <c r="AY6" s="2680"/>
      <c r="AZ6" s="2680"/>
      <c r="BA6" s="2680"/>
      <c r="BB6" s="2680"/>
      <c r="BC6" s="2680"/>
      <c r="BD6" s="2680"/>
      <c r="BE6" s="2680"/>
      <c r="BF6" s="2680"/>
      <c r="BG6" s="2680"/>
      <c r="BH6" s="2680"/>
      <c r="BI6" s="2680"/>
      <c r="BJ6" s="2679"/>
      <c r="BK6" s="2678" t="s">
        <v>2097</v>
      </c>
      <c r="BL6" s="2679"/>
      <c r="BM6" s="2678" t="s">
        <v>2098</v>
      </c>
      <c r="BN6" s="2679"/>
      <c r="BO6" s="2678" t="s">
        <v>2099</v>
      </c>
      <c r="BP6" s="2680"/>
      <c r="BQ6" s="2680"/>
      <c r="BR6" s="2679"/>
      <c r="BS6" s="2678" t="s">
        <v>2100</v>
      </c>
      <c r="BT6" s="2680"/>
      <c r="BU6" s="2680"/>
      <c r="BV6" s="2680"/>
      <c r="BW6" s="2680"/>
      <c r="BX6" s="2679"/>
    </row>
    <row r="7" spans="1:76" s="1920" customFormat="1" ht="48.6" thickBot="1" x14ac:dyDescent="0.35">
      <c r="A7" s="1916" t="s">
        <v>2101</v>
      </c>
      <c r="B7" s="1917" t="s">
        <v>2102</v>
      </c>
      <c r="C7" s="1917" t="s">
        <v>2103</v>
      </c>
      <c r="D7" s="1917" t="s">
        <v>2104</v>
      </c>
      <c r="E7" s="1917" t="s">
        <v>2105</v>
      </c>
      <c r="F7" s="1917" t="s">
        <v>2106</v>
      </c>
      <c r="G7" s="1917" t="s">
        <v>2107</v>
      </c>
      <c r="H7" s="1917" t="s">
        <v>2108</v>
      </c>
      <c r="I7" s="1917" t="s">
        <v>2109</v>
      </c>
      <c r="J7" s="1917" t="s">
        <v>2110</v>
      </c>
      <c r="K7" s="1918" t="s">
        <v>2111</v>
      </c>
      <c r="L7" s="1916" t="s">
        <v>2112</v>
      </c>
      <c r="M7" s="1917" t="s">
        <v>2113</v>
      </c>
      <c r="N7" s="1917" t="s">
        <v>2114</v>
      </c>
      <c r="O7" s="1917" t="s">
        <v>2115</v>
      </c>
      <c r="P7" s="1917" t="s">
        <v>2116</v>
      </c>
      <c r="Q7" s="1917" t="s">
        <v>2117</v>
      </c>
      <c r="R7" s="1917" t="s">
        <v>2118</v>
      </c>
      <c r="S7" s="1917" t="s">
        <v>2119</v>
      </c>
      <c r="T7" s="1917" t="s">
        <v>2120</v>
      </c>
      <c r="U7" s="1917" t="s">
        <v>2121</v>
      </c>
      <c r="V7" s="1917" t="s">
        <v>2122</v>
      </c>
      <c r="W7" s="1917" t="s">
        <v>2123</v>
      </c>
      <c r="X7" s="1918" t="s">
        <v>2124</v>
      </c>
      <c r="Y7" s="1916" t="s">
        <v>2125</v>
      </c>
      <c r="Z7" s="1917" t="s">
        <v>2126</v>
      </c>
      <c r="AA7" s="1917" t="s">
        <v>2127</v>
      </c>
      <c r="AB7" s="1917" t="s">
        <v>2128</v>
      </c>
      <c r="AC7" s="1917" t="s">
        <v>2129</v>
      </c>
      <c r="AD7" s="1917" t="s">
        <v>2130</v>
      </c>
      <c r="AE7" s="1917" t="s">
        <v>2131</v>
      </c>
      <c r="AF7" s="1917" t="s">
        <v>2132</v>
      </c>
      <c r="AG7" s="1917" t="s">
        <v>2133</v>
      </c>
      <c r="AH7" s="1917" t="s">
        <v>2134</v>
      </c>
      <c r="AI7" s="1917" t="s">
        <v>2135</v>
      </c>
      <c r="AJ7" s="1918" t="s">
        <v>2136</v>
      </c>
      <c r="AK7" s="1916" t="s">
        <v>2125</v>
      </c>
      <c r="AL7" s="1917" t="s">
        <v>2126</v>
      </c>
      <c r="AM7" s="1917" t="s">
        <v>2127</v>
      </c>
      <c r="AN7" s="1917" t="s">
        <v>2128</v>
      </c>
      <c r="AO7" s="1917" t="s">
        <v>2129</v>
      </c>
      <c r="AP7" s="1917" t="s">
        <v>2130</v>
      </c>
      <c r="AQ7" s="1917" t="s">
        <v>2131</v>
      </c>
      <c r="AR7" s="1917" t="s">
        <v>2132</v>
      </c>
      <c r="AS7" s="1917" t="s">
        <v>2133</v>
      </c>
      <c r="AT7" s="1917" t="s">
        <v>2134</v>
      </c>
      <c r="AU7" s="1917" t="s">
        <v>2135</v>
      </c>
      <c r="AV7" s="1917" t="s">
        <v>2136</v>
      </c>
      <c r="AW7" s="1918" t="s">
        <v>2137</v>
      </c>
      <c r="AX7" s="1916" t="s">
        <v>2138</v>
      </c>
      <c r="AY7" s="1917" t="s">
        <v>2139</v>
      </c>
      <c r="AZ7" s="1917" t="s">
        <v>2140</v>
      </c>
      <c r="BA7" s="1917" t="s">
        <v>2141</v>
      </c>
      <c r="BB7" s="1917" t="s">
        <v>2142</v>
      </c>
      <c r="BC7" s="1917" t="s">
        <v>2143</v>
      </c>
      <c r="BD7" s="1917" t="s">
        <v>2144</v>
      </c>
      <c r="BE7" s="1917" t="s">
        <v>2145</v>
      </c>
      <c r="BF7" s="1917" t="s">
        <v>2146</v>
      </c>
      <c r="BG7" s="1917" t="s">
        <v>2147</v>
      </c>
      <c r="BH7" s="1917" t="s">
        <v>2148</v>
      </c>
      <c r="BI7" s="1917" t="s">
        <v>2149</v>
      </c>
      <c r="BJ7" s="1918" t="s">
        <v>2150</v>
      </c>
      <c r="BK7" s="1916" t="s">
        <v>2151</v>
      </c>
      <c r="BL7" s="1918" t="s">
        <v>2152</v>
      </c>
      <c r="BM7" s="1916" t="s">
        <v>2153</v>
      </c>
      <c r="BN7" s="1919" t="s">
        <v>2154</v>
      </c>
      <c r="BO7" s="1916" t="s">
        <v>2155</v>
      </c>
      <c r="BP7" s="1917" t="s">
        <v>2156</v>
      </c>
      <c r="BQ7" s="1917" t="s">
        <v>2157</v>
      </c>
      <c r="BR7" s="1918" t="s">
        <v>2158</v>
      </c>
      <c r="BS7" s="1916" t="s">
        <v>2159</v>
      </c>
      <c r="BT7" s="1917" t="s">
        <v>2160</v>
      </c>
      <c r="BU7" s="1917" t="s">
        <v>2161</v>
      </c>
      <c r="BV7" s="1917" t="s">
        <v>2162</v>
      </c>
      <c r="BW7" s="1917" t="s">
        <v>2163</v>
      </c>
      <c r="BX7" s="1918" t="s">
        <v>2164</v>
      </c>
    </row>
    <row r="8" spans="1:76" s="344" customFormat="1" ht="12" x14ac:dyDescent="0.25">
      <c r="A8" s="1921"/>
      <c r="B8" s="1922"/>
      <c r="C8" s="1922"/>
      <c r="D8" s="1922"/>
      <c r="E8" s="1922"/>
      <c r="F8" s="1923"/>
      <c r="G8" s="1923"/>
      <c r="H8" s="1922"/>
      <c r="I8" s="1922"/>
      <c r="J8" s="1922"/>
      <c r="K8" s="1924"/>
      <c r="L8" s="1925"/>
      <c r="M8" s="1922"/>
      <c r="N8" s="1922"/>
      <c r="O8" s="1922"/>
      <c r="P8" s="1922"/>
      <c r="Q8" s="1922"/>
      <c r="R8" s="1922"/>
      <c r="S8" s="1922"/>
      <c r="T8" s="1922"/>
      <c r="U8" s="1922"/>
      <c r="V8" s="1922"/>
      <c r="W8" s="1922"/>
      <c r="X8" s="1924"/>
      <c r="Y8" s="1925"/>
      <c r="Z8" s="1922"/>
      <c r="AA8" s="1922"/>
      <c r="AB8" s="1922"/>
      <c r="AC8" s="1922"/>
      <c r="AD8" s="1922"/>
      <c r="AE8" s="1922"/>
      <c r="AF8" s="1922"/>
      <c r="AG8" s="1922"/>
      <c r="AH8" s="1922"/>
      <c r="AI8" s="1922"/>
      <c r="AJ8" s="1924"/>
      <c r="AK8" s="1925"/>
      <c r="AL8" s="1922"/>
      <c r="AM8" s="1922"/>
      <c r="AN8" s="1922"/>
      <c r="AO8" s="1922"/>
      <c r="AP8" s="1922"/>
      <c r="AQ8" s="1922"/>
      <c r="AR8" s="1922"/>
      <c r="AS8" s="1922"/>
      <c r="AT8" s="1922"/>
      <c r="AU8" s="1922"/>
      <c r="AV8" s="1922"/>
      <c r="AW8" s="1924"/>
      <c r="AX8" s="1925"/>
      <c r="AY8" s="1922"/>
      <c r="AZ8" s="1922"/>
      <c r="BA8" s="1922"/>
      <c r="BB8" s="1922"/>
      <c r="BC8" s="1922"/>
      <c r="BD8" s="1922"/>
      <c r="BE8" s="1922"/>
      <c r="BF8" s="1922"/>
      <c r="BG8" s="1922"/>
      <c r="BH8" s="1922"/>
      <c r="BI8" s="1922"/>
      <c r="BJ8" s="1924"/>
      <c r="BK8" s="1925"/>
      <c r="BL8" s="1924"/>
      <c r="BM8" s="1925"/>
      <c r="BN8" s="1924"/>
      <c r="BO8" s="1926"/>
      <c r="BP8" s="1927"/>
      <c r="BQ8" s="1927"/>
      <c r="BR8" s="1928"/>
      <c r="BS8" s="1926"/>
      <c r="BT8" s="1927"/>
      <c r="BU8" s="1927"/>
      <c r="BV8" s="1927"/>
      <c r="BW8" s="1927"/>
      <c r="BX8" s="1928"/>
    </row>
    <row r="9" spans="1:76" s="344" customFormat="1" ht="12" x14ac:dyDescent="0.25">
      <c r="A9" s="1929"/>
      <c r="B9" s="1927"/>
      <c r="C9" s="1927"/>
      <c r="D9" s="1927"/>
      <c r="E9" s="1927"/>
      <c r="F9" s="1930"/>
      <c r="G9" s="1930"/>
      <c r="H9" s="1927"/>
      <c r="I9" s="1927"/>
      <c r="J9" s="1927"/>
      <c r="K9" s="1928"/>
      <c r="L9" s="1926"/>
      <c r="M9" s="1927"/>
      <c r="N9" s="1927"/>
      <c r="O9" s="1927"/>
      <c r="P9" s="1927"/>
      <c r="Q9" s="1927"/>
      <c r="R9" s="1927"/>
      <c r="S9" s="1927"/>
      <c r="T9" s="1927"/>
      <c r="U9" s="1927"/>
      <c r="V9" s="1927"/>
      <c r="W9" s="1927"/>
      <c r="X9" s="1928"/>
      <c r="Y9" s="1926"/>
      <c r="Z9" s="1927"/>
      <c r="AA9" s="1927"/>
      <c r="AB9" s="1927"/>
      <c r="AC9" s="1927"/>
      <c r="AD9" s="1927"/>
      <c r="AE9" s="1927"/>
      <c r="AF9" s="1927"/>
      <c r="AG9" s="1927"/>
      <c r="AH9" s="1927"/>
      <c r="AI9" s="1927"/>
      <c r="AJ9" s="1928"/>
      <c r="AK9" s="1926"/>
      <c r="AL9" s="1927"/>
      <c r="AM9" s="1927"/>
      <c r="AN9" s="1927"/>
      <c r="AO9" s="1927"/>
      <c r="AP9" s="1927"/>
      <c r="AQ9" s="1927"/>
      <c r="AR9" s="1927"/>
      <c r="AS9" s="1927"/>
      <c r="AT9" s="1927"/>
      <c r="AU9" s="1927"/>
      <c r="AV9" s="1927"/>
      <c r="AW9" s="1928"/>
      <c r="AX9" s="1926"/>
      <c r="AY9" s="1927"/>
      <c r="AZ9" s="1927"/>
      <c r="BA9" s="1927"/>
      <c r="BB9" s="1927"/>
      <c r="BC9" s="1927"/>
      <c r="BD9" s="1927"/>
      <c r="BE9" s="1927"/>
      <c r="BF9" s="1927"/>
      <c r="BG9" s="1927"/>
      <c r="BH9" s="1927"/>
      <c r="BI9" s="1927"/>
      <c r="BJ9" s="1928"/>
      <c r="BK9" s="1926"/>
      <c r="BL9" s="1928"/>
      <c r="BM9" s="1926"/>
      <c r="BN9" s="1928"/>
      <c r="BO9" s="1926"/>
      <c r="BP9" s="1927"/>
      <c r="BQ9" s="1927"/>
      <c r="BR9" s="1928"/>
      <c r="BS9" s="1926"/>
      <c r="BT9" s="1927"/>
      <c r="BU9" s="1927"/>
      <c r="BV9" s="1927"/>
      <c r="BW9" s="1927"/>
      <c r="BX9" s="1928"/>
    </row>
    <row r="10" spans="1:76" s="344" customFormat="1" ht="12" x14ac:dyDescent="0.25">
      <c r="A10" s="1929"/>
      <c r="B10" s="1927"/>
      <c r="C10" s="1927"/>
      <c r="D10" s="1927"/>
      <c r="E10" s="1927"/>
      <c r="F10" s="1930"/>
      <c r="G10" s="1930"/>
      <c r="H10" s="1927"/>
      <c r="I10" s="1927"/>
      <c r="J10" s="1927"/>
      <c r="K10" s="1928"/>
      <c r="L10" s="1926"/>
      <c r="M10" s="1927"/>
      <c r="N10" s="1927"/>
      <c r="O10" s="1927"/>
      <c r="P10" s="1927"/>
      <c r="Q10" s="1927"/>
      <c r="R10" s="1927"/>
      <c r="S10" s="1927"/>
      <c r="T10" s="1927"/>
      <c r="U10" s="1927"/>
      <c r="V10" s="1927"/>
      <c r="W10" s="1927"/>
      <c r="X10" s="1928"/>
      <c r="Y10" s="1926"/>
      <c r="Z10" s="1927"/>
      <c r="AA10" s="1927"/>
      <c r="AB10" s="1927"/>
      <c r="AC10" s="1927"/>
      <c r="AD10" s="1927"/>
      <c r="AE10" s="1927"/>
      <c r="AF10" s="1927"/>
      <c r="AG10" s="1927"/>
      <c r="AH10" s="1927"/>
      <c r="AI10" s="1927"/>
      <c r="AJ10" s="1928"/>
      <c r="AK10" s="1926"/>
      <c r="AL10" s="1927"/>
      <c r="AM10" s="1927"/>
      <c r="AN10" s="1927"/>
      <c r="AO10" s="1927"/>
      <c r="AP10" s="1927"/>
      <c r="AQ10" s="1927"/>
      <c r="AR10" s="1927"/>
      <c r="AS10" s="1927"/>
      <c r="AT10" s="1927"/>
      <c r="AU10" s="1927"/>
      <c r="AV10" s="1927"/>
      <c r="AW10" s="1928"/>
      <c r="AX10" s="1926"/>
      <c r="AY10" s="1927"/>
      <c r="AZ10" s="1927"/>
      <c r="BA10" s="1927"/>
      <c r="BB10" s="1927"/>
      <c r="BC10" s="1927"/>
      <c r="BD10" s="1927"/>
      <c r="BE10" s="1927"/>
      <c r="BF10" s="1927"/>
      <c r="BG10" s="1927"/>
      <c r="BH10" s="1927"/>
      <c r="BI10" s="1927"/>
      <c r="BJ10" s="1928"/>
      <c r="BK10" s="1926"/>
      <c r="BL10" s="1928"/>
      <c r="BM10" s="1926"/>
      <c r="BN10" s="1928"/>
      <c r="BO10" s="1926"/>
      <c r="BP10" s="1927"/>
      <c r="BQ10" s="1927"/>
      <c r="BR10" s="1928"/>
      <c r="BS10" s="1926"/>
      <c r="BT10" s="1927"/>
      <c r="BU10" s="1927"/>
      <c r="BV10" s="1927"/>
      <c r="BW10" s="1927"/>
      <c r="BX10" s="1928"/>
    </row>
    <row r="11" spans="1:76" s="344" customFormat="1" ht="12" x14ac:dyDescent="0.25">
      <c r="A11" s="1929"/>
      <c r="B11" s="1927"/>
      <c r="C11" s="1927"/>
      <c r="D11" s="1927"/>
      <c r="E11" s="1927"/>
      <c r="F11" s="1930"/>
      <c r="G11" s="1930"/>
      <c r="H11" s="1927"/>
      <c r="I11" s="1927"/>
      <c r="J11" s="1927"/>
      <c r="K11" s="1928"/>
      <c r="L11" s="1926"/>
      <c r="M11" s="1927"/>
      <c r="N11" s="1927"/>
      <c r="O11" s="1927"/>
      <c r="P11" s="1927"/>
      <c r="Q11" s="1927"/>
      <c r="R11" s="1927"/>
      <c r="S11" s="1927"/>
      <c r="T11" s="1927"/>
      <c r="U11" s="1927"/>
      <c r="V11" s="1927"/>
      <c r="W11" s="1927"/>
      <c r="X11" s="1928"/>
      <c r="Y11" s="1926"/>
      <c r="Z11" s="1927"/>
      <c r="AA11" s="1927"/>
      <c r="AB11" s="1927"/>
      <c r="AC11" s="1927"/>
      <c r="AD11" s="1927"/>
      <c r="AE11" s="1927"/>
      <c r="AF11" s="1927"/>
      <c r="AG11" s="1927"/>
      <c r="AH11" s="1927"/>
      <c r="AI11" s="1927"/>
      <c r="AJ11" s="1928"/>
      <c r="AK11" s="1926"/>
      <c r="AL11" s="1927"/>
      <c r="AM11" s="1927"/>
      <c r="AN11" s="1927"/>
      <c r="AO11" s="1927"/>
      <c r="AP11" s="1927"/>
      <c r="AQ11" s="1927"/>
      <c r="AR11" s="1927"/>
      <c r="AS11" s="1927"/>
      <c r="AT11" s="1927"/>
      <c r="AU11" s="1927"/>
      <c r="AV11" s="1927"/>
      <c r="AW11" s="1928"/>
      <c r="AX11" s="1926"/>
      <c r="AY11" s="1927"/>
      <c r="AZ11" s="1927"/>
      <c r="BA11" s="1927"/>
      <c r="BB11" s="1927"/>
      <c r="BC11" s="1927"/>
      <c r="BD11" s="1927"/>
      <c r="BE11" s="1927"/>
      <c r="BF11" s="1927"/>
      <c r="BG11" s="1927"/>
      <c r="BH11" s="1927"/>
      <c r="BI11" s="1927"/>
      <c r="BJ11" s="1928"/>
      <c r="BK11" s="1926"/>
      <c r="BL11" s="1928"/>
      <c r="BM11" s="1926"/>
      <c r="BN11" s="1928"/>
      <c r="BO11" s="1926"/>
      <c r="BP11" s="1927"/>
      <c r="BQ11" s="1927"/>
      <c r="BR11" s="1928"/>
      <c r="BS11" s="1926"/>
      <c r="BT11" s="1927"/>
      <c r="BU11" s="1927"/>
      <c r="BV11" s="1927"/>
      <c r="BW11" s="1927"/>
      <c r="BX11" s="1928"/>
    </row>
    <row r="12" spans="1:76" s="1931" customFormat="1" ht="12" x14ac:dyDescent="0.25">
      <c r="A12" s="1958" t="s">
        <v>2179</v>
      </c>
      <c r="B12" s="1959"/>
      <c r="C12" s="1959"/>
      <c r="D12" s="1959"/>
      <c r="E12" s="1959"/>
      <c r="F12" s="1959"/>
      <c r="G12" s="1959"/>
      <c r="H12" s="1959"/>
      <c r="I12" s="1959"/>
      <c r="J12" s="1959"/>
      <c r="K12" s="1960" t="str">
        <f>IF(K8="","",AVERAGE(K8:K11))</f>
        <v/>
      </c>
      <c r="L12" s="1961" t="str">
        <f>IF(L8="","",AVERAGE(L8:L11))</f>
        <v/>
      </c>
      <c r="M12" s="1959" t="str">
        <f t="shared" ref="M12:BX12" si="0">IF(M8="","",AVERAGE(M8:M11))</f>
        <v/>
      </c>
      <c r="N12" s="1959" t="str">
        <f t="shared" si="0"/>
        <v/>
      </c>
      <c r="O12" s="1959" t="str">
        <f t="shared" si="0"/>
        <v/>
      </c>
      <c r="P12" s="1959" t="str">
        <f t="shared" si="0"/>
        <v/>
      </c>
      <c r="Q12" s="1959" t="str">
        <f t="shared" si="0"/>
        <v/>
      </c>
      <c r="R12" s="1959" t="str">
        <f t="shared" si="0"/>
        <v/>
      </c>
      <c r="S12" s="1959" t="str">
        <f t="shared" si="0"/>
        <v/>
      </c>
      <c r="T12" s="1959" t="str">
        <f t="shared" si="0"/>
        <v/>
      </c>
      <c r="U12" s="1959" t="str">
        <f t="shared" si="0"/>
        <v/>
      </c>
      <c r="V12" s="1959" t="str">
        <f t="shared" si="0"/>
        <v/>
      </c>
      <c r="W12" s="1959" t="str">
        <f t="shared" si="0"/>
        <v/>
      </c>
      <c r="X12" s="1960">
        <f>IF(X8="",0,AVERAGE(X8:X11))</f>
        <v>0</v>
      </c>
      <c r="Y12" s="1961" t="str">
        <f t="shared" si="0"/>
        <v/>
      </c>
      <c r="Z12" s="1959" t="str">
        <f t="shared" si="0"/>
        <v/>
      </c>
      <c r="AA12" s="1959" t="str">
        <f t="shared" si="0"/>
        <v/>
      </c>
      <c r="AB12" s="1959" t="str">
        <f t="shared" si="0"/>
        <v/>
      </c>
      <c r="AC12" s="1959" t="str">
        <f t="shared" si="0"/>
        <v/>
      </c>
      <c r="AD12" s="1959" t="str">
        <f t="shared" si="0"/>
        <v/>
      </c>
      <c r="AE12" s="1959" t="str">
        <f t="shared" si="0"/>
        <v/>
      </c>
      <c r="AF12" s="1959" t="str">
        <f t="shared" si="0"/>
        <v/>
      </c>
      <c r="AG12" s="1959" t="str">
        <f t="shared" si="0"/>
        <v/>
      </c>
      <c r="AH12" s="1959" t="str">
        <f t="shared" si="0"/>
        <v/>
      </c>
      <c r="AI12" s="1959" t="str">
        <f t="shared" si="0"/>
        <v/>
      </c>
      <c r="AJ12" s="1960" t="str">
        <f t="shared" si="0"/>
        <v/>
      </c>
      <c r="AK12" s="1961" t="str">
        <f t="shared" si="0"/>
        <v/>
      </c>
      <c r="AL12" s="1959" t="str">
        <f t="shared" si="0"/>
        <v/>
      </c>
      <c r="AM12" s="1959" t="str">
        <f t="shared" si="0"/>
        <v/>
      </c>
      <c r="AN12" s="1959" t="str">
        <f t="shared" si="0"/>
        <v/>
      </c>
      <c r="AO12" s="1959" t="str">
        <f t="shared" si="0"/>
        <v/>
      </c>
      <c r="AP12" s="1959" t="str">
        <f t="shared" si="0"/>
        <v/>
      </c>
      <c r="AQ12" s="1959" t="str">
        <f t="shared" si="0"/>
        <v/>
      </c>
      <c r="AR12" s="1959" t="str">
        <f t="shared" si="0"/>
        <v/>
      </c>
      <c r="AS12" s="1959" t="str">
        <f t="shared" si="0"/>
        <v/>
      </c>
      <c r="AT12" s="1959" t="str">
        <f t="shared" si="0"/>
        <v/>
      </c>
      <c r="AU12" s="1959" t="str">
        <f t="shared" si="0"/>
        <v/>
      </c>
      <c r="AV12" s="1959" t="str">
        <f t="shared" si="0"/>
        <v/>
      </c>
      <c r="AW12" s="1960" t="str">
        <f t="shared" si="0"/>
        <v/>
      </c>
      <c r="AX12" s="1961" t="str">
        <f t="shared" si="0"/>
        <v/>
      </c>
      <c r="AY12" s="1959" t="str">
        <f t="shared" si="0"/>
        <v/>
      </c>
      <c r="AZ12" s="1959" t="str">
        <f t="shared" si="0"/>
        <v/>
      </c>
      <c r="BA12" s="1959" t="str">
        <f t="shared" si="0"/>
        <v/>
      </c>
      <c r="BB12" s="1959" t="str">
        <f>IF(BB8="","",AVERAGE(BB8:BB11))</f>
        <v/>
      </c>
      <c r="BC12" s="1959" t="str">
        <f t="shared" si="0"/>
        <v/>
      </c>
      <c r="BD12" s="1959" t="str">
        <f t="shared" si="0"/>
        <v/>
      </c>
      <c r="BE12" s="1959" t="str">
        <f t="shared" si="0"/>
        <v/>
      </c>
      <c r="BF12" s="1959" t="str">
        <f t="shared" si="0"/>
        <v/>
      </c>
      <c r="BG12" s="1959" t="str">
        <f t="shared" si="0"/>
        <v/>
      </c>
      <c r="BH12" s="1959" t="str">
        <f t="shared" si="0"/>
        <v/>
      </c>
      <c r="BI12" s="1959" t="str">
        <f t="shared" si="0"/>
        <v/>
      </c>
      <c r="BJ12" s="1960">
        <f>IF(BJ8="",0,AVERAGE(BJ8:BJ11))</f>
        <v>0</v>
      </c>
      <c r="BK12" s="1961" t="str">
        <f t="shared" si="0"/>
        <v/>
      </c>
      <c r="BL12" s="1960" t="str">
        <f t="shared" si="0"/>
        <v/>
      </c>
      <c r="BM12" s="1961" t="str">
        <f t="shared" si="0"/>
        <v/>
      </c>
      <c r="BN12" s="1960" t="str">
        <f t="shared" si="0"/>
        <v/>
      </c>
      <c r="BO12" s="1961" t="str">
        <f t="shared" si="0"/>
        <v/>
      </c>
      <c r="BP12" s="1959" t="str">
        <f t="shared" si="0"/>
        <v/>
      </c>
      <c r="BQ12" s="1959" t="str">
        <f t="shared" si="0"/>
        <v/>
      </c>
      <c r="BR12" s="1960" t="str">
        <f t="shared" si="0"/>
        <v/>
      </c>
      <c r="BS12" s="1961" t="str">
        <f t="shared" si="0"/>
        <v/>
      </c>
      <c r="BT12" s="1959" t="str">
        <f t="shared" si="0"/>
        <v/>
      </c>
      <c r="BU12" s="1959" t="str">
        <f t="shared" si="0"/>
        <v/>
      </c>
      <c r="BV12" s="1959" t="str">
        <f t="shared" si="0"/>
        <v/>
      </c>
      <c r="BW12" s="1959" t="str">
        <f t="shared" si="0"/>
        <v/>
      </c>
      <c r="BX12" s="1960" t="str">
        <f t="shared" si="0"/>
        <v/>
      </c>
    </row>
    <row r="13" spans="1:76" s="344" customFormat="1" ht="12.6" thickBot="1" x14ac:dyDescent="0.3">
      <c r="A13" s="1932"/>
      <c r="B13" s="1933"/>
      <c r="C13" s="1933"/>
      <c r="D13" s="1933"/>
      <c r="E13" s="1933"/>
      <c r="F13" s="1934"/>
      <c r="G13" s="1934"/>
      <c r="H13" s="1933"/>
      <c r="I13" s="1933"/>
      <c r="J13" s="1933"/>
      <c r="K13" s="1935"/>
      <c r="L13" s="1936"/>
      <c r="M13" s="1933"/>
      <c r="N13" s="1933"/>
      <c r="O13" s="1933"/>
      <c r="P13" s="1933"/>
      <c r="Q13" s="1933"/>
      <c r="R13" s="1933"/>
      <c r="S13" s="1933"/>
      <c r="T13" s="1933"/>
      <c r="U13" s="1933"/>
      <c r="V13" s="1933"/>
      <c r="W13" s="1933"/>
      <c r="X13" s="1935"/>
      <c r="Y13" s="1936"/>
      <c r="Z13" s="1933"/>
      <c r="AA13" s="1933"/>
      <c r="AB13" s="1933"/>
      <c r="AC13" s="1933"/>
      <c r="AD13" s="1933"/>
      <c r="AE13" s="1933"/>
      <c r="AF13" s="1933"/>
      <c r="AG13" s="1933"/>
      <c r="AH13" s="1933"/>
      <c r="AI13" s="1933"/>
      <c r="AJ13" s="1935"/>
      <c r="AK13" s="1936"/>
      <c r="AL13" s="1933"/>
      <c r="AM13" s="1933"/>
      <c r="AN13" s="1933"/>
      <c r="AO13" s="1933"/>
      <c r="AP13" s="1933"/>
      <c r="AQ13" s="1933"/>
      <c r="AR13" s="1933"/>
      <c r="AS13" s="1933"/>
      <c r="AT13" s="1933"/>
      <c r="AU13" s="1933"/>
      <c r="AV13" s="1933"/>
      <c r="AW13" s="1935"/>
      <c r="AX13" s="1936"/>
      <c r="AY13" s="1933"/>
      <c r="AZ13" s="1933"/>
      <c r="BA13" s="1933"/>
      <c r="BB13" s="1933"/>
      <c r="BC13" s="1933"/>
      <c r="BD13" s="1933"/>
      <c r="BE13" s="1933"/>
      <c r="BF13" s="1933"/>
      <c r="BG13" s="1933"/>
      <c r="BH13" s="1933"/>
      <c r="BI13" s="1933"/>
      <c r="BJ13" s="1935"/>
      <c r="BK13" s="1936"/>
      <c r="BL13" s="1935"/>
      <c r="BM13" s="1936"/>
      <c r="BN13" s="1935"/>
      <c r="BO13" s="1936"/>
      <c r="BP13" s="1933"/>
      <c r="BQ13" s="1933"/>
      <c r="BR13" s="1935"/>
      <c r="BS13" s="1936"/>
      <c r="BT13" s="1933"/>
      <c r="BU13" s="1933"/>
      <c r="BV13" s="1933"/>
      <c r="BW13" s="1933"/>
      <c r="BX13" s="1935"/>
    </row>
    <row r="15" spans="1:76" ht="48" customHeight="1" x14ac:dyDescent="0.25">
      <c r="A15" s="2677" t="s">
        <v>2230</v>
      </c>
      <c r="B15" s="2677"/>
      <c r="C15" s="2677"/>
      <c r="D15" s="2677"/>
      <c r="E15" s="2677"/>
      <c r="F15" s="2677"/>
      <c r="G15" s="2677"/>
      <c r="H15" s="2677"/>
      <c r="I15" s="2677"/>
      <c r="J15" s="2677"/>
    </row>
  </sheetData>
  <sheetProtection algorithmName="SHA-512" hashValue="SfK5T38v5/910rf2h4G5nz41nwvcZkSorTk7ckcXuzVfbeau1DHvd3RYbf2bW3I2MI4aLmZmO+430jzRJ86IlA==" saltValue="sjYgHj961hJnuAEegQE08w==" spinCount="100000" sheet="1" objects="1" scenarios="1"/>
  <mergeCells count="10">
    <mergeCell ref="A15:J15"/>
    <mergeCell ref="BM6:BN6"/>
    <mergeCell ref="BO6:BR6"/>
    <mergeCell ref="BS6:BX6"/>
    <mergeCell ref="A4:K4"/>
    <mergeCell ref="L6:X6"/>
    <mergeCell ref="Y6:AJ6"/>
    <mergeCell ref="AK6:AW6"/>
    <mergeCell ref="AX6:BJ6"/>
    <mergeCell ref="BK6:BL6"/>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7">
    <tabColor theme="0" tint="-0.249977111117893"/>
  </sheetPr>
  <dimension ref="A1:AB55"/>
  <sheetViews>
    <sheetView showGridLines="0" workbookViewId="0"/>
  </sheetViews>
  <sheetFormatPr defaultColWidth="9.109375" defaultRowHeight="13.2" x14ac:dyDescent="0.25"/>
  <cols>
    <col min="1" max="2" width="24.6640625" style="1911" customWidth="1"/>
    <col min="3" max="3" width="14.88671875" style="1911" bestFit="1" customWidth="1"/>
    <col min="4" max="7" width="14.88671875" style="1911" customWidth="1"/>
    <col min="8" max="8" width="14.88671875" style="1911" bestFit="1" customWidth="1"/>
    <col min="9" max="9" width="8.6640625" style="1911" bestFit="1" customWidth="1"/>
    <col min="10" max="10" width="10" style="1911" bestFit="1" customWidth="1"/>
    <col min="11" max="11" width="12" style="1911" bestFit="1" customWidth="1"/>
    <col min="12" max="12" width="32.88671875" style="1911" hidden="1" customWidth="1"/>
    <col min="13" max="13" width="17.33203125" style="1911" bestFit="1" customWidth="1"/>
    <col min="14" max="14" width="14.6640625" style="1911" bestFit="1" customWidth="1"/>
    <col min="15" max="15" width="10.6640625" style="1911" bestFit="1" customWidth="1"/>
    <col min="16" max="16" width="11.109375" style="1911" bestFit="1" customWidth="1"/>
    <col min="17" max="17" width="8.109375" style="1911" bestFit="1" customWidth="1"/>
    <col min="18" max="18" width="8.33203125" style="1911" bestFit="1" customWidth="1"/>
    <col min="19" max="19" width="10.44140625" style="1911" bestFit="1" customWidth="1"/>
    <col min="20" max="20" width="10.33203125" style="1911" bestFit="1" customWidth="1"/>
    <col min="21" max="21" width="8.6640625" style="1911" bestFit="1" customWidth="1"/>
    <col min="22" max="22" width="10" style="1911" bestFit="1" customWidth="1"/>
    <col min="23" max="23" width="12" style="1911" bestFit="1" customWidth="1"/>
    <col min="24" max="24" width="10.33203125" style="1911" bestFit="1" customWidth="1"/>
    <col min="25" max="25" width="17.33203125" style="1911" bestFit="1" customWidth="1"/>
    <col min="26" max="26" width="14.6640625" style="1911" bestFit="1" customWidth="1"/>
    <col min="27" max="27" width="10.6640625" style="1911" bestFit="1" customWidth="1"/>
    <col min="28" max="28" width="7.5546875" style="1911" bestFit="1" customWidth="1"/>
    <col min="29" max="29" width="11.109375" style="1911" bestFit="1" customWidth="1"/>
    <col min="30" max="30" width="8.109375" style="1911" bestFit="1" customWidth="1"/>
    <col min="31" max="31" width="8.33203125" style="1911" bestFit="1" customWidth="1"/>
    <col min="32" max="32" width="10.44140625" style="1911" bestFit="1" customWidth="1"/>
    <col min="33" max="33" width="10.33203125" style="1911" bestFit="1" customWidth="1"/>
    <col min="34" max="34" width="8.6640625" style="1911" bestFit="1" customWidth="1"/>
    <col min="35" max="35" width="10" style="1911" bestFit="1" customWidth="1"/>
    <col min="36" max="36" width="12" style="1911" bestFit="1" customWidth="1"/>
    <col min="37" max="37" width="10.33203125" style="1911" bestFit="1" customWidth="1"/>
    <col min="38" max="38" width="17.33203125" style="1911" bestFit="1" customWidth="1"/>
    <col min="39" max="39" width="14.6640625" style="1911" bestFit="1" customWidth="1"/>
    <col min="40" max="40" width="10.6640625" style="1911" bestFit="1" customWidth="1"/>
    <col min="41" max="41" width="6" style="1911" bestFit="1" customWidth="1"/>
    <col min="42" max="42" width="8.6640625" style="1911" bestFit="1" customWidth="1"/>
    <col min="43" max="43" width="7.6640625" style="1911" bestFit="1" customWidth="1"/>
    <col min="44" max="44" width="8.6640625" style="1911" bestFit="1" customWidth="1"/>
    <col min="45" max="45" width="11.109375" style="1911" bestFit="1" customWidth="1"/>
    <col min="46" max="46" width="9.5546875" style="1911" bestFit="1" customWidth="1"/>
    <col min="47" max="47" width="7.5546875" style="1911" bestFit="1" customWidth="1"/>
    <col min="48" max="48" width="9.33203125" style="1911" bestFit="1" customWidth="1"/>
    <col min="49" max="49" width="8.44140625" style="1911" bestFit="1" customWidth="1"/>
    <col min="50" max="50" width="17" style="1911" bestFit="1" customWidth="1"/>
    <col min="51" max="51" width="12.33203125" style="1911" bestFit="1" customWidth="1"/>
    <col min="52" max="52" width="9.88671875" style="1911" bestFit="1" customWidth="1"/>
    <col min="53" max="53" width="17" style="1911" bestFit="1" customWidth="1"/>
    <col min="54" max="54" width="14.33203125" style="1911" bestFit="1" customWidth="1"/>
    <col min="55" max="55" width="14.44140625" style="1911" bestFit="1" customWidth="1"/>
    <col min="56" max="56" width="9.109375" style="1911" customWidth="1"/>
    <col min="57" max="16384" width="9.109375" style="1911"/>
  </cols>
  <sheetData>
    <row r="1" spans="1:28" s="759" customFormat="1" ht="14.4" x14ac:dyDescent="0.3">
      <c r="A1" s="717"/>
      <c r="B1" s="777"/>
      <c r="C1" s="777"/>
      <c r="D1" s="777"/>
      <c r="E1" s="777"/>
      <c r="F1" s="778"/>
      <c r="G1" s="778"/>
      <c r="H1" s="777"/>
      <c r="I1" s="777"/>
      <c r="J1" s="777"/>
      <c r="K1" s="777"/>
      <c r="L1" s="777"/>
      <c r="M1" s="777"/>
      <c r="N1" s="777"/>
      <c r="O1" s="777"/>
      <c r="P1" s="777"/>
      <c r="Q1" s="777"/>
      <c r="R1" s="778"/>
      <c r="S1" s="777"/>
      <c r="T1" s="777"/>
      <c r="U1" s="777"/>
      <c r="V1" s="777"/>
      <c r="W1" s="777"/>
      <c r="X1" s="777"/>
      <c r="Y1" s="777"/>
      <c r="Z1" s="777"/>
      <c r="AA1" s="777"/>
      <c r="AB1" s="1394"/>
    </row>
    <row r="2" spans="1:28" s="759" customFormat="1" ht="25.2" x14ac:dyDescent="0.3">
      <c r="A2" s="1910" t="s">
        <v>2165</v>
      </c>
      <c r="B2" s="40"/>
      <c r="C2" s="40"/>
      <c r="D2" s="40"/>
      <c r="E2" s="40"/>
      <c r="F2" s="40"/>
      <c r="G2" s="40"/>
      <c r="H2" s="40"/>
      <c r="I2" s="40"/>
      <c r="J2" s="40"/>
      <c r="K2" s="40"/>
      <c r="L2" s="40"/>
      <c r="M2" s="40"/>
      <c r="N2" s="40"/>
      <c r="O2" s="40"/>
      <c r="P2" s="40"/>
      <c r="Q2" s="40"/>
      <c r="R2" s="40"/>
      <c r="S2" s="40"/>
      <c r="T2" s="40"/>
      <c r="U2" s="40"/>
      <c r="V2" s="40"/>
      <c r="W2" s="40"/>
      <c r="X2" s="40"/>
      <c r="Y2" s="40"/>
      <c r="Z2" s="40"/>
      <c r="AA2" s="40"/>
      <c r="AB2" s="1394"/>
    </row>
    <row r="3" spans="1:28" s="759" customFormat="1" ht="14.4" x14ac:dyDescent="0.3">
      <c r="A3" s="717"/>
      <c r="B3" s="777"/>
      <c r="C3" s="777"/>
      <c r="D3" s="777"/>
      <c r="E3" s="777"/>
      <c r="F3" s="778"/>
      <c r="G3" s="778"/>
      <c r="H3" s="777"/>
      <c r="I3" s="777"/>
      <c r="J3" s="777"/>
      <c r="K3" s="777"/>
      <c r="L3" s="777"/>
      <c r="M3" s="777"/>
      <c r="N3" s="777"/>
      <c r="O3" s="777"/>
      <c r="P3" s="777"/>
      <c r="Q3" s="777"/>
      <c r="R3" s="778"/>
      <c r="S3" s="777"/>
      <c r="T3" s="777"/>
      <c r="U3" s="777"/>
      <c r="V3" s="777"/>
      <c r="W3" s="777"/>
      <c r="X3" s="777"/>
      <c r="Y3" s="777"/>
      <c r="Z3" s="777"/>
      <c r="AA3" s="777"/>
      <c r="AB3" s="1394"/>
    </row>
    <row r="4" spans="1:28" ht="96.6" customHeight="1" x14ac:dyDescent="0.25">
      <c r="A4" s="2682" t="s">
        <v>2166</v>
      </c>
      <c r="B4" s="2682"/>
      <c r="C4" s="2682"/>
      <c r="D4" s="2682"/>
      <c r="E4" s="2682"/>
      <c r="F4" s="2682"/>
      <c r="G4" s="2682"/>
      <c r="H4" s="2682"/>
    </row>
    <row r="5" spans="1:28" ht="13.8" thickBot="1" x14ac:dyDescent="0.3"/>
    <row r="6" spans="1:28" s="1915" customFormat="1" ht="36.6" thickBot="1" x14ac:dyDescent="0.3">
      <c r="A6" s="1937" t="s">
        <v>2167</v>
      </c>
      <c r="B6" s="1938" t="s">
        <v>2168</v>
      </c>
      <c r="C6" s="1938" t="s">
        <v>2180</v>
      </c>
      <c r="D6" s="1938" t="s">
        <v>2181</v>
      </c>
      <c r="E6" s="1938" t="s">
        <v>2182</v>
      </c>
      <c r="F6" s="1938" t="s">
        <v>2183</v>
      </c>
      <c r="G6" s="1938" t="s">
        <v>2184</v>
      </c>
      <c r="H6" s="1939" t="s">
        <v>2185</v>
      </c>
      <c r="L6" s="1915" t="s">
        <v>2169</v>
      </c>
    </row>
    <row r="7" spans="1:28" x14ac:dyDescent="0.25">
      <c r="A7" s="1940" t="s">
        <v>2170</v>
      </c>
      <c r="B7" s="1941" t="s">
        <v>464</v>
      </c>
      <c r="C7" s="1941"/>
      <c r="D7" s="1941"/>
      <c r="E7" s="1941"/>
      <c r="F7" s="1941"/>
      <c r="G7" s="1942" t="str">
        <f>IF(C7="","",AVERAGE(C7:F7))</f>
        <v/>
      </c>
      <c r="H7" s="1943"/>
      <c r="L7" s="1911" t="str">
        <f>A7&amp;B7</f>
        <v>Lighting - ConditionedElectricity</v>
      </c>
    </row>
    <row r="8" spans="1:28" x14ac:dyDescent="0.25">
      <c r="A8" s="1944" t="s">
        <v>2171</v>
      </c>
      <c r="B8" s="1945" t="s">
        <v>464</v>
      </c>
      <c r="C8" s="1945"/>
      <c r="D8" s="1945"/>
      <c r="E8" s="1945"/>
      <c r="F8" s="1945"/>
      <c r="G8" s="1946" t="str">
        <f t="shared" ref="G8:G55" si="0">IF(C8="","",AVERAGE(C8:F8))</f>
        <v/>
      </c>
      <c r="H8" s="1947"/>
      <c r="L8" s="1911" t="str">
        <f t="shared" ref="L8:L21" si="1">A8&amp;B8</f>
        <v>Space HeatingElectricity</v>
      </c>
    </row>
    <row r="9" spans="1:28" x14ac:dyDescent="0.25">
      <c r="A9" s="1944" t="s">
        <v>2171</v>
      </c>
      <c r="B9" s="1945" t="s">
        <v>2172</v>
      </c>
      <c r="C9" s="1945"/>
      <c r="D9" s="1945"/>
      <c r="E9" s="1945"/>
      <c r="F9" s="1945"/>
      <c r="G9" s="1946" t="str">
        <f t="shared" si="0"/>
        <v/>
      </c>
      <c r="H9" s="1947"/>
      <c r="L9" s="1911" t="str">
        <f t="shared" si="1"/>
        <v>Space HeatingGas</v>
      </c>
    </row>
    <row r="10" spans="1:28" x14ac:dyDescent="0.25">
      <c r="A10" s="1944" t="s">
        <v>2173</v>
      </c>
      <c r="B10" s="1945" t="s">
        <v>464</v>
      </c>
      <c r="C10" s="1945"/>
      <c r="D10" s="1945"/>
      <c r="E10" s="1945"/>
      <c r="F10" s="1945"/>
      <c r="G10" s="1946" t="str">
        <f t="shared" si="0"/>
        <v/>
      </c>
      <c r="H10" s="1947"/>
      <c r="L10" s="1911" t="str">
        <f t="shared" si="1"/>
        <v>Space CoolingElectricity</v>
      </c>
    </row>
    <row r="11" spans="1:28" x14ac:dyDescent="0.25">
      <c r="A11" s="1944" t="s">
        <v>477</v>
      </c>
      <c r="B11" s="1945" t="s">
        <v>464</v>
      </c>
      <c r="C11" s="1945"/>
      <c r="D11" s="1945"/>
      <c r="E11" s="1945"/>
      <c r="F11" s="1945"/>
      <c r="G11" s="1946" t="str">
        <f t="shared" si="0"/>
        <v/>
      </c>
      <c r="H11" s="1947"/>
      <c r="L11" s="1911" t="str">
        <f t="shared" si="1"/>
        <v>PumpsElectricity</v>
      </c>
    </row>
    <row r="12" spans="1:28" x14ac:dyDescent="0.25">
      <c r="A12" s="1944" t="s">
        <v>2174</v>
      </c>
      <c r="B12" s="1945" t="s">
        <v>464</v>
      </c>
      <c r="C12" s="1945"/>
      <c r="D12" s="1945"/>
      <c r="E12" s="1945"/>
      <c r="F12" s="1945"/>
      <c r="G12" s="1946" t="str">
        <f t="shared" si="0"/>
        <v/>
      </c>
      <c r="H12" s="1947"/>
      <c r="L12" s="1911" t="str">
        <f t="shared" si="1"/>
        <v>Heat RejectionElectricity</v>
      </c>
    </row>
    <row r="13" spans="1:28" x14ac:dyDescent="0.25">
      <c r="A13" s="1944" t="s">
        <v>2175</v>
      </c>
      <c r="B13" s="1945" t="s">
        <v>464</v>
      </c>
      <c r="C13" s="1945"/>
      <c r="D13" s="1945"/>
      <c r="E13" s="1945"/>
      <c r="F13" s="1945"/>
      <c r="G13" s="1946" t="str">
        <f t="shared" si="0"/>
        <v/>
      </c>
      <c r="H13" s="1947"/>
      <c r="L13" s="1911" t="str">
        <f t="shared" si="1"/>
        <v>Fans - ConditionedElectricity</v>
      </c>
    </row>
    <row r="14" spans="1:28" x14ac:dyDescent="0.25">
      <c r="A14" s="1944" t="s">
        <v>2176</v>
      </c>
      <c r="B14" s="1945" t="s">
        <v>464</v>
      </c>
      <c r="C14" s="1945"/>
      <c r="D14" s="1945"/>
      <c r="E14" s="1945"/>
      <c r="F14" s="1945"/>
      <c r="G14" s="1946" t="str">
        <f t="shared" si="0"/>
        <v/>
      </c>
      <c r="H14" s="1947"/>
      <c r="L14" s="1911" t="str">
        <f t="shared" si="1"/>
        <v>Receptacles - ConditionedElectricity</v>
      </c>
    </row>
    <row r="15" spans="1:28" x14ac:dyDescent="0.25">
      <c r="A15" s="1944" t="s">
        <v>2177</v>
      </c>
      <c r="B15" s="1945" t="s">
        <v>464</v>
      </c>
      <c r="C15" s="1945"/>
      <c r="D15" s="1945"/>
      <c r="E15" s="1945"/>
      <c r="F15" s="1945"/>
      <c r="G15" s="1946" t="str">
        <f t="shared" si="0"/>
        <v/>
      </c>
      <c r="H15" s="1947"/>
      <c r="L15" s="1911" t="str">
        <f t="shared" si="1"/>
        <v>Stand-alone Base UtilitiesElectricity</v>
      </c>
    </row>
    <row r="16" spans="1:28" x14ac:dyDescent="0.25">
      <c r="A16" s="1944" t="s">
        <v>2177</v>
      </c>
      <c r="B16" s="1945" t="s">
        <v>2172</v>
      </c>
      <c r="C16" s="1945"/>
      <c r="D16" s="1945"/>
      <c r="E16" s="1945"/>
      <c r="F16" s="1945"/>
      <c r="G16" s="1946" t="str">
        <f t="shared" si="0"/>
        <v/>
      </c>
      <c r="H16" s="1947"/>
      <c r="L16" s="1911" t="str">
        <f t="shared" si="1"/>
        <v>Stand-alone Base UtilitiesGas</v>
      </c>
    </row>
    <row r="17" spans="1:12" x14ac:dyDescent="0.25">
      <c r="A17" s="1944" t="s">
        <v>2178</v>
      </c>
      <c r="B17" s="1948"/>
      <c r="C17" s="1945"/>
      <c r="D17" s="1945"/>
      <c r="E17" s="1945"/>
      <c r="F17" s="1945"/>
      <c r="G17" s="1946" t="str">
        <f t="shared" si="0"/>
        <v/>
      </c>
      <c r="H17" s="1947"/>
      <c r="L17" s="1911" t="str">
        <f t="shared" si="1"/>
        <v>Total Building Consumption</v>
      </c>
    </row>
    <row r="18" spans="1:12" x14ac:dyDescent="0.25">
      <c r="A18" s="1949"/>
      <c r="B18" s="1948"/>
      <c r="C18" s="1948"/>
      <c r="D18" s="1948"/>
      <c r="E18" s="1948"/>
      <c r="F18" s="1948"/>
      <c r="G18" s="1946" t="str">
        <f t="shared" si="0"/>
        <v/>
      </c>
      <c r="H18" s="1950"/>
      <c r="L18" s="1911" t="str">
        <f t="shared" si="1"/>
        <v/>
      </c>
    </row>
    <row r="19" spans="1:12" x14ac:dyDescent="0.25">
      <c r="A19" s="1949"/>
      <c r="B19" s="1948"/>
      <c r="C19" s="1948"/>
      <c r="D19" s="1948"/>
      <c r="E19" s="1948"/>
      <c r="F19" s="1948"/>
      <c r="G19" s="1946" t="str">
        <f t="shared" si="0"/>
        <v/>
      </c>
      <c r="H19" s="1950"/>
      <c r="L19" s="1911" t="str">
        <f t="shared" si="1"/>
        <v/>
      </c>
    </row>
    <row r="20" spans="1:12" x14ac:dyDescent="0.25">
      <c r="A20" s="1949"/>
      <c r="B20" s="1948"/>
      <c r="C20" s="1948"/>
      <c r="D20" s="1948"/>
      <c r="E20" s="1948"/>
      <c r="F20" s="1948"/>
      <c r="G20" s="1946" t="str">
        <f t="shared" si="0"/>
        <v/>
      </c>
      <c r="H20" s="1950"/>
      <c r="L20" s="1911" t="str">
        <f t="shared" si="1"/>
        <v/>
      </c>
    </row>
    <row r="21" spans="1:12" ht="13.8" thickBot="1" x14ac:dyDescent="0.3">
      <c r="A21" s="1951"/>
      <c r="B21" s="1952"/>
      <c r="C21" s="1952"/>
      <c r="D21" s="1952"/>
      <c r="E21" s="1952"/>
      <c r="F21" s="1952"/>
      <c r="G21" s="1953" t="str">
        <f t="shared" si="0"/>
        <v/>
      </c>
      <c r="H21" s="1954"/>
      <c r="L21" s="1911" t="str">
        <f t="shared" si="1"/>
        <v/>
      </c>
    </row>
    <row r="22" spans="1:12" x14ac:dyDescent="0.25">
      <c r="A22" s="1955"/>
      <c r="B22" s="1955"/>
      <c r="C22" s="1955"/>
      <c r="D22" s="1955"/>
      <c r="E22" s="1955"/>
      <c r="F22" s="1955"/>
      <c r="G22" s="1955" t="str">
        <f t="shared" si="0"/>
        <v/>
      </c>
      <c r="H22" s="1955"/>
    </row>
    <row r="23" spans="1:12" ht="46.2" customHeight="1" x14ac:dyDescent="0.25">
      <c r="A23" s="2683" t="s">
        <v>2229</v>
      </c>
      <c r="B23" s="2683"/>
      <c r="C23" s="2683"/>
      <c r="D23" s="2683"/>
      <c r="E23" s="2683"/>
      <c r="F23" s="2683"/>
      <c r="G23" s="2683"/>
      <c r="H23" s="2683"/>
    </row>
    <row r="24" spans="1:12" x14ac:dyDescent="0.25">
      <c r="A24" s="1955"/>
      <c r="B24" s="1955"/>
      <c r="C24" s="1955"/>
      <c r="D24" s="1955"/>
      <c r="E24" s="1955"/>
      <c r="F24" s="1955"/>
      <c r="G24" s="1955" t="str">
        <f t="shared" si="0"/>
        <v/>
      </c>
      <c r="H24" s="1955"/>
    </row>
    <row r="25" spans="1:12" x14ac:dyDescent="0.25">
      <c r="A25" s="1955"/>
      <c r="B25" s="1955"/>
      <c r="C25" s="1955"/>
      <c r="D25" s="1955"/>
      <c r="E25" s="1955"/>
      <c r="F25" s="1955"/>
      <c r="G25" s="1955" t="str">
        <f t="shared" si="0"/>
        <v/>
      </c>
      <c r="H25" s="1955"/>
    </row>
    <row r="26" spans="1:12" x14ac:dyDescent="0.25">
      <c r="A26" s="1955"/>
      <c r="B26" s="1955"/>
      <c r="C26" s="1955"/>
      <c r="D26" s="1955"/>
      <c r="E26" s="1955"/>
      <c r="F26" s="1955"/>
      <c r="G26" s="1955" t="str">
        <f t="shared" si="0"/>
        <v/>
      </c>
      <c r="H26" s="1955"/>
    </row>
    <row r="27" spans="1:12" x14ac:dyDescent="0.25">
      <c r="A27" s="1955"/>
      <c r="B27" s="1955"/>
      <c r="C27" s="1955"/>
      <c r="D27" s="1955"/>
      <c r="E27" s="1955"/>
      <c r="F27" s="1955"/>
      <c r="G27" s="1955" t="str">
        <f t="shared" si="0"/>
        <v/>
      </c>
      <c r="H27" s="1955"/>
    </row>
    <row r="28" spans="1:12" x14ac:dyDescent="0.25">
      <c r="A28" s="1955"/>
      <c r="B28" s="1955"/>
      <c r="C28" s="1955"/>
      <c r="D28" s="1955"/>
      <c r="E28" s="1955"/>
      <c r="F28" s="1955"/>
      <c r="G28" s="1955" t="str">
        <f t="shared" si="0"/>
        <v/>
      </c>
      <c r="H28" s="1955"/>
    </row>
    <row r="29" spans="1:12" x14ac:dyDescent="0.25">
      <c r="A29" s="1955"/>
      <c r="B29" s="1955"/>
      <c r="C29" s="1955"/>
      <c r="D29" s="1955"/>
      <c r="E29" s="1955"/>
      <c r="F29" s="1955"/>
      <c r="G29" s="1955" t="str">
        <f t="shared" si="0"/>
        <v/>
      </c>
      <c r="H29" s="1955"/>
    </row>
    <row r="30" spans="1:12" x14ac:dyDescent="0.25">
      <c r="A30" s="1955"/>
      <c r="B30" s="1955"/>
      <c r="C30" s="1955"/>
      <c r="D30" s="1955"/>
      <c r="E30" s="1955"/>
      <c r="F30" s="1955"/>
      <c r="G30" s="1955" t="str">
        <f t="shared" si="0"/>
        <v/>
      </c>
      <c r="H30" s="1955"/>
    </row>
    <row r="31" spans="1:12" x14ac:dyDescent="0.25">
      <c r="G31" s="1955" t="str">
        <f t="shared" si="0"/>
        <v/>
      </c>
    </row>
    <row r="32" spans="1:12" x14ac:dyDescent="0.25">
      <c r="G32" s="1955" t="str">
        <f t="shared" si="0"/>
        <v/>
      </c>
    </row>
    <row r="33" spans="7:7" x14ac:dyDescent="0.25">
      <c r="G33" s="1955" t="str">
        <f t="shared" si="0"/>
        <v/>
      </c>
    </row>
    <row r="34" spans="7:7" x14ac:dyDescent="0.25">
      <c r="G34" s="1955" t="str">
        <f t="shared" si="0"/>
        <v/>
      </c>
    </row>
    <row r="35" spans="7:7" x14ac:dyDescent="0.25">
      <c r="G35" s="1955" t="str">
        <f t="shared" si="0"/>
        <v/>
      </c>
    </row>
    <row r="36" spans="7:7" x14ac:dyDescent="0.25">
      <c r="G36" s="1955" t="str">
        <f t="shared" si="0"/>
        <v/>
      </c>
    </row>
    <row r="37" spans="7:7" x14ac:dyDescent="0.25">
      <c r="G37" s="1955" t="str">
        <f t="shared" si="0"/>
        <v/>
      </c>
    </row>
    <row r="38" spans="7:7" x14ac:dyDescent="0.25">
      <c r="G38" s="1955" t="str">
        <f t="shared" si="0"/>
        <v/>
      </c>
    </row>
    <row r="39" spans="7:7" x14ac:dyDescent="0.25">
      <c r="G39" s="1955" t="str">
        <f t="shared" si="0"/>
        <v/>
      </c>
    </row>
    <row r="40" spans="7:7" x14ac:dyDescent="0.25">
      <c r="G40" s="1955" t="str">
        <f t="shared" si="0"/>
        <v/>
      </c>
    </row>
    <row r="41" spans="7:7" x14ac:dyDescent="0.25">
      <c r="G41" s="1955" t="str">
        <f t="shared" si="0"/>
        <v/>
      </c>
    </row>
    <row r="42" spans="7:7" x14ac:dyDescent="0.25">
      <c r="G42" s="1955" t="str">
        <f t="shared" si="0"/>
        <v/>
      </c>
    </row>
    <row r="43" spans="7:7" x14ac:dyDescent="0.25">
      <c r="G43" s="1955" t="str">
        <f t="shared" si="0"/>
        <v/>
      </c>
    </row>
    <row r="44" spans="7:7" x14ac:dyDescent="0.25">
      <c r="G44" s="1955" t="str">
        <f t="shared" si="0"/>
        <v/>
      </c>
    </row>
    <row r="45" spans="7:7" x14ac:dyDescent="0.25">
      <c r="G45" s="1955" t="str">
        <f t="shared" si="0"/>
        <v/>
      </c>
    </row>
    <row r="46" spans="7:7" x14ac:dyDescent="0.25">
      <c r="G46" s="1955" t="str">
        <f t="shared" si="0"/>
        <v/>
      </c>
    </row>
    <row r="47" spans="7:7" x14ac:dyDescent="0.25">
      <c r="G47" s="1955" t="str">
        <f t="shared" si="0"/>
        <v/>
      </c>
    </row>
    <row r="48" spans="7:7" x14ac:dyDescent="0.25">
      <c r="G48" s="1955" t="str">
        <f t="shared" si="0"/>
        <v/>
      </c>
    </row>
    <row r="49" spans="7:7" x14ac:dyDescent="0.25">
      <c r="G49" s="1955" t="str">
        <f t="shared" si="0"/>
        <v/>
      </c>
    </row>
    <row r="50" spans="7:7" x14ac:dyDescent="0.25">
      <c r="G50" s="1955" t="str">
        <f t="shared" si="0"/>
        <v/>
      </c>
    </row>
    <row r="51" spans="7:7" x14ac:dyDescent="0.25">
      <c r="G51" s="1955" t="str">
        <f t="shared" si="0"/>
        <v/>
      </c>
    </row>
    <row r="52" spans="7:7" x14ac:dyDescent="0.25">
      <c r="G52" s="1955" t="str">
        <f t="shared" si="0"/>
        <v/>
      </c>
    </row>
    <row r="53" spans="7:7" x14ac:dyDescent="0.25">
      <c r="G53" s="1955" t="str">
        <f t="shared" si="0"/>
        <v/>
      </c>
    </row>
    <row r="54" spans="7:7" x14ac:dyDescent="0.25">
      <c r="G54" s="1955" t="str">
        <f t="shared" si="0"/>
        <v/>
      </c>
    </row>
    <row r="55" spans="7:7" x14ac:dyDescent="0.25">
      <c r="G55" s="1955" t="str">
        <f t="shared" si="0"/>
        <v/>
      </c>
    </row>
  </sheetData>
  <sheetProtection algorithmName="SHA-512" hashValue="7hFOVJNRJ4Av5UcxQY1k7rc6vBl2gELh6z839ddH/LA6YiWlXYJZYm22Z/GZnokhw5Sx9kLZpYwRXVvdcIXwUA==" saltValue="uvR9QbZDJ7EDnqYhb8B9Bw==" spinCount="100000" sheet="1" objects="1" scenarios="1"/>
  <mergeCells count="2">
    <mergeCell ref="A4:H4"/>
    <mergeCell ref="A23:H23"/>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BI397"/>
  <sheetViews>
    <sheetView showGridLines="0" topLeftCell="A365" zoomScale="90" zoomScaleNormal="90" zoomScaleSheetLayoutView="100" zoomScalePageLayoutView="90" workbookViewId="0">
      <selection activeCell="I389" sqref="I389:M389"/>
    </sheetView>
  </sheetViews>
  <sheetFormatPr defaultColWidth="8.6640625" defaultRowHeight="13.2" outlineLevelCol="1" x14ac:dyDescent="0.3"/>
  <cols>
    <col min="1" max="1" width="2.6640625" style="502" customWidth="1"/>
    <col min="2" max="2" width="21.44140625" style="502" customWidth="1"/>
    <col min="3" max="3" width="24.44140625" style="502" customWidth="1"/>
    <col min="4" max="4" width="3.6640625" style="502" customWidth="1"/>
    <col min="5" max="5" width="17.44140625" style="502" customWidth="1"/>
    <col min="6" max="6" width="21.109375" style="502" customWidth="1"/>
    <col min="7" max="10" width="19.33203125" style="502" customWidth="1"/>
    <col min="11" max="12" width="8.6640625" style="502" customWidth="1"/>
    <col min="13" max="13" width="17.5546875" style="502" customWidth="1"/>
    <col min="14" max="15" width="2.77734375" style="502" customWidth="1"/>
    <col min="16" max="16" width="9.109375" style="502" hidden="1" customWidth="1"/>
    <col min="17" max="17" width="19.44140625" style="502" hidden="1" customWidth="1" outlineLevel="1"/>
    <col min="18" max="18" width="15.44140625" style="502" hidden="1" customWidth="1" outlineLevel="1"/>
    <col min="19" max="19" width="12.44140625" style="502" hidden="1" customWidth="1" outlineLevel="1"/>
    <col min="20" max="28" width="9.109375" style="502" hidden="1" customWidth="1" outlineLevel="1"/>
    <col min="29" max="31" width="11.109375" style="502" hidden="1" customWidth="1" outlineLevel="1"/>
    <col min="32" max="32" width="9.6640625" style="502" hidden="1" customWidth="1" outlineLevel="1"/>
    <col min="33" max="33" width="9.109375" style="502" hidden="1" customWidth="1" outlineLevel="1"/>
    <col min="34" max="34" width="12.44140625" style="502" hidden="1" customWidth="1" outlineLevel="1"/>
    <col min="35" max="35" width="9.109375" style="502" hidden="1" customWidth="1" outlineLevel="1"/>
    <col min="36" max="36" width="15.6640625" style="502" hidden="1" customWidth="1" outlineLevel="1"/>
    <col min="37" max="37" width="9.109375" style="502" hidden="1" customWidth="1" outlineLevel="1"/>
    <col min="38" max="38" width="10.33203125" style="502" hidden="1" customWidth="1" outlineLevel="1"/>
    <col min="39" max="39" width="10.44140625" style="502" hidden="1" customWidth="1" outlineLevel="1"/>
    <col min="40" max="40" width="9.109375" style="502" hidden="1" customWidth="1" outlineLevel="1"/>
    <col min="41" max="43" width="14.6640625" style="502" hidden="1" customWidth="1" outlineLevel="1"/>
    <col min="44" max="45" width="9.109375" style="502" hidden="1" customWidth="1" outlineLevel="1"/>
    <col min="46" max="47" width="10.33203125" style="502" hidden="1" customWidth="1" outlineLevel="1"/>
    <col min="48" max="48" width="9.109375" style="502" hidden="1" customWidth="1" outlineLevel="1"/>
    <col min="49" max="50" width="11" style="502" hidden="1" customWidth="1" outlineLevel="1"/>
    <col min="51" max="52" width="9.109375" style="502" hidden="1" customWidth="1" outlineLevel="1"/>
    <col min="53" max="53" width="2.77734375" style="502" customWidth="1" collapsed="1"/>
    <col min="54" max="54" width="2.77734375" style="502" customWidth="1"/>
    <col min="55" max="55" width="50.77734375" style="502" customWidth="1"/>
    <col min="56" max="57" width="9.109375" style="502" customWidth="1"/>
    <col min="58" max="61" width="25.77734375" style="502" customWidth="1"/>
    <col min="62" max="102" width="9.109375" style="502" customWidth="1"/>
    <col min="103" max="16384" width="8.6640625" style="502"/>
  </cols>
  <sheetData>
    <row r="1" spans="1:55" s="100" customFormat="1" x14ac:dyDescent="0.3">
      <c r="A1" s="717" t="s">
        <v>1299</v>
      </c>
      <c r="B1" s="559"/>
      <c r="C1" s="559"/>
      <c r="D1" s="559"/>
      <c r="E1" s="559"/>
      <c r="F1" s="559"/>
      <c r="G1" s="559"/>
      <c r="H1" s="559"/>
      <c r="I1" s="559"/>
      <c r="J1" s="559"/>
      <c r="K1" s="559"/>
      <c r="L1" s="559"/>
      <c r="M1" s="559"/>
      <c r="Q1" s="73"/>
      <c r="R1" s="73"/>
      <c r="V1" s="73"/>
      <c r="W1" s="73"/>
      <c r="X1" s="73"/>
      <c r="Y1" s="73"/>
      <c r="Z1" s="73"/>
      <c r="AA1" s="73"/>
      <c r="AB1" s="73"/>
      <c r="AC1" s="73"/>
      <c r="AD1" s="73"/>
      <c r="AE1" s="73"/>
      <c r="AF1" s="73"/>
      <c r="AG1" s="73"/>
      <c r="AH1" s="73"/>
      <c r="AI1" s="73"/>
      <c r="AJ1" s="73"/>
      <c r="AK1" s="73"/>
      <c r="AL1" s="73"/>
      <c r="AM1" s="73"/>
    </row>
    <row r="2" spans="1:55" s="100" customFormat="1" ht="24.75" customHeight="1" x14ac:dyDescent="0.3">
      <c r="A2" s="717" t="s">
        <v>1299</v>
      </c>
      <c r="B2" s="68" t="s">
        <v>1298</v>
      </c>
      <c r="C2" s="559"/>
      <c r="D2" s="563"/>
      <c r="E2" s="563"/>
      <c r="F2" s="563"/>
      <c r="G2" s="563"/>
      <c r="H2" s="563"/>
      <c r="I2" s="563"/>
      <c r="J2" s="563"/>
      <c r="K2" s="563"/>
      <c r="L2" s="563"/>
      <c r="M2" s="563"/>
      <c r="Q2" s="73"/>
      <c r="R2" s="73"/>
      <c r="V2" s="73"/>
      <c r="W2" s="73"/>
      <c r="X2" s="73"/>
      <c r="Y2" s="73"/>
      <c r="Z2" s="73"/>
      <c r="AA2" s="73"/>
      <c r="AB2" s="73"/>
      <c r="AC2" s="73"/>
      <c r="AD2" s="73"/>
      <c r="AE2" s="73"/>
      <c r="AF2" s="73"/>
      <c r="AG2" s="73"/>
      <c r="AH2" s="73"/>
      <c r="AI2" s="73"/>
      <c r="AJ2" s="73"/>
      <c r="AK2" s="73"/>
      <c r="AL2" s="73"/>
      <c r="AM2" s="73"/>
    </row>
    <row r="3" spans="1:55" s="100" customFormat="1" ht="15" customHeight="1" x14ac:dyDescent="0.3">
      <c r="A3" s="717" t="s">
        <v>1299</v>
      </c>
      <c r="B3" s="559"/>
      <c r="C3" s="559"/>
      <c r="D3" s="559"/>
      <c r="E3" s="559"/>
      <c r="F3" s="559"/>
      <c r="G3" s="559"/>
      <c r="H3" s="559"/>
      <c r="I3" s="559"/>
      <c r="J3" s="559"/>
      <c r="K3" s="559"/>
      <c r="L3" s="559"/>
      <c r="M3" s="559"/>
      <c r="Q3" s="73"/>
      <c r="R3" s="73"/>
      <c r="V3" s="73"/>
      <c r="W3" s="73"/>
      <c r="X3" s="73"/>
      <c r="Y3" s="73"/>
      <c r="Z3" s="73"/>
      <c r="AA3" s="73"/>
      <c r="AB3" s="73"/>
      <c r="AC3" s="73"/>
      <c r="AD3" s="73"/>
      <c r="AE3" s="73"/>
      <c r="AF3" s="73"/>
      <c r="AG3" s="73"/>
      <c r="AH3" s="73"/>
      <c r="AI3" s="73"/>
      <c r="AJ3" s="73"/>
      <c r="AK3" s="73"/>
      <c r="AL3" s="73"/>
      <c r="AM3" s="73"/>
    </row>
    <row r="4" spans="1:55" ht="21.75" customHeight="1" x14ac:dyDescent="0.3">
      <c r="A4" s="1036" t="s">
        <v>1299</v>
      </c>
      <c r="B4" s="583"/>
      <c r="C4" s="959"/>
      <c r="D4" s="959"/>
      <c r="E4" s="958"/>
      <c r="F4" s="958"/>
      <c r="G4" s="958"/>
      <c r="H4" s="958"/>
      <c r="I4" s="958"/>
      <c r="J4" s="958"/>
      <c r="K4" s="958"/>
      <c r="L4" s="958"/>
      <c r="M4" s="958"/>
      <c r="Q4" s="1043" t="s">
        <v>1505</v>
      </c>
    </row>
    <row r="5" spans="1:55" ht="21.75" customHeight="1" x14ac:dyDescent="0.3">
      <c r="A5" s="1036" t="s">
        <v>1299</v>
      </c>
      <c r="B5" s="1037" t="s">
        <v>1762</v>
      </c>
      <c r="C5" s="959"/>
      <c r="D5" s="959"/>
      <c r="E5" s="958"/>
      <c r="F5" s="958"/>
      <c r="G5" s="958"/>
      <c r="H5" s="2712" t="str">
        <f>INDEX(MBD_EMI_Table,2,1)</f>
        <v>Saudi Aramco Corporate Academy - Dhahran</v>
      </c>
      <c r="I5" s="2713"/>
      <c r="J5" s="2713"/>
      <c r="K5" s="2713"/>
      <c r="L5" s="2713"/>
      <c r="M5" s="2714"/>
      <c r="Q5" s="1296">
        <f>IFERROR(INDEX(MBD_EMI_Table,MATCH($H$5,MBD_EMI_Index,0),MATCH('Multiple Buildings Details'!$J$16,MBD_EMI_Hdr,0)),"ERROR")</f>
        <v>1</v>
      </c>
    </row>
    <row r="6" spans="1:55" ht="21.75" customHeight="1" x14ac:dyDescent="0.3">
      <c r="A6" s="1036" t="s">
        <v>1299</v>
      </c>
      <c r="B6" s="583"/>
      <c r="C6" s="959"/>
      <c r="D6" s="959"/>
      <c r="E6" s="958"/>
      <c r="F6" s="958"/>
      <c r="G6" s="958"/>
      <c r="H6" s="958"/>
      <c r="I6" s="958"/>
      <c r="J6" s="958"/>
      <c r="K6" s="958"/>
      <c r="L6" s="958"/>
      <c r="M6" s="958"/>
    </row>
    <row r="7" spans="1:55" ht="22.5" customHeight="1" x14ac:dyDescent="0.3">
      <c r="A7" s="1036" t="s">
        <v>1299</v>
      </c>
      <c r="B7" s="2715" t="s">
        <v>1126</v>
      </c>
      <c r="C7" s="2715"/>
      <c r="D7" s="2715"/>
      <c r="E7" s="2715"/>
      <c r="F7" s="2715"/>
      <c r="G7" s="2715"/>
      <c r="H7" s="2715"/>
      <c r="I7" s="2715"/>
      <c r="J7" s="2715"/>
      <c r="K7" s="2715"/>
      <c r="L7" s="2715"/>
      <c r="M7" s="2715"/>
    </row>
    <row r="8" spans="1:55" ht="15.75" customHeight="1" x14ac:dyDescent="0.3">
      <c r="A8" s="1036" t="s">
        <v>1299</v>
      </c>
      <c r="B8" s="2716"/>
      <c r="C8" s="2717"/>
      <c r="D8" s="2717"/>
      <c r="E8" s="2717"/>
      <c r="F8" s="2717"/>
      <c r="G8" s="2717"/>
      <c r="H8" s="2717"/>
      <c r="I8" s="2717"/>
      <c r="J8" s="2717"/>
      <c r="K8" s="2717"/>
      <c r="L8" s="2717"/>
      <c r="M8" s="2717"/>
    </row>
    <row r="9" spans="1:55" ht="52.5" customHeight="1" x14ac:dyDescent="0.3">
      <c r="A9" s="1036" t="s">
        <v>1299</v>
      </c>
      <c r="B9" s="2718" t="s">
        <v>1763</v>
      </c>
      <c r="C9" s="2718"/>
      <c r="D9" s="2718"/>
      <c r="E9" s="2718"/>
      <c r="F9" s="2718"/>
      <c r="G9" s="2718"/>
      <c r="H9" s="2718"/>
      <c r="I9" s="2718"/>
      <c r="J9" s="2718"/>
      <c r="K9" s="2718"/>
      <c r="L9" s="2718"/>
      <c r="M9" s="2697"/>
      <c r="BC9" s="502" t="s">
        <v>2090</v>
      </c>
    </row>
    <row r="10" spans="1:55" ht="33" hidden="1" customHeight="1" x14ac:dyDescent="0.3">
      <c r="A10" s="1036" t="s">
        <v>1299</v>
      </c>
      <c r="B10" s="2719" t="s">
        <v>1128</v>
      </c>
      <c r="C10" s="1996"/>
      <c r="D10" s="1996"/>
      <c r="E10" s="1996"/>
      <c r="F10" s="1996"/>
      <c r="G10" s="1996"/>
      <c r="H10" s="1996"/>
      <c r="I10" s="1996"/>
      <c r="J10" s="1996"/>
      <c r="K10" s="1996"/>
      <c r="L10" s="1996"/>
      <c r="M10" s="1996"/>
    </row>
    <row r="11" spans="1:55" ht="34.200000000000003" hidden="1" customHeight="1" x14ac:dyDescent="0.3">
      <c r="A11" s="1036" t="s">
        <v>1299</v>
      </c>
      <c r="B11" s="2719" t="s">
        <v>1193</v>
      </c>
      <c r="C11" s="1996"/>
      <c r="D11" s="1996"/>
      <c r="E11" s="1996"/>
      <c r="F11" s="1996"/>
      <c r="G11" s="1996"/>
      <c r="H11" s="1996"/>
      <c r="I11" s="1996"/>
      <c r="J11" s="1996"/>
      <c r="K11" s="1996"/>
      <c r="L11" s="1996"/>
      <c r="M11" s="1996"/>
    </row>
    <row r="12" spans="1:55" ht="33" hidden="1" customHeight="1" x14ac:dyDescent="0.3">
      <c r="A12" s="1036" t="s">
        <v>1299</v>
      </c>
      <c r="B12" s="2719" t="s">
        <v>1129</v>
      </c>
      <c r="C12" s="1996"/>
      <c r="D12" s="1996"/>
      <c r="E12" s="1996"/>
      <c r="F12" s="1996"/>
      <c r="G12" s="1996"/>
      <c r="H12" s="1996"/>
      <c r="I12" s="1996"/>
      <c r="J12" s="1996"/>
      <c r="K12" s="1996"/>
      <c r="L12" s="1996"/>
      <c r="M12" s="1996"/>
    </row>
    <row r="13" spans="1:55" ht="15.75" customHeight="1" x14ac:dyDescent="0.3">
      <c r="A13" s="1036" t="s">
        <v>1299</v>
      </c>
      <c r="B13" s="2716"/>
      <c r="C13" s="2717"/>
      <c r="D13" s="2717"/>
      <c r="E13" s="2717"/>
      <c r="F13" s="2717"/>
      <c r="G13" s="2717"/>
      <c r="H13" s="2717"/>
      <c r="I13" s="2717"/>
      <c r="J13" s="2717"/>
      <c r="K13" s="2717"/>
      <c r="L13" s="2717"/>
      <c r="M13" s="2717"/>
    </row>
    <row r="14" spans="1:55" ht="14.4" x14ac:dyDescent="0.3">
      <c r="A14" s="1036" t="s">
        <v>1299</v>
      </c>
      <c r="B14" s="2722" t="s">
        <v>444</v>
      </c>
      <c r="C14" s="2722" t="s">
        <v>494</v>
      </c>
      <c r="D14" s="2699"/>
      <c r="E14" s="2722" t="s">
        <v>493</v>
      </c>
      <c r="F14" s="2722" t="s">
        <v>492</v>
      </c>
      <c r="G14" s="2699"/>
      <c r="H14" s="2722" t="s">
        <v>491</v>
      </c>
      <c r="I14" s="2699"/>
      <c r="J14" s="2699"/>
      <c r="K14" s="2698" t="s">
        <v>1764</v>
      </c>
      <c r="L14" s="2727"/>
      <c r="M14" s="2727"/>
      <c r="N14" s="15"/>
      <c r="O14" s="15"/>
      <c r="P14" s="15"/>
      <c r="AC14" s="1038"/>
    </row>
    <row r="15" spans="1:55" ht="62.25" customHeight="1" x14ac:dyDescent="0.3">
      <c r="A15" s="1036" t="s">
        <v>1299</v>
      </c>
      <c r="B15" s="2699"/>
      <c r="C15" s="2699"/>
      <c r="D15" s="2699"/>
      <c r="E15" s="2699"/>
      <c r="F15" s="2699"/>
      <c r="G15" s="2699"/>
      <c r="H15" s="2699"/>
      <c r="I15" s="2699"/>
      <c r="J15" s="2699"/>
      <c r="K15" s="2698" t="str">
        <f>CONCATENATE("Energy Type Consumption Units to Site Energy Consumption (",PO_SiteUnits,")")</f>
        <v>Energy Type Consumption Units to Site Energy Consumption (MWh)</v>
      </c>
      <c r="L15" s="2727"/>
      <c r="M15" s="1115" t="str">
        <f>CONCATENATE("Energy Type Consumption Units to Source Energy Consumption (",PO_SourceUnits,")")</f>
        <v>Energy Type Consumption Units to Source Energy Consumption (MWh)</v>
      </c>
      <c r="N15" s="15"/>
      <c r="O15" s="15"/>
      <c r="P15" s="15"/>
      <c r="AC15" s="1039"/>
    </row>
    <row r="16" spans="1:55" ht="14.4" hidden="1" x14ac:dyDescent="0.3">
      <c r="A16" s="1036" t="s">
        <v>1299</v>
      </c>
      <c r="B16" s="1116" t="s">
        <v>1765</v>
      </c>
      <c r="C16" s="2736" t="s">
        <v>1766</v>
      </c>
      <c r="D16" s="2699"/>
      <c r="E16" s="1116" t="s">
        <v>1767</v>
      </c>
      <c r="F16" s="1116" t="s">
        <v>1768</v>
      </c>
      <c r="G16" s="1117"/>
      <c r="H16" s="1116" t="s">
        <v>1769</v>
      </c>
      <c r="I16" s="1118"/>
      <c r="J16" s="1119"/>
      <c r="K16" s="1116" t="s">
        <v>1770</v>
      </c>
      <c r="L16" s="1119"/>
      <c r="M16" s="1117" t="s">
        <v>1771</v>
      </c>
      <c r="N16" s="1114"/>
      <c r="O16" s="1039"/>
      <c r="P16" s="15"/>
    </row>
    <row r="17" spans="1:55" ht="15" customHeight="1" x14ac:dyDescent="0.3">
      <c r="A17" s="1036" t="s">
        <v>1299</v>
      </c>
      <c r="B17" s="1120" t="s">
        <v>464</v>
      </c>
      <c r="C17" s="2737" t="s">
        <v>488</v>
      </c>
      <c r="D17" s="2417"/>
      <c r="E17" s="1121" t="s">
        <v>243</v>
      </c>
      <c r="F17" s="2726"/>
      <c r="G17" s="2738"/>
      <c r="H17" s="2730" t="s">
        <v>667</v>
      </c>
      <c r="I17" s="2731"/>
      <c r="J17" s="2731"/>
      <c r="K17" s="2739">
        <f>IFERROR(VLOOKUP("kBtu",EnergyUnitsTable,3,FALSE)/VLOOKUP(PO_SiteUnits,EnergyUnitsTable,3,FALSE)*VLOOKUP($C17,EnergyUnitsTable,3,FALSE),"")</f>
        <v>9.999999999999998E-4</v>
      </c>
      <c r="L17" s="2740"/>
      <c r="M17" s="1614">
        <f>IFERROR(VLOOKUP("kBtu",EnergyUnitsTable,3,FALSE)/VLOOKUP(PO_SourceUnits,EnergyUnitsTable,3,FALSE)*VLOOKUP($C17,EnergyUnitsTable,3,FALSE)*VLOOKUP($B17,FuelTypesTable,2,FALSE),"")</f>
        <v>3.1399999999999996E-3</v>
      </c>
      <c r="N17" s="1040"/>
      <c r="O17" s="1040"/>
      <c r="P17" s="15"/>
      <c r="BC17" s="1906"/>
    </row>
    <row r="18" spans="1:55" ht="15" customHeight="1" x14ac:dyDescent="0.3">
      <c r="A18" s="1036" t="s">
        <v>1299</v>
      </c>
      <c r="B18" s="1120" t="s">
        <v>478</v>
      </c>
      <c r="C18" s="2737" t="s">
        <v>490</v>
      </c>
      <c r="D18" s="2417"/>
      <c r="E18" s="1121" t="s">
        <v>626</v>
      </c>
      <c r="F18" s="2726"/>
      <c r="G18" s="2738"/>
      <c r="H18" s="2730"/>
      <c r="I18" s="2731"/>
      <c r="J18" s="2731"/>
      <c r="K18" s="2739">
        <f>IFERROR(VLOOKUP("kBtu",EnergyUnitsTable,3,FALSE)/VLOOKUP(PO_SiteUnits,EnergyUnitsTable,3,FALSE)*VLOOKUP($C18,EnergyUnitsTable,3,FALSE),"")</f>
        <v>2.9308323563892142E-2</v>
      </c>
      <c r="L18" s="2740"/>
      <c r="M18" s="1614">
        <f>IFERROR(VLOOKUP("kBtu",EnergyUnitsTable,3,FALSE)/VLOOKUP(PO_SourceUnits,EnergyUnitsTable,3,FALSE)*VLOOKUP($C18,EnergyUnitsTable,3,FALSE)*VLOOKUP($B18,FuelTypesTable,2,FALSE),"")</f>
        <v>3.0773739742086751E-2</v>
      </c>
      <c r="N18" s="1040"/>
      <c r="O18" s="1040"/>
      <c r="P18" s="15"/>
      <c r="BC18" s="1906"/>
    </row>
    <row r="19" spans="1:55" ht="15" customHeight="1" x14ac:dyDescent="0.3">
      <c r="A19" s="1036" t="s">
        <v>1299</v>
      </c>
      <c r="B19" s="1120" t="s">
        <v>158</v>
      </c>
      <c r="C19" s="2737" t="s">
        <v>672</v>
      </c>
      <c r="D19" s="2417"/>
      <c r="E19" s="1121" t="s">
        <v>670</v>
      </c>
      <c r="F19" s="2726"/>
      <c r="G19" s="2738"/>
      <c r="H19" s="2730"/>
      <c r="I19" s="2731"/>
      <c r="J19" s="2731"/>
      <c r="K19" s="2739">
        <f>IFERROR(VLOOKUP("kBtu",EnergyUnitsTable,3,FALSE)/VLOOKUP(PO_SiteUnits,EnergyUnitsTable,3,FALSE)*VLOOKUP($C19,EnergyUnitsTable,3,FALSE),"")</f>
        <v>0.99999999999999989</v>
      </c>
      <c r="L19" s="2740"/>
      <c r="M19" s="1614">
        <f>IFERROR(VLOOKUP("kBtu",EnergyUnitsTable,3,FALSE)/VLOOKUP(PO_SourceUnits,EnergyUnitsTable,3,FALSE)*VLOOKUP($C19,EnergyUnitsTable,3,FALSE)*VLOOKUP($B19,FuelTypesTable,2,FALSE),"")</f>
        <v>0.99999999999999989</v>
      </c>
      <c r="N19" s="1040"/>
      <c r="O19" s="1040"/>
      <c r="P19" s="15"/>
      <c r="BC19" s="1906"/>
    </row>
    <row r="20" spans="1:55" ht="21" customHeight="1" x14ac:dyDescent="0.3">
      <c r="A20" s="1036" t="s">
        <v>1299</v>
      </c>
      <c r="B20" s="2728" t="s">
        <v>1115</v>
      </c>
      <c r="C20" s="2729"/>
      <c r="D20" s="2729"/>
      <c r="E20" s="2729"/>
      <c r="F20" s="2729"/>
      <c r="G20" s="2729"/>
      <c r="H20" s="2729"/>
      <c r="I20" s="2729"/>
      <c r="J20" s="2729"/>
      <c r="K20" s="2729"/>
      <c r="L20" s="2730" t="str">
        <f>IF(SI_IP_Units="SI","MWh","Btu x 10^6")</f>
        <v>MWh</v>
      </c>
      <c r="M20" s="2731"/>
      <c r="N20" s="15"/>
      <c r="O20" s="15"/>
      <c r="P20" s="15"/>
      <c r="BC20" s="1906"/>
    </row>
    <row r="21" spans="1:55" ht="21" customHeight="1" x14ac:dyDescent="0.3">
      <c r="A21" s="1036" t="s">
        <v>1299</v>
      </c>
      <c r="B21" s="2732" t="s">
        <v>1116</v>
      </c>
      <c r="C21" s="2729"/>
      <c r="D21" s="2729"/>
      <c r="E21" s="2729"/>
      <c r="F21" s="2729"/>
      <c r="G21" s="2729"/>
      <c r="H21" s="2729"/>
      <c r="I21" s="2729"/>
      <c r="J21" s="2729"/>
      <c r="K21" s="2729"/>
      <c r="L21" s="2730" t="str">
        <f>IF(SI_IP_Units="SI","MWh","Btu x 10^6")</f>
        <v>MWh</v>
      </c>
      <c r="M21" s="2731"/>
      <c r="BC21" s="1906"/>
    </row>
    <row r="22" spans="1:55" ht="33.75" customHeight="1" x14ac:dyDescent="0.3">
      <c r="A22" s="1036" t="s">
        <v>1299</v>
      </c>
      <c r="B22" s="564"/>
      <c r="C22" s="544"/>
      <c r="D22" s="526"/>
      <c r="E22" s="526"/>
      <c r="F22" s="526"/>
      <c r="G22" s="526"/>
      <c r="H22" s="526"/>
      <c r="I22" s="526"/>
      <c r="J22" s="526"/>
      <c r="K22" s="526"/>
      <c r="L22" s="527"/>
      <c r="M22" s="527"/>
    </row>
    <row r="23" spans="1:55" ht="33.75" customHeight="1" x14ac:dyDescent="0.3">
      <c r="A23" s="1036" t="s">
        <v>1299</v>
      </c>
      <c r="B23" s="564"/>
      <c r="C23" s="544"/>
      <c r="D23" s="526"/>
      <c r="E23" s="526"/>
      <c r="F23" s="526"/>
      <c r="G23" s="526"/>
      <c r="H23" s="526"/>
      <c r="I23" s="526"/>
      <c r="J23" s="526"/>
      <c r="K23" s="526"/>
      <c r="L23" s="527"/>
      <c r="M23" s="527"/>
    </row>
    <row r="24" spans="1:55" s="568" customFormat="1" ht="20.25" customHeight="1" x14ac:dyDescent="0.3">
      <c r="A24" s="1036" t="s">
        <v>1299</v>
      </c>
      <c r="B24" s="625" t="s">
        <v>1844</v>
      </c>
    </row>
    <row r="25" spans="1:55" s="528" customFormat="1" ht="12.75" customHeight="1" x14ac:dyDescent="0.3">
      <c r="A25" s="1036" t="s">
        <v>1299</v>
      </c>
      <c r="C25" s="502"/>
      <c r="D25" s="502"/>
      <c r="E25" s="502"/>
      <c r="F25" s="502"/>
      <c r="G25" s="502"/>
      <c r="H25" s="502"/>
      <c r="I25" s="502"/>
      <c r="J25" s="502"/>
      <c r="K25" s="502"/>
      <c r="AD25" s="1300" t="s">
        <v>1076</v>
      </c>
    </row>
    <row r="26" spans="1:55" s="528" customFormat="1" ht="21" customHeight="1" x14ac:dyDescent="0.3">
      <c r="A26" s="1036" t="s">
        <v>1299</v>
      </c>
      <c r="B26" s="626" t="s">
        <v>1845</v>
      </c>
      <c r="C26" s="502"/>
      <c r="D26" s="502"/>
      <c r="E26" s="502"/>
      <c r="F26" s="502"/>
      <c r="G26" s="502"/>
      <c r="H26" s="502"/>
      <c r="I26" s="502"/>
      <c r="J26" s="502"/>
      <c r="K26" s="502"/>
      <c r="AD26" s="1296" t="b">
        <v>1</v>
      </c>
    </row>
    <row r="27" spans="1:55" s="15" customFormat="1" ht="15" customHeight="1" x14ac:dyDescent="0.3">
      <c r="A27" s="1036" t="s">
        <v>1299</v>
      </c>
    </row>
    <row r="28" spans="1:55" ht="21" customHeight="1" x14ac:dyDescent="0.3">
      <c r="A28" s="1036" t="s">
        <v>1299</v>
      </c>
      <c r="B28" s="2733" t="s">
        <v>1846</v>
      </c>
      <c r="C28" s="2733"/>
      <c r="D28" s="2733"/>
      <c r="E28" s="2733"/>
      <c r="F28" s="2733"/>
      <c r="G28" s="2733"/>
      <c r="H28" s="2733"/>
      <c r="I28" s="2733"/>
      <c r="J28" s="2733"/>
      <c r="K28" s="2733"/>
      <c r="L28" s="2733"/>
      <c r="M28" s="2734"/>
    </row>
    <row r="29" spans="1:55" ht="115.5" customHeight="1" x14ac:dyDescent="0.3">
      <c r="A29" s="1036" t="s">
        <v>1299</v>
      </c>
      <c r="B29" s="2735" t="s">
        <v>1848</v>
      </c>
      <c r="C29" s="2695"/>
      <c r="D29" s="2695"/>
      <c r="E29" s="2695"/>
      <c r="F29" s="2695"/>
      <c r="G29" s="2695"/>
      <c r="H29" s="2695"/>
      <c r="I29" s="2695"/>
      <c r="J29" s="2695"/>
      <c r="K29" s="2695"/>
      <c r="L29" s="2695"/>
      <c r="M29" s="2695"/>
    </row>
    <row r="30" spans="1:55" ht="32.25" customHeight="1" x14ac:dyDescent="0.25">
      <c r="A30" s="1036" t="s">
        <v>1299</v>
      </c>
      <c r="B30" s="543"/>
      <c r="C30" s="526"/>
      <c r="D30" s="526"/>
      <c r="E30" s="526"/>
      <c r="F30" s="526"/>
      <c r="G30" s="391"/>
      <c r="H30" s="391"/>
      <c r="I30" s="391"/>
      <c r="J30" s="391"/>
      <c r="K30" s="391"/>
      <c r="L30" s="529"/>
      <c r="M30" s="529"/>
    </row>
    <row r="31" spans="1:55" ht="57.75" customHeight="1" x14ac:dyDescent="0.3">
      <c r="A31" s="1036" t="s">
        <v>1299</v>
      </c>
      <c r="B31" s="2700" t="s">
        <v>1847</v>
      </c>
      <c r="C31" s="2742"/>
      <c r="D31" s="2742"/>
      <c r="E31" s="1115" t="s">
        <v>1251</v>
      </c>
      <c r="F31" s="2700" t="s">
        <v>1113</v>
      </c>
      <c r="G31" s="2743"/>
      <c r="H31" s="2700" t="s">
        <v>486</v>
      </c>
      <c r="I31" s="2744"/>
      <c r="J31" s="2700" t="s">
        <v>1252</v>
      </c>
      <c r="K31" s="2745"/>
      <c r="L31" s="2348"/>
      <c r="M31" s="2348"/>
      <c r="T31" s="1042" t="s">
        <v>1778</v>
      </c>
      <c r="U31" s="1042" t="s">
        <v>1955</v>
      </c>
    </row>
    <row r="32" spans="1:55" s="1041" customFormat="1" hidden="1" x14ac:dyDescent="0.25">
      <c r="A32" s="1036" t="s">
        <v>1299</v>
      </c>
      <c r="B32" s="1122" t="s">
        <v>1772</v>
      </c>
      <c r="C32" s="1123"/>
      <c r="D32" s="1123"/>
      <c r="E32" s="1124" t="s">
        <v>1773</v>
      </c>
      <c r="F32" s="1122" t="s">
        <v>1774</v>
      </c>
      <c r="G32" s="1125"/>
      <c r="H32" s="1122" t="s">
        <v>1775</v>
      </c>
      <c r="I32" s="1126"/>
      <c r="J32" s="1122" t="s">
        <v>446</v>
      </c>
      <c r="K32" s="1127"/>
      <c r="L32" s="1128"/>
      <c r="M32" s="1128"/>
      <c r="Q32" s="1297" t="s">
        <v>1776</v>
      </c>
      <c r="R32" s="1297" t="s">
        <v>1777</v>
      </c>
      <c r="S32" s="1297" t="s">
        <v>1386</v>
      </c>
      <c r="T32" s="1297" t="s">
        <v>1778</v>
      </c>
      <c r="U32" s="1297" t="s">
        <v>1955</v>
      </c>
    </row>
    <row r="33" spans="1:55" ht="15" customHeight="1" x14ac:dyDescent="0.3">
      <c r="A33" s="1036" t="s">
        <v>915</v>
      </c>
      <c r="B33" s="2746" t="s">
        <v>680</v>
      </c>
      <c r="C33" s="2747"/>
      <c r="D33" s="2747"/>
      <c r="E33" s="1129" t="s">
        <v>464</v>
      </c>
      <c r="F33" s="1130">
        <v>61</v>
      </c>
      <c r="G33" s="1131" t="str">
        <f>IFERROR(IF(ISBLANK($E33),"",VLOOKUP($E33,PO_Enrgy_1_Table,MATCH($E$16,PO_Enrgy_1_Hdr,0),FALSE)),"")</f>
        <v>kW</v>
      </c>
      <c r="H33" s="1130">
        <v>105847</v>
      </c>
      <c r="I33" s="1132" t="str">
        <f>IFERROR(IF(ISBLANK($E33),"",VLOOKUP($E33,PO_Enrgy_1_Table,MATCH($C$16,PO_Enrgy_1_Hdr,0),FALSE)),"")</f>
        <v>kWh</v>
      </c>
      <c r="J33" s="2748">
        <f ca="1">IFERROR($H33*VLOOKUP($E33,PO_Enrgy_8_Table,MATCH($H$231,PO_Enrgy_8_Hdr,0),FALSE),"")</f>
        <v>8996.9950000000008</v>
      </c>
      <c r="K33" s="2749">
        <f ca="1">IFERROR($H33*VLOOKUP($E33,PO_Enrgy_8_Table,MATCH($H$231,PO_Enrgy_8_Hdr,0),FALSE),"")</f>
        <v>8996.9950000000008</v>
      </c>
      <c r="L33" s="2750">
        <f ca="1">IFERROR($H33*VLOOKUP($E33,PO_Enrgy_8_Table,MATCH($H$231,PO_Enrgy_8_Hdr,0),FALSE),"")</f>
        <v>8996.9950000000008</v>
      </c>
      <c r="M33" s="2750">
        <f ca="1">IFERROR($H33*VLOOKUP($E33,PO_Enrgy_8_Table,MATCH($H$231,PO_Enrgy_8_Hdr,0),FALSE),"")</f>
        <v>8996.9950000000008</v>
      </c>
      <c r="Q33" s="1296">
        <f>IFERROR(IF(ISBLANK($E33),"",VLOOKUP($E33,PO_Enrgy_1_Table,MATCH($K$16,PO_Enrgy_1_Hdr,0),FALSE)),"")</f>
        <v>9.999999999999998E-4</v>
      </c>
      <c r="R33" s="1296">
        <f>IFERROR(IF(ISBLANK($E33),"",VLOOKUP($E33,PO_Enrgy_1_Table,MATCH($M$16,PO_Enrgy_1_Hdr,0),FALSE)),"")</f>
        <v>3.1399999999999996E-3</v>
      </c>
      <c r="S33" s="1296">
        <f>IFERROR((H33*VLOOKUP(I33,EnergyUnitsTable,3,FALSE))/(F33*VLOOKUP(G33,DemandTable,3,FALSE)),"")</f>
        <v>1735.1967213114754</v>
      </c>
      <c r="T33" s="1298">
        <f ca="1">IFERROR($H33*VLOOKUP($E33,PO_Enrgy_8_Table,MATCH($H$231,PO_Enrgy_8_Hdr,0),FALSE),"")</f>
        <v>8996.9950000000008</v>
      </c>
      <c r="U33" s="1301">
        <f ca="1">IFERROR(1-$J33/$T33,0)</f>
        <v>0</v>
      </c>
      <c r="AH33" s="1044"/>
      <c r="AI33" s="1045"/>
      <c r="AJ33" s="1045"/>
      <c r="BC33" s="1906"/>
    </row>
    <row r="34" spans="1:55" ht="18" customHeight="1" x14ac:dyDescent="0.3">
      <c r="A34" s="1036"/>
      <c r="B34" s="2700" t="s">
        <v>1779</v>
      </c>
      <c r="C34" s="2348"/>
      <c r="D34" s="2348"/>
      <c r="E34" s="2348"/>
      <c r="F34" s="2348"/>
      <c r="G34" s="2348"/>
      <c r="H34" s="2348"/>
      <c r="I34" s="2348"/>
      <c r="J34" s="2348"/>
      <c r="K34" s="2348"/>
      <c r="L34" s="2348"/>
      <c r="M34" s="2348"/>
    </row>
    <row r="35" spans="1:55" ht="20.25" customHeight="1" x14ac:dyDescent="0.3">
      <c r="A35" s="1036"/>
      <c r="B35" s="2700" t="s">
        <v>1780</v>
      </c>
      <c r="C35" s="2461"/>
      <c r="D35" s="2461"/>
      <c r="E35" s="2741" t="s">
        <v>486</v>
      </c>
      <c r="F35" s="2461"/>
      <c r="G35" s="2461"/>
      <c r="H35" s="2698" t="str">
        <f>CONCATENATE("Annual Source Energy Generated
 (", PO_SourceUnits, ")")</f>
        <v>Annual Source Energy Generated
 (MWh)</v>
      </c>
      <c r="I35" s="2699"/>
      <c r="J35" s="2700" t="s">
        <v>1252</v>
      </c>
      <c r="K35" s="2461"/>
      <c r="L35" s="2461"/>
      <c r="M35" s="2461"/>
    </row>
    <row r="36" spans="1:55" ht="20.25" customHeight="1" x14ac:dyDescent="0.3">
      <c r="A36" s="1036"/>
      <c r="B36" s="2461"/>
      <c r="C36" s="2461"/>
      <c r="D36" s="2461"/>
      <c r="E36" s="2741" t="s">
        <v>1781</v>
      </c>
      <c r="F36" s="2461"/>
      <c r="G36" s="1115" t="str">
        <f>CONCATENATE("Units = ", PO_SiteUnits,")")</f>
        <v>Units = MWh)</v>
      </c>
      <c r="H36" s="2699"/>
      <c r="I36" s="2699"/>
      <c r="J36" s="2461"/>
      <c r="K36" s="2461"/>
      <c r="L36" s="2461"/>
      <c r="M36" s="2461"/>
    </row>
    <row r="37" spans="1:55" s="1047" customFormat="1" hidden="1" x14ac:dyDescent="0.25">
      <c r="A37" s="1046"/>
      <c r="B37" s="1116" t="s">
        <v>1765</v>
      </c>
      <c r="C37" s="1133"/>
      <c r="D37" s="1133"/>
      <c r="E37" s="1134" t="s">
        <v>1782</v>
      </c>
      <c r="F37" s="1135" t="s">
        <v>1783</v>
      </c>
      <c r="G37" s="1136" t="s">
        <v>1784</v>
      </c>
      <c r="H37" s="1135" t="s">
        <v>1785</v>
      </c>
      <c r="I37" s="1136"/>
      <c r="J37" s="1135" t="s">
        <v>446</v>
      </c>
      <c r="K37" s="1137"/>
      <c r="L37" s="1138"/>
      <c r="M37" s="1138"/>
      <c r="Q37" s="1297" t="s">
        <v>1776</v>
      </c>
      <c r="R37" s="1297" t="s">
        <v>1777</v>
      </c>
    </row>
    <row r="38" spans="1:55" ht="15" customHeight="1" x14ac:dyDescent="0.3">
      <c r="A38" s="1036"/>
      <c r="B38" s="2760" t="str">
        <f>IFERROR(IF(ISBLANK(B17),"",B17),"")</f>
        <v>Electricity</v>
      </c>
      <c r="C38" s="2729"/>
      <c r="D38" s="2729"/>
      <c r="E38" s="1139">
        <f>IFERROR(IF(PO_SiteRenewable=TRUE,SUMIF(INDEX(PO_renewable_table,0,MATCH($E$32,PO_renewable_hdr,0)),$B38,INDEX(PO_renewable_table,0,MATCH($H$32,PO_renewable_hdr,0))),""),"")</f>
        <v>105847</v>
      </c>
      <c r="F38" s="1140" t="str">
        <f>IFERROR(IF(ISBLANK($B38),"",VLOOKUP($B38,PO_Enrgy_1_Table,MATCH($C$16,PO_Enrgy_1_Hdr,0),FALSE)),"")</f>
        <v>kWh</v>
      </c>
      <c r="G38" s="1141">
        <f>IFERROR($E38*$Q38,"")</f>
        <v>105.84699999999998</v>
      </c>
      <c r="H38" s="2754">
        <f>IFERROR($E38*$R38,"")</f>
        <v>332.35957999999994</v>
      </c>
      <c r="I38" s="2461"/>
      <c r="J38" s="2755">
        <f ca="1">IFERROR(IF(PO_SiteRenewable=TRUE,SUMIF($E$33:$E$33,$B38,$J$33:$J$33),0),"")</f>
        <v>8996.9950000000008</v>
      </c>
      <c r="K38" s="2351"/>
      <c r="L38" s="2351"/>
      <c r="M38" s="2351"/>
      <c r="Q38" s="1296">
        <f>IFERROR(IF(ISBLANK($B38),"",VLOOKUP($B38,PO_Enrgy_1_Table,MATCH($K$16,PO_Enrgy_1_Hdr,0),FALSE)),"")</f>
        <v>9.999999999999998E-4</v>
      </c>
      <c r="R38" s="1296">
        <f>IFERROR(IF(ISBLANK($B38),"",VLOOKUP($B38,PO_Enrgy_1_Table,MATCH($M$16,PO_Enrgy_1_Hdr,0),FALSE)),"")</f>
        <v>3.1399999999999996E-3</v>
      </c>
      <c r="BC38" s="1906"/>
    </row>
    <row r="39" spans="1:55" ht="15" customHeight="1" x14ac:dyDescent="0.3">
      <c r="A39" s="1036"/>
      <c r="B39" s="2760" t="str">
        <f>IFERROR(IF(ISBLANK(B18),"",B18),"")</f>
        <v>Natural Gas</v>
      </c>
      <c r="C39" s="2729"/>
      <c r="D39" s="2729"/>
      <c r="E39" s="1139">
        <f>IFERROR(IF(PO_SiteRenewable=TRUE,SUMIF(INDEX(PO_renewable_table,0,MATCH($E$32,PO_renewable_hdr,0)),$B39,INDEX(PO_renewable_table,0,MATCH($H$32,PO_renewable_hdr,0))),""),"")</f>
        <v>0</v>
      </c>
      <c r="F39" s="1140" t="str">
        <f>IFERROR(IF(ISBLANK($B39),"",VLOOKUP($B39,PO_Enrgy_1_Table,MATCH($C$16,PO_Enrgy_1_Hdr,0),FALSE)),"")</f>
        <v>therm</v>
      </c>
      <c r="G39" s="1141">
        <f>IFERROR($E39*$Q39,"")</f>
        <v>0</v>
      </c>
      <c r="H39" s="2754">
        <f>IFERROR($E39*$R39,"")</f>
        <v>0</v>
      </c>
      <c r="I39" s="2461"/>
      <c r="J39" s="2755">
        <f>IFERROR(IF(PO_SiteRenewable=TRUE,SUMIF($E$33:$E$33,$B39,$J$33:$J$33),0),"")</f>
        <v>0</v>
      </c>
      <c r="K39" s="2351"/>
      <c r="L39" s="2351"/>
      <c r="M39" s="2351"/>
      <c r="Q39" s="1296">
        <f>IFERROR(IF(ISBLANK($B39),"",VLOOKUP($B39,PO_Enrgy_1_Table,MATCH($K$16,PO_Enrgy_1_Hdr,0),FALSE)),"")</f>
        <v>2.9308323563892142E-2</v>
      </c>
      <c r="R39" s="1296">
        <f>IFERROR(IF(ISBLANK($B39),"",VLOOKUP($B39,PO_Enrgy_1_Table,MATCH($M$16,PO_Enrgy_1_Hdr,0),FALSE)),"")</f>
        <v>3.0773739742086751E-2</v>
      </c>
      <c r="BC39" s="1906"/>
    </row>
    <row r="40" spans="1:55" ht="15" customHeight="1" x14ac:dyDescent="0.3">
      <c r="A40" s="1036"/>
      <c r="B40" s="2760" t="str">
        <f>IFERROR(IF(ISBLANK(B19),"",B19),"")</f>
        <v>District Cooling</v>
      </c>
      <c r="C40" s="2729"/>
      <c r="D40" s="2729"/>
      <c r="E40" s="1139">
        <f>IFERROR(IF(PO_SiteRenewable=TRUE,SUMIF(INDEX(PO_renewable_table,0,MATCH($E$32,PO_renewable_hdr,0)),$B40,INDEX(PO_renewable_table,0,MATCH($H$32,PO_renewable_hdr,0))),""),"")</f>
        <v>0</v>
      </c>
      <c r="F40" s="1140" t="str">
        <f>IFERROR(IF(ISBLANK($B40),"",VLOOKUP($B40,PO_Enrgy_1_Table,MATCH($C$16,PO_Enrgy_1_Hdr,0),FALSE)),"")</f>
        <v>MWh</v>
      </c>
      <c r="G40" s="1141">
        <f>IFERROR($E40*$Q40,"")</f>
        <v>0</v>
      </c>
      <c r="H40" s="2754">
        <f>IFERROR($E40*$R40,"")</f>
        <v>0</v>
      </c>
      <c r="I40" s="2461"/>
      <c r="J40" s="2755">
        <f>IFERROR(IF(PO_SiteRenewable=TRUE,SUMIF($E$33:$E$33,$B40,$J$33:$J$33),0),"")</f>
        <v>0</v>
      </c>
      <c r="K40" s="2351"/>
      <c r="L40" s="2351"/>
      <c r="M40" s="2351"/>
      <c r="Q40" s="1296">
        <f>IFERROR(IF(ISBLANK($B40),"",VLOOKUP($B40,PO_Enrgy_1_Table,MATCH($K$16,PO_Enrgy_1_Hdr,0),FALSE)),"")</f>
        <v>0.99999999999999989</v>
      </c>
      <c r="R40" s="1296">
        <f>IFERROR(IF(ISBLANK($B40),"",VLOOKUP($B40,PO_Enrgy_1_Table,MATCH($M$16,PO_Enrgy_1_Hdr,0),FALSE)),"")</f>
        <v>0.99999999999999989</v>
      </c>
      <c r="BC40" s="1906"/>
    </row>
    <row r="41" spans="1:55" ht="21" customHeight="1" x14ac:dyDescent="0.3">
      <c r="A41" s="1036"/>
      <c r="B41" s="2751" t="s">
        <v>18</v>
      </c>
      <c r="C41" s="2752"/>
      <c r="D41" s="2752"/>
      <c r="E41" s="2752"/>
      <c r="F41" s="2753"/>
      <c r="G41" s="1142">
        <f>IFERROR(SUM(INDEX(PO_Enrgy_2_Table,0,MATCH($G$37,PO_Enrgy_2_Hdr,0))),"")</f>
        <v>105.84699999999998</v>
      </c>
      <c r="H41" s="2754">
        <f>IFERROR(SUM(INDEX(PO_Enrgy_2_Table,0,MATCH($H$37,PO_Enrgy_2_Hdr,0))),"")</f>
        <v>332.35957999999994</v>
      </c>
      <c r="I41" s="2461">
        <f>SUM(I37:I39)</f>
        <v>0</v>
      </c>
      <c r="J41" s="2755">
        <f ca="1">IFERROR(SUM(J32:J33),"")</f>
        <v>8996.9950000000008</v>
      </c>
      <c r="K41" s="2351"/>
      <c r="L41" s="2351"/>
      <c r="M41" s="2351"/>
      <c r="BC41" s="1906"/>
    </row>
    <row r="42" spans="1:55" ht="21" customHeight="1" x14ac:dyDescent="0.3">
      <c r="A42" s="1036"/>
      <c r="B42" s="2756" t="s">
        <v>1253</v>
      </c>
      <c r="C42" s="2729"/>
      <c r="D42" s="2729"/>
      <c r="E42" s="2729"/>
      <c r="F42" s="2729"/>
      <c r="G42" s="2729"/>
      <c r="H42" s="2729"/>
      <c r="I42" s="2729"/>
      <c r="J42" s="2757">
        <f ca="1">IF(Datacenter_Avg=TRUE,IFERROR($J41/$J$294,""),IFERROR($J41/$J$265,""))</f>
        <v>2.5489284598257212E-2</v>
      </c>
      <c r="K42" s="2758"/>
      <c r="L42" s="2758"/>
      <c r="M42" s="2758"/>
      <c r="BC42" s="1906"/>
    </row>
    <row r="43" spans="1:55" ht="33.75" customHeight="1" x14ac:dyDescent="0.3">
      <c r="A43" s="1036" t="s">
        <v>1299</v>
      </c>
      <c r="B43" s="1997"/>
      <c r="C43" s="2759"/>
      <c r="D43" s="2759"/>
      <c r="E43" s="2759"/>
      <c r="F43" s="2759"/>
      <c r="G43" s="2759"/>
      <c r="H43" s="2759"/>
      <c r="I43" s="2759"/>
      <c r="J43" s="2759"/>
      <c r="K43" s="2759"/>
      <c r="L43" s="2759"/>
      <c r="M43" s="958"/>
    </row>
    <row r="44" spans="1:55" ht="33.75" customHeight="1" x14ac:dyDescent="0.3">
      <c r="A44" s="1036" t="s">
        <v>1299</v>
      </c>
      <c r="B44" s="547"/>
      <c r="C44" s="526"/>
      <c r="D44" s="526"/>
      <c r="E44" s="526"/>
      <c r="F44" s="526"/>
      <c r="G44" s="526"/>
      <c r="H44" s="526"/>
      <c r="I44" s="526"/>
      <c r="J44" s="526"/>
      <c r="K44" s="526"/>
      <c r="L44" s="526"/>
      <c r="M44" s="958"/>
    </row>
    <row r="45" spans="1:55" ht="21" customHeight="1" x14ac:dyDescent="0.3">
      <c r="A45" s="1036" t="s">
        <v>1299</v>
      </c>
      <c r="B45" s="627" t="s">
        <v>1127</v>
      </c>
      <c r="C45" s="569"/>
      <c r="D45" s="569"/>
      <c r="E45" s="569"/>
      <c r="F45" s="569"/>
      <c r="G45" s="569"/>
      <c r="H45" s="569"/>
      <c r="I45" s="569"/>
      <c r="J45" s="569"/>
      <c r="K45" s="569"/>
      <c r="L45" s="569"/>
      <c r="M45" s="569"/>
      <c r="T45" s="1300" t="s">
        <v>1077</v>
      </c>
      <c r="AD45" s="530"/>
    </row>
    <row r="46" spans="1:55" ht="15" customHeight="1" x14ac:dyDescent="0.3">
      <c r="A46" s="1036" t="s">
        <v>1299</v>
      </c>
      <c r="E46" s="555"/>
      <c r="T46" s="1299" t="b">
        <v>1</v>
      </c>
    </row>
    <row r="47" spans="1:55" ht="21" customHeight="1" x14ac:dyDescent="0.3">
      <c r="A47" s="1036" t="s">
        <v>1299</v>
      </c>
      <c r="B47" s="628" t="s">
        <v>1254</v>
      </c>
      <c r="C47" s="555"/>
    </row>
    <row r="48" spans="1:55" ht="125.25" hidden="1" customHeight="1" x14ac:dyDescent="0.3">
      <c r="A48" s="1036" t="s">
        <v>1299</v>
      </c>
      <c r="B48" s="2697" t="s">
        <v>1288</v>
      </c>
      <c r="C48" s="2695"/>
      <c r="D48" s="2695"/>
      <c r="E48" s="2695"/>
      <c r="F48" s="2695"/>
      <c r="G48" s="2695"/>
      <c r="H48" s="2695"/>
      <c r="I48" s="2695"/>
      <c r="J48" s="2695"/>
      <c r="K48" s="2695"/>
      <c r="L48" s="2695"/>
      <c r="M48" s="2695"/>
    </row>
    <row r="49" spans="1:55" ht="15" customHeight="1" x14ac:dyDescent="0.3">
      <c r="A49" s="1036" t="s">
        <v>1299</v>
      </c>
      <c r="E49" s="555"/>
      <c r="AD49" s="530"/>
    </row>
    <row r="50" spans="1:55" ht="21" customHeight="1" x14ac:dyDescent="0.3">
      <c r="A50" s="1036" t="s">
        <v>1299</v>
      </c>
      <c r="B50" s="956" t="s">
        <v>1255</v>
      </c>
      <c r="C50" s="956"/>
      <c r="D50" s="956"/>
      <c r="E50" s="956"/>
      <c r="F50" s="956"/>
      <c r="G50" s="956"/>
      <c r="H50" s="956"/>
      <c r="I50" s="956"/>
      <c r="J50" s="956"/>
      <c r="K50" s="956"/>
      <c r="L50" s="956"/>
      <c r="M50" s="957"/>
    </row>
    <row r="51" spans="1:55" ht="136.5" customHeight="1" x14ac:dyDescent="0.3">
      <c r="A51" s="1036" t="s">
        <v>1299</v>
      </c>
      <c r="B51" s="2764" t="s">
        <v>1834</v>
      </c>
      <c r="C51" s="2764"/>
      <c r="D51" s="2764"/>
      <c r="E51" s="2764"/>
      <c r="F51" s="2764"/>
      <c r="G51" s="2764"/>
      <c r="H51" s="2764"/>
      <c r="I51" s="2764"/>
      <c r="J51" s="2764"/>
      <c r="K51" s="2764"/>
      <c r="L51" s="2764"/>
      <c r="M51" s="2764"/>
    </row>
    <row r="52" spans="1:55" x14ac:dyDescent="0.3">
      <c r="A52" s="1036" t="s">
        <v>1299</v>
      </c>
      <c r="B52" s="564"/>
      <c r="C52" s="432"/>
      <c r="D52" s="432"/>
      <c r="E52" s="432"/>
      <c r="F52" s="432"/>
      <c r="G52" s="432"/>
      <c r="H52" s="432"/>
      <c r="I52" s="432"/>
    </row>
    <row r="53" spans="1:55" ht="44.25" customHeight="1" x14ac:dyDescent="0.3">
      <c r="A53" s="1036" t="s">
        <v>1299</v>
      </c>
      <c r="B53" s="2722" t="s">
        <v>1836</v>
      </c>
      <c r="C53" s="2722" t="s">
        <v>1256</v>
      </c>
      <c r="D53" s="2722" t="s">
        <v>485</v>
      </c>
      <c r="E53" s="2723"/>
      <c r="F53" s="2770" t="s">
        <v>484</v>
      </c>
      <c r="G53" s="2722" t="s">
        <v>1257</v>
      </c>
      <c r="H53" s="2766"/>
      <c r="I53" s="2766"/>
      <c r="J53" s="2766"/>
      <c r="K53" s="2766"/>
      <c r="L53" s="2722" t="s">
        <v>1786</v>
      </c>
      <c r="M53" s="2766"/>
      <c r="AS53" s="15"/>
      <c r="AT53" s="15"/>
      <c r="AU53" s="15"/>
      <c r="AV53" s="15"/>
      <c r="AW53" s="15"/>
      <c r="AX53" s="15"/>
      <c r="AY53" s="15"/>
      <c r="AZ53" s="15"/>
    </row>
    <row r="54" spans="1:55" ht="63.75" customHeight="1" x14ac:dyDescent="0.3">
      <c r="A54" s="1036" t="s">
        <v>1299</v>
      </c>
      <c r="B54" s="2765"/>
      <c r="C54" s="2765"/>
      <c r="D54" s="2723"/>
      <c r="E54" s="2723"/>
      <c r="F54" s="2771"/>
      <c r="G54" s="2767" t="s">
        <v>1787</v>
      </c>
      <c r="H54" s="2768"/>
      <c r="I54" s="1049" t="str">
        <f>CONCATENATE("Site Energy 
(Units = ", PO_SiteUnits,")")</f>
        <v>Site Energy 
(Units = MWh)</v>
      </c>
      <c r="J54" s="2767" t="str">
        <f>"Source Energy Consumption 
("  &amp; PO_SourceUnits &amp; ")"</f>
        <v>Source Energy Consumption 
(MWh)</v>
      </c>
      <c r="K54" s="2768"/>
      <c r="L54" s="2766"/>
      <c r="M54" s="2766"/>
      <c r="AR54" s="578"/>
      <c r="AS54" s="566"/>
      <c r="AT54" s="566"/>
      <c r="AU54" s="566"/>
      <c r="AV54" s="15"/>
      <c r="AW54" s="566"/>
      <c r="AX54" s="566"/>
      <c r="AY54" s="566"/>
      <c r="AZ54" s="15"/>
    </row>
    <row r="55" spans="1:55" s="1041" customFormat="1" ht="21.75" hidden="1" customHeight="1" x14ac:dyDescent="0.3">
      <c r="A55" s="1036" t="s">
        <v>1299</v>
      </c>
      <c r="B55" s="1143" t="s">
        <v>1837</v>
      </c>
      <c r="C55" s="1143" t="s">
        <v>1788</v>
      </c>
      <c r="D55" s="2769" t="s">
        <v>1765</v>
      </c>
      <c r="E55" s="2723"/>
      <c r="F55" s="1050" t="s">
        <v>1789</v>
      </c>
      <c r="G55" s="1051" t="s">
        <v>1782</v>
      </c>
      <c r="H55" s="1051" t="s">
        <v>1783</v>
      </c>
      <c r="I55" s="1136" t="s">
        <v>1784</v>
      </c>
      <c r="J55" s="1052" t="s">
        <v>1785</v>
      </c>
      <c r="K55" s="1051"/>
      <c r="L55" s="1053" t="s">
        <v>446</v>
      </c>
      <c r="M55" s="1051"/>
      <c r="Q55" s="1042" t="s">
        <v>1776</v>
      </c>
      <c r="R55" s="1042" t="s">
        <v>1777</v>
      </c>
      <c r="T55" s="1042" t="s">
        <v>1778</v>
      </c>
      <c r="U55" s="1042" t="s">
        <v>1955</v>
      </c>
      <c r="AR55" s="1054"/>
      <c r="AS55" s="1055"/>
      <c r="AT55" s="1055"/>
      <c r="AU55" s="1055"/>
      <c r="AV55" s="1056"/>
      <c r="AW55" s="1055"/>
      <c r="AX55" s="1055"/>
      <c r="AY55" s="1055"/>
      <c r="AZ55" s="1056"/>
    </row>
    <row r="56" spans="1:55" s="1041" customFormat="1" ht="15" hidden="1" customHeight="1" x14ac:dyDescent="0.3">
      <c r="A56" s="1057" t="s">
        <v>917</v>
      </c>
      <c r="B56" s="1615"/>
      <c r="C56" s="1615"/>
      <c r="D56" s="2737"/>
      <c r="E56" s="2731"/>
      <c r="F56" s="1144"/>
      <c r="G56" s="1153"/>
      <c r="H56" s="1616" t="str">
        <f>IFERROR(IF(ISBLANK($D56),"",VLOOKUP($D56,PO_Enrgy_1_Table,MATCH($C$16,PO_Enrgy_1_Hdr,0),FALSE)),"")</f>
        <v/>
      </c>
      <c r="I56" s="1617" t="str">
        <f>IFERROR(VLOOKUP($D56,PO_Enrgy_1_Table,MATCH($K$16,PO_Enrgy_1_Hdr,0),FALSE)*$G56,"")</f>
        <v/>
      </c>
      <c r="J56" s="2761" t="str">
        <f>IFERROR(VLOOKUP($D56,PO_Enrgy_1_Table,MATCH($M$16,PO_Enrgy_1_Hdr,0),FALSE)*$G56,"")</f>
        <v/>
      </c>
      <c r="K56" s="2762"/>
      <c r="L56" s="2763" t="str">
        <f>IFERROR($G56*IF($F56="Subtract from Proposed",VLOOKUP($D56,PO_Enrgy_8_Table,MATCH($H$231,PO_Enrgy_8_Hdr,0),FALSE),VLOOKUP($D56,PO_Enrgy_8_Table,MATCH($E$231,PO_Enrgy_8_Hdr,0),FALSE)),"")</f>
        <v/>
      </c>
      <c r="M56" s="2400"/>
      <c r="Q56" s="1302" t="str">
        <f>IFERROR(IF(ISBLANK($D56),"",VLOOKUP($D56,PO_Enrgy_1_Table,MATCH($K$16,PO_Enrgy_1_Hdr,0),FALSE)),"")</f>
        <v/>
      </c>
      <c r="R56" s="1302" t="str">
        <f>IFERROR(IF(ISBLANK($D56),"",VLOOKUP($D56,PO_Enrgy_1_Table,MATCH($M$16,PO_Enrgy_1_Hdr,0),FALSE)),"")</f>
        <v/>
      </c>
      <c r="T56" s="1303" t="str">
        <f>IFERROR($G56*IF($F56="Subtract from Proposed",VLOOKUP($D56,PO_Enrgy_8_Table,MATCH($H$231,PO_Enrgy_8_Hdr,0),FALSE),VLOOKUP($D56,PO_Enrgy_8_Table,MATCH($E$231,PO_Enrgy_8_Hdr,0),FALSE)),"")</f>
        <v/>
      </c>
      <c r="U56" s="1301">
        <f>IFERROR(1-$J56/$T56,0)</f>
        <v>0</v>
      </c>
      <c r="AB56" s="1058" t="s">
        <v>1047</v>
      </c>
      <c r="AC56" s="1059"/>
      <c r="AR56" s="1060"/>
      <c r="AS56" s="1061"/>
      <c r="AT56" s="1061"/>
      <c r="AU56" s="1061"/>
      <c r="AV56" s="1062"/>
      <c r="AW56" s="1061"/>
      <c r="AX56" s="1061"/>
      <c r="AY56" s="1061"/>
      <c r="AZ56" s="1056"/>
      <c r="BC56" s="1907"/>
    </row>
    <row r="57" spans="1:55" s="1041" customFormat="1" ht="15" customHeight="1" x14ac:dyDescent="0.3">
      <c r="A57" s="1057"/>
      <c r="B57" s="1615">
        <v>1</v>
      </c>
      <c r="C57" s="1615"/>
      <c r="D57" s="2737"/>
      <c r="E57" s="2731"/>
      <c r="F57" s="1144"/>
      <c r="G57" s="1153"/>
      <c r="H57" s="1616" t="str">
        <f>IFERROR(IF(ISBLANK($D57),"",VLOOKUP($D57,PO_Enrgy_1_Table,MATCH($C$16,PO_Enrgy_1_Hdr,0),FALSE)),"")</f>
        <v/>
      </c>
      <c r="I57" s="1617" t="str">
        <f>IFERROR(VLOOKUP($D57,PO_Enrgy_1_Table,MATCH($K$16,PO_Enrgy_1_Hdr,0),FALSE)*$G57,"")</f>
        <v/>
      </c>
      <c r="J57" s="2761" t="str">
        <f>IFERROR(VLOOKUP($D57,PO_Enrgy_1_Table,MATCH($M$16,PO_Enrgy_1_Hdr,0),FALSE)*$G57,"")</f>
        <v/>
      </c>
      <c r="K57" s="2762"/>
      <c r="L57" s="2763" t="str">
        <f>IFERROR($G57*IF($F57="Subtract from Proposed",VLOOKUP($D57,PO_Enrgy_8_Table,MATCH($H$231,PO_Enrgy_8_Hdr,0),FALSE),VLOOKUP($D57,PO_Enrgy_8_Table,MATCH($E$231,PO_Enrgy_8_Hdr,0),FALSE)),"")</f>
        <v/>
      </c>
      <c r="M57" s="2400"/>
      <c r="Q57" s="1302" t="str">
        <f>IFERROR(IF(ISBLANK($D57),"",VLOOKUP($D57,PO_Enrgy_1_Table,MATCH($K$16,PO_Enrgy_1_Hdr,0),FALSE)),"")</f>
        <v/>
      </c>
      <c r="R57" s="1302" t="str">
        <f>IFERROR(IF(ISBLANK($D57),"",VLOOKUP($D57,PO_Enrgy_1_Table,MATCH($M$16,PO_Enrgy_1_Hdr,0),FALSE)),"")</f>
        <v/>
      </c>
      <c r="T57" s="1303" t="str">
        <f>IFERROR($G57*IF($F57="Subtract from Proposed",VLOOKUP($D57,PO_Enrgy_8_Table,MATCH($H$231,PO_Enrgy_8_Hdr,0),FALSE),VLOOKUP($D57,PO_Enrgy_8_Table,MATCH($E$231,PO_Enrgy_8_Hdr,0),FALSE)),"")</f>
        <v/>
      </c>
      <c r="U57" s="1301">
        <f>IFERROR(1-$J57/$T57,0)</f>
        <v>0</v>
      </c>
      <c r="AB57" s="1058"/>
      <c r="AC57" s="1059"/>
      <c r="AR57" s="1060"/>
      <c r="AS57" s="1061"/>
      <c r="AT57" s="1061"/>
      <c r="AU57" s="1061"/>
      <c r="AV57" s="1062"/>
      <c r="AW57" s="1061"/>
      <c r="AX57" s="1061"/>
      <c r="AY57" s="1061"/>
      <c r="AZ57" s="1056"/>
      <c r="BC57" s="1907"/>
    </row>
    <row r="58" spans="1:55" s="1041" customFormat="1" ht="15" customHeight="1" x14ac:dyDescent="0.3">
      <c r="A58" s="1057"/>
      <c r="B58" s="1615">
        <v>2</v>
      </c>
      <c r="C58" s="1615"/>
      <c r="D58" s="2737"/>
      <c r="E58" s="2731"/>
      <c r="F58" s="1144"/>
      <c r="G58" s="1153"/>
      <c r="H58" s="1616" t="str">
        <f>IFERROR(IF(ISBLANK($D58),"",VLOOKUP($D58,PO_Enrgy_1_Table,MATCH($C$16,PO_Enrgy_1_Hdr,0),FALSE)),"")</f>
        <v/>
      </c>
      <c r="I58" s="1617" t="str">
        <f>IFERROR(VLOOKUP($D58,PO_Enrgy_1_Table,MATCH($K$16,PO_Enrgy_1_Hdr,0),FALSE)*$G58,"")</f>
        <v/>
      </c>
      <c r="J58" s="2761" t="str">
        <f>IFERROR(VLOOKUP($D58,PO_Enrgy_1_Table,MATCH($M$16,PO_Enrgy_1_Hdr,0),FALSE)*$G58,"")</f>
        <v/>
      </c>
      <c r="K58" s="2762"/>
      <c r="L58" s="2763" t="str">
        <f>IFERROR($G58*IF($F58="Subtract from Proposed",VLOOKUP($D58,PO_Enrgy_8_Table,MATCH($H$231,PO_Enrgy_8_Hdr,0),FALSE),VLOOKUP($D58,PO_Enrgy_8_Table,MATCH($E$231,PO_Enrgy_8_Hdr,0),FALSE)),"")</f>
        <v/>
      </c>
      <c r="M58" s="2400"/>
      <c r="Q58" s="1302" t="str">
        <f>IFERROR(IF(ISBLANK($D58),"",VLOOKUP($D58,PO_Enrgy_1_Table,MATCH($K$16,PO_Enrgy_1_Hdr,0),FALSE)),"")</f>
        <v/>
      </c>
      <c r="R58" s="1302" t="str">
        <f>IFERROR(IF(ISBLANK($D58),"",VLOOKUP($D58,PO_Enrgy_1_Table,MATCH($M$16,PO_Enrgy_1_Hdr,0),FALSE)),"")</f>
        <v/>
      </c>
      <c r="T58" s="1303" t="str">
        <f>IFERROR($G58*IF($F58="Subtract from Proposed",VLOOKUP($D58,PO_Enrgy_8_Table,MATCH($H$231,PO_Enrgy_8_Hdr,0),FALSE),VLOOKUP($D58,PO_Enrgy_8_Table,MATCH($E$231,PO_Enrgy_8_Hdr,0),FALSE)),"")</f>
        <v/>
      </c>
      <c r="U58" s="1301">
        <f>IFERROR(1-$J58/$T58,0)</f>
        <v>0</v>
      </c>
      <c r="AB58" s="1058" t="s">
        <v>1047</v>
      </c>
      <c r="AC58" s="1059"/>
      <c r="AR58" s="1060"/>
      <c r="AS58" s="1061"/>
      <c r="AT58" s="1061"/>
      <c r="AU58" s="1061"/>
      <c r="AV58" s="1062"/>
      <c r="AW58" s="1061"/>
      <c r="AX58" s="1061"/>
      <c r="AY58" s="1061"/>
      <c r="AZ58" s="1056"/>
      <c r="BC58" s="1907"/>
    </row>
    <row r="59" spans="1:55" s="1041" customFormat="1" ht="15" customHeight="1" x14ac:dyDescent="0.3">
      <c r="A59" s="1057"/>
      <c r="B59" s="1618">
        <v>3</v>
      </c>
      <c r="C59" s="1618"/>
      <c r="D59" s="2786"/>
      <c r="E59" s="2787"/>
      <c r="F59" s="1619"/>
      <c r="G59" s="1620"/>
      <c r="H59" s="1621" t="str">
        <f>IFERROR(IF(ISBLANK($D59),"",VLOOKUP($D59,PO_Enrgy_1_Table,MATCH($C$16,PO_Enrgy_1_Hdr,0),FALSE)),"")</f>
        <v/>
      </c>
      <c r="I59" s="1622" t="str">
        <f>IFERROR(VLOOKUP($D59,PO_Enrgy_1_Table,MATCH($K$16,PO_Enrgy_1_Hdr,0),FALSE)*$G59,"")</f>
        <v/>
      </c>
      <c r="J59" s="2774" t="str">
        <f>IFERROR(VLOOKUP($D59,PO_Enrgy_1_Table,MATCH($M$16,PO_Enrgy_1_Hdr,0),FALSE)*$G59,"")</f>
        <v/>
      </c>
      <c r="K59" s="2775"/>
      <c r="L59" s="2784" t="str">
        <f>IFERROR($G59*IF($F59="Subtract from Proposed",VLOOKUP($D59,PO_Enrgy_8_Table,MATCH($H$231,PO_Enrgy_8_Hdr,0),FALSE),VLOOKUP($D59,PO_Enrgy_8_Table,MATCH($E$231,PO_Enrgy_8_Hdr,0),FALSE)),"")</f>
        <v/>
      </c>
      <c r="M59" s="2785"/>
      <c r="Q59" s="1302" t="str">
        <f>IFERROR(IF(ISBLANK($D59),"",VLOOKUP($D59,PO_Enrgy_1_Table,MATCH($K$16,PO_Enrgy_1_Hdr,0),FALSE)),"")</f>
        <v/>
      </c>
      <c r="R59" s="1302" t="str">
        <f>IFERROR(IF(ISBLANK($D59),"",VLOOKUP($D59,PO_Enrgy_1_Table,MATCH($M$16,PO_Enrgy_1_Hdr,0),FALSE)),"")</f>
        <v/>
      </c>
      <c r="T59" s="1303" t="str">
        <f>IFERROR($G59*IF($F59="Subtract from Proposed",VLOOKUP($D59,PO_Enrgy_8_Table,MATCH($H$231,PO_Enrgy_8_Hdr,0),FALSE),VLOOKUP($D59,PO_Enrgy_8_Table,MATCH($E$231,PO_Enrgy_8_Hdr,0),FALSE)),"")</f>
        <v/>
      </c>
      <c r="U59" s="1301">
        <f>IFERROR(1-$J59/$T59,0)</f>
        <v>0</v>
      </c>
      <c r="AB59" s="1058" t="s">
        <v>1047</v>
      </c>
      <c r="AC59" s="1059"/>
      <c r="AR59" s="1060"/>
      <c r="AS59" s="1061"/>
      <c r="AT59" s="1061"/>
      <c r="AU59" s="1061"/>
      <c r="AV59" s="1062"/>
      <c r="AW59" s="1061"/>
      <c r="AX59" s="1061"/>
      <c r="AY59" s="1061"/>
      <c r="AZ59" s="1056"/>
      <c r="BC59" s="1907"/>
    </row>
    <row r="60" spans="1:55" s="528" customFormat="1" ht="21" customHeight="1" x14ac:dyDescent="0.3">
      <c r="A60" s="1063"/>
      <c r="B60" s="2778" t="s">
        <v>1274</v>
      </c>
      <c r="C60" s="2779"/>
      <c r="D60" s="2779"/>
      <c r="E60" s="2779"/>
      <c r="F60" s="1631"/>
      <c r="G60" s="1632"/>
      <c r="H60" s="1633"/>
      <c r="I60" s="1632"/>
      <c r="J60" s="1634"/>
      <c r="K60" s="1634"/>
      <c r="L60" s="1635"/>
      <c r="M60" s="1636"/>
      <c r="AI60" s="542"/>
      <c r="AJ60" s="1064"/>
      <c r="AK60" s="1064"/>
      <c r="AL60" s="1064"/>
      <c r="AM60" s="525"/>
      <c r="AN60" s="1065"/>
      <c r="AO60" s="1065"/>
      <c r="AP60" s="1066"/>
      <c r="AQ60" s="15"/>
      <c r="AR60" s="15"/>
      <c r="AS60" s="15"/>
      <c r="AT60" s="15"/>
      <c r="AU60" s="15"/>
      <c r="AV60" s="15"/>
      <c r="AW60" s="15"/>
      <c r="AX60" s="15"/>
      <c r="AY60" s="15"/>
      <c r="AZ60" s="15"/>
    </row>
    <row r="61" spans="1:55" s="1041" customFormat="1" ht="21.75" hidden="1" customHeight="1" x14ac:dyDescent="0.3">
      <c r="A61" s="1057"/>
      <c r="B61" s="1623" t="s">
        <v>1765</v>
      </c>
      <c r="C61" s="1624"/>
      <c r="D61" s="1624"/>
      <c r="E61" s="1624"/>
      <c r="F61" s="1625"/>
      <c r="G61" s="1626" t="s">
        <v>1782</v>
      </c>
      <c r="H61" s="1627" t="s">
        <v>1783</v>
      </c>
      <c r="I61" s="1628" t="s">
        <v>1784</v>
      </c>
      <c r="J61" s="1629" t="s">
        <v>1785</v>
      </c>
      <c r="K61" s="1626"/>
      <c r="L61" s="1630" t="s">
        <v>446</v>
      </c>
      <c r="M61" s="1625"/>
      <c r="Q61" s="1042" t="s">
        <v>1776</v>
      </c>
      <c r="R61" s="1042" t="s">
        <v>1777</v>
      </c>
      <c r="AI61" s="1056"/>
      <c r="AJ61" s="1056"/>
      <c r="AK61" s="1056"/>
      <c r="AL61" s="1056"/>
      <c r="AM61" s="1056"/>
      <c r="AN61" s="1056"/>
      <c r="AO61" s="1056"/>
      <c r="AP61" s="1056"/>
      <c r="AQ61" s="1056"/>
      <c r="AR61" s="1067"/>
      <c r="AS61" s="1067"/>
      <c r="AT61" s="1067"/>
      <c r="AU61" s="1067"/>
      <c r="AV61" s="1056"/>
      <c r="AW61" s="1067"/>
      <c r="AX61" s="1067"/>
      <c r="AY61" s="1067"/>
      <c r="AZ61" s="1056"/>
    </row>
    <row r="62" spans="1:55" ht="15" customHeight="1" x14ac:dyDescent="0.3">
      <c r="A62" s="1036"/>
      <c r="B62" s="2780" t="str">
        <f>IFERROR(IF(ISBLANK(B17),"",B17),"")</f>
        <v>Electricity</v>
      </c>
      <c r="C62" s="2780"/>
      <c r="D62" s="2780"/>
      <c r="E62" s="2780"/>
      <c r="F62" s="2781"/>
      <c r="G62" s="1417">
        <f>IFERROR(IF(PO_ShowExCalc=TRUE,SUMIFS(INDEX(PO_ExCalc_Table,0,MATCH($G$55,PO_ExCalc_Hdr,0)),INDEX(PO_ExCalc_Table,0,MATCH($D$55,PO_ExCalc_Hdr,0)),$B62,INDEX(PO_ExCalc_Table,0,MATCH($F$55,PO_ExCalc_Hdr,0)),"Add to Baseline"),""),"")</f>
        <v>0</v>
      </c>
      <c r="H62" s="1616" t="str">
        <f>IFERROR(IF(ISBLANK($B62),"",VLOOKUP($B62,PO_Enrgy_1_Table,MATCH($C$16,PO_Enrgy_1_Hdr,0),FALSE)),"")</f>
        <v>kWh</v>
      </c>
      <c r="I62" s="1417">
        <f>IFERROR($G62*$Q62,"")</f>
        <v>0</v>
      </c>
      <c r="J62" s="2761">
        <f>IFERROR($G62*$R62,"")</f>
        <v>0</v>
      </c>
      <c r="K62" s="2762">
        <f t="shared" ref="K62:K64" si="0">IFERROR($G62*$Q62,"")</f>
        <v>0</v>
      </c>
      <c r="L62" s="2782">
        <f>IFERROR(IF(PO_ShowExCalc=TRUE,SUMIFS(INDEX(PO_ExCalc_Table,0,MATCH($L$55,PO_ExCalc_Hdr,0)),INDEX(PO_ExCalc_Table,0,MATCH($D$55,PO_ExCalc_Hdr,0)),$B62,INDEX(PO_ExCalc_Table,0,MATCH($F$55,PO_ExCalc_Hdr,0)),"Add to Baseline"),""),"")</f>
        <v>0</v>
      </c>
      <c r="M62" s="2783">
        <f>IFERROR(IF(PO_ShowExCalc=TRUE,SUMIFS(M$56:M$59,$D$56:$D$59,$B62,$F$56:$F$59,"Add to Baseline"),""),"")</f>
        <v>0</v>
      </c>
      <c r="N62" s="1068"/>
      <c r="Q62" s="1296">
        <f>IFERROR(IF(ISBLANK($B62),"",VLOOKUP($B62,PO_Enrgy_1_Table,MATCH($K$16,PO_Enrgy_1_Hdr,0),FALSE)),"")</f>
        <v>9.999999999999998E-4</v>
      </c>
      <c r="R62" s="1296">
        <f>IFERROR(IF(ISBLANK($B62),"",VLOOKUP($B62,PO_Enrgy_1_Table,MATCH($M$16,PO_Enrgy_1_Hdr,0),FALSE)),"")</f>
        <v>3.1399999999999996E-3</v>
      </c>
      <c r="AC62" s="546"/>
      <c r="AI62" s="1066"/>
      <c r="AJ62" s="575"/>
      <c r="AK62" s="1064"/>
      <c r="AL62" s="1069"/>
      <c r="AM62" s="15"/>
      <c r="AN62" s="15"/>
      <c r="AO62" s="15"/>
      <c r="AP62" s="1070"/>
      <c r="AQ62" s="1071"/>
      <c r="AR62" s="1069"/>
      <c r="AS62" s="1072"/>
      <c r="AT62" s="1073"/>
      <c r="AU62" s="15"/>
      <c r="AV62" s="15"/>
      <c r="AW62" s="15"/>
      <c r="AX62" s="15"/>
      <c r="AY62" s="15"/>
      <c r="AZ62" s="15"/>
      <c r="BC62" s="1906"/>
    </row>
    <row r="63" spans="1:55" ht="15" customHeight="1" x14ac:dyDescent="0.3">
      <c r="A63" s="1036"/>
      <c r="B63" s="2772" t="str">
        <f>IFERROR(IF(ISBLANK(B18),"",B18),"")</f>
        <v>Natural Gas</v>
      </c>
      <c r="C63" s="2772"/>
      <c r="D63" s="2772"/>
      <c r="E63" s="2772"/>
      <c r="F63" s="2773"/>
      <c r="G63" s="1637">
        <f>IFERROR(IF(PO_ShowExCalc=TRUE,SUMIFS(INDEX(PO_ExCalc_Table,0,MATCH($G$55,PO_ExCalc_Hdr,0)),INDEX(PO_ExCalc_Table,0,MATCH($D$55,PO_ExCalc_Hdr,0)),$B63,INDEX(PO_ExCalc_Table,0,MATCH($F$55,PO_ExCalc_Hdr,0)),"Add to Baseline"),""),"")</f>
        <v>0</v>
      </c>
      <c r="H63" s="1621" t="str">
        <f>IFERROR(IF(ISBLANK($B63),"",VLOOKUP($B63,PO_Enrgy_1_Table,MATCH($C$16,PO_Enrgy_1_Hdr,0),FALSE)),"")</f>
        <v>therm</v>
      </c>
      <c r="I63" s="1637">
        <f>IFERROR($G63*$Q63,"")</f>
        <v>0</v>
      </c>
      <c r="J63" s="2774">
        <f>IFERROR($G63*$R63,"")</f>
        <v>0</v>
      </c>
      <c r="K63" s="2775">
        <f t="shared" si="0"/>
        <v>0</v>
      </c>
      <c r="L63" s="2776">
        <f>IFERROR(IF(PO_ShowExCalc=TRUE,SUMIFS(INDEX(PO_ExCalc_Table,0,MATCH($L$55,PO_ExCalc_Hdr,0)),INDEX(PO_ExCalc_Table,0,MATCH($D$55,PO_ExCalc_Hdr,0)),$B63,INDEX(PO_ExCalc_Table,0,MATCH($F$55,PO_ExCalc_Hdr,0)),"Add to Baseline"),""),"")</f>
        <v>0</v>
      </c>
      <c r="M63" s="2777">
        <f>IFERROR(IF(PO_ShowExCalc=TRUE,SUMIFS(M$56:M$59,$D$56:$D$59,$B63,$F$56:$F$59,"Add to Baseline"),""),"")</f>
        <v>0</v>
      </c>
      <c r="Q63" s="1296">
        <f>IFERROR(IF(ISBLANK($B63),"",VLOOKUP($B63,PO_Enrgy_1_Table,MATCH($K$16,PO_Enrgy_1_Hdr,0),FALSE)),"")</f>
        <v>2.9308323563892142E-2</v>
      </c>
      <c r="R63" s="1296">
        <f>IFERROR(IF(ISBLANK($B63),"",VLOOKUP($B63,PO_Enrgy_1_Table,MATCH($M$16,PO_Enrgy_1_Hdr,0),FALSE)),"")</f>
        <v>3.0773739742086751E-2</v>
      </c>
      <c r="AC63" s="546"/>
      <c r="AI63" s="1066"/>
      <c r="AJ63" s="575"/>
      <c r="AK63" s="1064"/>
      <c r="AL63" s="1069"/>
      <c r="AM63" s="15"/>
      <c r="AN63" s="15"/>
      <c r="AO63" s="15"/>
      <c r="AP63" s="1070"/>
      <c r="AQ63" s="1071"/>
      <c r="AR63" s="1069"/>
      <c r="AS63" s="1072"/>
      <c r="AT63" s="1073"/>
      <c r="AU63" s="15"/>
      <c r="AV63" s="15"/>
      <c r="AW63" s="15"/>
      <c r="AX63" s="15"/>
      <c r="AY63" s="15"/>
      <c r="AZ63" s="15"/>
      <c r="BC63" s="1906"/>
    </row>
    <row r="64" spans="1:55" ht="15" customHeight="1" x14ac:dyDescent="0.3">
      <c r="A64" s="1036"/>
      <c r="B64" s="2772" t="str">
        <f>IFERROR(IF(ISBLANK(B19),"",B19),"")</f>
        <v>District Cooling</v>
      </c>
      <c r="C64" s="2772"/>
      <c r="D64" s="2772"/>
      <c r="E64" s="2772"/>
      <c r="F64" s="2773"/>
      <c r="G64" s="1637">
        <f>IFERROR(IF(PO_ShowExCalc=TRUE,SUMIFS(INDEX(PO_ExCalc_Table,0,MATCH($G$55,PO_ExCalc_Hdr,0)),INDEX(PO_ExCalc_Table,0,MATCH($D$55,PO_ExCalc_Hdr,0)),$B64,INDEX(PO_ExCalc_Table,0,MATCH($F$55,PO_ExCalc_Hdr,0)),"Add to Baseline"),""),"")</f>
        <v>0</v>
      </c>
      <c r="H64" s="1621" t="str">
        <f>IFERROR(IF(ISBLANK($B64),"",VLOOKUP($B64,PO_Enrgy_1_Table,MATCH($C$16,PO_Enrgy_1_Hdr,0),FALSE)),"")</f>
        <v>MWh</v>
      </c>
      <c r="I64" s="1637">
        <f>IFERROR($G64*$Q64,"")</f>
        <v>0</v>
      </c>
      <c r="J64" s="2774">
        <f>IFERROR($G64*$R64,"")</f>
        <v>0</v>
      </c>
      <c r="K64" s="2775">
        <f t="shared" si="0"/>
        <v>0</v>
      </c>
      <c r="L64" s="2776">
        <f>IFERROR(IF(PO_ShowExCalc=TRUE,SUMIFS(INDEX(PO_ExCalc_Table,0,MATCH($L$55,PO_ExCalc_Hdr,0)),INDEX(PO_ExCalc_Table,0,MATCH($D$55,PO_ExCalc_Hdr,0)),$B64,INDEX(PO_ExCalc_Table,0,MATCH($F$55,PO_ExCalc_Hdr,0)),"Add to Baseline"),""),"")</f>
        <v>0</v>
      </c>
      <c r="M64" s="2777">
        <f>IFERROR(IF(PO_ShowExCalc=TRUE,SUMIFS(M$56:M$59,$D$56:$D$59,$B64,$F$56:$F$59,"Add to Baseline"),""),"")</f>
        <v>0</v>
      </c>
      <c r="Q64" s="1296">
        <f>IFERROR(IF(ISBLANK($B64),"",VLOOKUP($B64,PO_Enrgy_1_Table,MATCH($K$16,PO_Enrgy_1_Hdr,0),FALSE)),"")</f>
        <v>0.99999999999999989</v>
      </c>
      <c r="R64" s="1296">
        <f>IFERROR(IF(ISBLANK($B64),"",VLOOKUP($B64,PO_Enrgy_1_Table,MATCH($M$16,PO_Enrgy_1_Hdr,0),FALSE)),"")</f>
        <v>0.99999999999999989</v>
      </c>
      <c r="AC64" s="546"/>
      <c r="AI64" s="1066"/>
      <c r="AJ64" s="575"/>
      <c r="AK64" s="1064"/>
      <c r="AL64" s="1069"/>
      <c r="AM64" s="15"/>
      <c r="AN64" s="15"/>
      <c r="AO64" s="15"/>
      <c r="AP64" s="1070"/>
      <c r="AQ64" s="1071"/>
      <c r="AR64" s="1069"/>
      <c r="AS64" s="1072"/>
      <c r="AT64" s="1073"/>
      <c r="AU64" s="15"/>
      <c r="AV64" s="15"/>
      <c r="AW64" s="15"/>
      <c r="AX64" s="15"/>
      <c r="AY64" s="15"/>
      <c r="AZ64" s="15"/>
      <c r="BC64" s="1906"/>
    </row>
    <row r="65" spans="1:60" s="528" customFormat="1" ht="21" customHeight="1" x14ac:dyDescent="0.3">
      <c r="A65" s="1063"/>
      <c r="B65" s="2778" t="s">
        <v>1275</v>
      </c>
      <c r="C65" s="2779"/>
      <c r="D65" s="2779"/>
      <c r="E65" s="2779"/>
      <c r="F65" s="1631"/>
      <c r="G65" s="1632"/>
      <c r="H65" s="1633"/>
      <c r="I65" s="1632"/>
      <c r="J65" s="1634"/>
      <c r="K65" s="1634"/>
      <c r="L65" s="1635"/>
      <c r="M65" s="1636"/>
      <c r="AI65" s="542"/>
      <c r="AJ65" s="1064"/>
      <c r="AK65" s="1064"/>
      <c r="AL65" s="1064"/>
      <c r="AM65" s="525"/>
      <c r="AN65" s="1065"/>
      <c r="AO65" s="1065"/>
      <c r="AP65" s="1066"/>
      <c r="AQ65" s="15"/>
      <c r="AR65" s="15"/>
      <c r="AS65" s="15"/>
      <c r="AT65" s="15"/>
      <c r="AU65" s="15"/>
      <c r="AV65" s="15"/>
      <c r="AW65" s="15"/>
      <c r="AX65" s="15"/>
      <c r="AY65" s="15"/>
      <c r="AZ65" s="15"/>
    </row>
    <row r="66" spans="1:60" s="1041" customFormat="1" ht="21.75" hidden="1" customHeight="1" x14ac:dyDescent="0.3">
      <c r="A66" s="1057"/>
      <c r="B66" s="1623" t="s">
        <v>1765</v>
      </c>
      <c r="C66" s="1624"/>
      <c r="D66" s="1624"/>
      <c r="E66" s="1624"/>
      <c r="F66" s="1625"/>
      <c r="G66" s="1626" t="s">
        <v>1782</v>
      </c>
      <c r="H66" s="1627" t="s">
        <v>1783</v>
      </c>
      <c r="I66" s="1628" t="s">
        <v>1784</v>
      </c>
      <c r="J66" s="1629" t="s">
        <v>1785</v>
      </c>
      <c r="K66" s="1626"/>
      <c r="L66" s="1630" t="s">
        <v>446</v>
      </c>
      <c r="M66" s="1625"/>
      <c r="Q66" s="1042" t="s">
        <v>1776</v>
      </c>
      <c r="R66" s="1042" t="s">
        <v>1777</v>
      </c>
      <c r="AI66" s="1056"/>
      <c r="AJ66" s="1056"/>
      <c r="AK66" s="1056"/>
      <c r="AL66" s="1056"/>
      <c r="AM66" s="1056"/>
      <c r="AN66" s="1056"/>
      <c r="AO66" s="1056"/>
      <c r="AP66" s="1056"/>
      <c r="AQ66" s="1056"/>
      <c r="AR66" s="1067"/>
      <c r="AS66" s="1067"/>
      <c r="AT66" s="1067"/>
      <c r="AU66" s="1067"/>
      <c r="AV66" s="1056"/>
      <c r="AW66" s="1067"/>
      <c r="AX66" s="1067"/>
      <c r="AY66" s="1067"/>
      <c r="AZ66" s="1056"/>
    </row>
    <row r="67" spans="1:60" ht="15" customHeight="1" x14ac:dyDescent="0.3">
      <c r="A67" s="1036"/>
      <c r="B67" s="2780" t="str">
        <f>IFERROR(IF(ISBLANK(B17),"",B17),"")</f>
        <v>Electricity</v>
      </c>
      <c r="C67" s="2780"/>
      <c r="D67" s="2780"/>
      <c r="E67" s="2780"/>
      <c r="F67" s="2781"/>
      <c r="G67" s="1417">
        <f>IFERROR(IF(PO_ShowExCalc=TRUE,SUMIFS(INDEX(PO_ExCalc_Table,0,MATCH($G$55,PO_ExCalc_Hdr,0)),INDEX(PO_ExCalc_Table,0,MATCH($D$55,PO_ExCalc_Hdr,0)),$B67,INDEX(PO_ExCalc_Table,0,MATCH($F$55,PO_ExCalc_Hdr,0)),"Subtract from Proposed"),""),"")</f>
        <v>0</v>
      </c>
      <c r="H67" s="1616" t="str">
        <f>IFERROR(IF(ISBLANK($B67),"",VLOOKUP($B67,PO_Enrgy_1_Table,MATCH($C$16,PO_Enrgy_1_Hdr,0),FALSE)),"")</f>
        <v>kWh</v>
      </c>
      <c r="I67" s="1417">
        <f>IFERROR($G67*$Q67,"")</f>
        <v>0</v>
      </c>
      <c r="J67" s="2761">
        <f>IFERROR($G67*$R67,"")</f>
        <v>0</v>
      </c>
      <c r="K67" s="2762">
        <f t="shared" ref="K67:K69" si="1">IFERROR($G67*$Q67,"")</f>
        <v>0</v>
      </c>
      <c r="L67" s="2782">
        <f>IFERROR(IF(PO_ShowExCalc=TRUE,SUMIFS(INDEX(PO_ExCalc_Table,0,MATCH($L$55,PO_ExCalc_Hdr,0)),INDEX(PO_ExCalc_Table,0,MATCH($D$55,PO_ExCalc_Hdr,0)),$B67,INDEX(PO_ExCalc_Table,0,MATCH($F$55,PO_ExCalc_Hdr,0)),"Subtract from Proposed"),""),"")</f>
        <v>0</v>
      </c>
      <c r="M67" s="2783">
        <f>IFERROR(IF(PO_ShowExCalc=TRUE,SUMIFS(M$56:M$59,$D$56:$D$59,$B67,$F$56:$F$59,"Add to Baseline"),""),"")</f>
        <v>0</v>
      </c>
      <c r="Q67" s="1296">
        <f>IFERROR(IF(ISBLANK($B67),"",VLOOKUP($B67,PO_Enrgy_1_Table,MATCH($K$16,PO_Enrgy_1_Hdr,0),FALSE)),"")</f>
        <v>9.999999999999998E-4</v>
      </c>
      <c r="R67" s="1296">
        <f>IFERROR(IF(ISBLANK($B67),"",VLOOKUP($B67,PO_Enrgy_1_Table,MATCH($M$16,PO_Enrgy_1_Hdr,0),FALSE)),"")</f>
        <v>3.1399999999999996E-3</v>
      </c>
      <c r="AC67" s="546"/>
      <c r="AI67" s="1066"/>
      <c r="AJ67" s="575"/>
      <c r="AK67" s="1064"/>
      <c r="AL67" s="1069"/>
      <c r="AM67" s="15"/>
      <c r="AN67" s="15"/>
      <c r="AO67" s="15"/>
      <c r="AP67" s="1070"/>
      <c r="AQ67" s="1071"/>
      <c r="AR67" s="1069"/>
      <c r="AS67" s="1072"/>
      <c r="AT67" s="1073"/>
      <c r="AU67" s="15"/>
      <c r="AV67" s="15"/>
      <c r="AW67" s="15"/>
      <c r="AX67" s="15"/>
      <c r="AY67" s="15"/>
      <c r="AZ67" s="15"/>
      <c r="BC67" s="1906"/>
    </row>
    <row r="68" spans="1:60" ht="15" customHeight="1" x14ac:dyDescent="0.3">
      <c r="A68" s="1036"/>
      <c r="B68" s="2772" t="str">
        <f>IFERROR(IF(ISBLANK(B18),"",B18),"")</f>
        <v>Natural Gas</v>
      </c>
      <c r="C68" s="2772"/>
      <c r="D68" s="2772"/>
      <c r="E68" s="2772"/>
      <c r="F68" s="2773"/>
      <c r="G68" s="1637">
        <f>IFERROR(IF(PO_ShowExCalc=TRUE,SUMIFS(INDEX(PO_ExCalc_Table,0,MATCH($G$55,PO_ExCalc_Hdr,0)),INDEX(PO_ExCalc_Table,0,MATCH($D$55,PO_ExCalc_Hdr,0)),$B68,INDEX(PO_ExCalc_Table,0,MATCH($F$55,PO_ExCalc_Hdr,0)),"Subtract from Proposed"),""),"")</f>
        <v>0</v>
      </c>
      <c r="H68" s="1621" t="str">
        <f>IFERROR(IF(ISBLANK($B68),"",VLOOKUP($B68,PO_Enrgy_1_Table,MATCH($C$16,PO_Enrgy_1_Hdr,0),FALSE)),"")</f>
        <v>therm</v>
      </c>
      <c r="I68" s="1417">
        <f>IFERROR($G68*$Q68,"")</f>
        <v>0</v>
      </c>
      <c r="J68" s="2761">
        <f>IFERROR($G68*$R68,"")</f>
        <v>0</v>
      </c>
      <c r="K68" s="2762">
        <f t="shared" si="1"/>
        <v>0</v>
      </c>
      <c r="L68" s="2782">
        <f>IFERROR(IF(PO_ShowExCalc=TRUE,SUMIFS(INDEX(PO_ExCalc_Table,0,MATCH($L$55,PO_ExCalc_Hdr,0)),INDEX(PO_ExCalc_Table,0,MATCH($D$55,PO_ExCalc_Hdr,0)),$B68,INDEX(PO_ExCalc_Table,0,MATCH($F$55,PO_ExCalc_Hdr,0)),"Subtract from Proposed"),""),"")</f>
        <v>0</v>
      </c>
      <c r="M68" s="2783">
        <f>IFERROR(IF(PO_ShowExCalc=TRUE,SUMIFS(M$56:M$59,$D$56:$D$59,$B68,$F$56:$F$59,"Add to Baseline"),""),"")</f>
        <v>0</v>
      </c>
      <c r="Q68" s="1296">
        <f>IFERROR(IF(ISBLANK($B68),"",VLOOKUP($B68,PO_Enrgy_1_Table,MATCH($K$16,PO_Enrgy_1_Hdr,0),FALSE)),"")</f>
        <v>2.9308323563892142E-2</v>
      </c>
      <c r="R68" s="1296">
        <f>IFERROR(IF(ISBLANK($B68),"",VLOOKUP($B68,PO_Enrgy_1_Table,MATCH($M$16,PO_Enrgy_1_Hdr,0),FALSE)),"")</f>
        <v>3.0773739742086751E-2</v>
      </c>
      <c r="AC68" s="546"/>
      <c r="AI68" s="1066"/>
      <c r="AJ68" s="575"/>
      <c r="AK68" s="1064"/>
      <c r="AL68" s="1069"/>
      <c r="AM68" s="15"/>
      <c r="AN68" s="15"/>
      <c r="AO68" s="15"/>
      <c r="AP68" s="1070"/>
      <c r="AQ68" s="1071"/>
      <c r="AR68" s="1069"/>
      <c r="AS68" s="1072"/>
      <c r="AT68" s="1073"/>
      <c r="AU68" s="15"/>
      <c r="AV68" s="15"/>
      <c r="AW68" s="15"/>
      <c r="AX68" s="15"/>
      <c r="AY68" s="15"/>
      <c r="AZ68" s="15"/>
      <c r="BC68" s="1906"/>
    </row>
    <row r="69" spans="1:60" ht="15" customHeight="1" x14ac:dyDescent="0.3">
      <c r="A69" s="1036"/>
      <c r="B69" s="2772" t="str">
        <f>IFERROR(IF(ISBLANK(B19),"",B19),"")</f>
        <v>District Cooling</v>
      </c>
      <c r="C69" s="2772"/>
      <c r="D69" s="2772"/>
      <c r="E69" s="2772"/>
      <c r="F69" s="2773"/>
      <c r="G69" s="1637">
        <f>IFERROR(IF(PO_ShowExCalc=TRUE,SUMIFS(INDEX(PO_ExCalc_Table,0,MATCH($G$55,PO_ExCalc_Hdr,0)),INDEX(PO_ExCalc_Table,0,MATCH($D$55,PO_ExCalc_Hdr,0)),$B69,INDEX(PO_ExCalc_Table,0,MATCH($F$55,PO_ExCalc_Hdr,0)),"Subtract from Proposed"),""),"")</f>
        <v>0</v>
      </c>
      <c r="H69" s="1621" t="str">
        <f>IFERROR(IF(ISBLANK($B69),"",VLOOKUP($B69,PO_Enrgy_1_Table,MATCH($C$16,PO_Enrgy_1_Hdr,0),FALSE)),"")</f>
        <v>MWh</v>
      </c>
      <c r="I69" s="1417">
        <f>IFERROR($G69*$Q69,"")</f>
        <v>0</v>
      </c>
      <c r="J69" s="2761">
        <f>IFERROR($G69*$R69,"")</f>
        <v>0</v>
      </c>
      <c r="K69" s="2762">
        <f t="shared" si="1"/>
        <v>0</v>
      </c>
      <c r="L69" s="2782">
        <f>IFERROR(IF(PO_ShowExCalc=TRUE,SUMIFS(INDEX(PO_ExCalc_Table,0,MATCH($L$55,PO_ExCalc_Hdr,0)),INDEX(PO_ExCalc_Table,0,MATCH($D$55,PO_ExCalc_Hdr,0)),$B69,INDEX(PO_ExCalc_Table,0,MATCH($F$55,PO_ExCalc_Hdr,0)),"Subtract from Proposed"),""),"")</f>
        <v>0</v>
      </c>
      <c r="M69" s="2783">
        <f>IFERROR(IF(PO_ShowExCalc=TRUE,SUMIFS(M$56:M$59,$D$56:$D$59,$B69,$F$56:$F$59,"Add to Baseline"),""),"")</f>
        <v>0</v>
      </c>
      <c r="Q69" s="1296">
        <f>IFERROR(IF(ISBLANK($B69),"",VLOOKUP($B69,PO_Enrgy_1_Table,MATCH($K$16,PO_Enrgy_1_Hdr,0),FALSE)),"")</f>
        <v>0.99999999999999989</v>
      </c>
      <c r="R69" s="1296">
        <f>IFERROR(IF(ISBLANK($B69),"",VLOOKUP($B69,PO_Enrgy_1_Table,MATCH($M$16,PO_Enrgy_1_Hdr,0),FALSE)),"")</f>
        <v>0.99999999999999989</v>
      </c>
      <c r="AC69" s="546"/>
      <c r="AI69" s="1066"/>
      <c r="AJ69" s="575"/>
      <c r="AK69" s="1064"/>
      <c r="AL69" s="1069"/>
      <c r="AM69" s="15"/>
      <c r="AN69" s="15"/>
      <c r="AO69" s="15"/>
      <c r="AP69" s="1070"/>
      <c r="AQ69" s="1071"/>
      <c r="AR69" s="1069"/>
      <c r="AS69" s="1072"/>
      <c r="AT69" s="1073"/>
      <c r="AU69" s="15"/>
      <c r="AV69" s="15"/>
      <c r="AW69" s="15"/>
      <c r="AX69" s="15"/>
      <c r="AY69" s="15"/>
      <c r="AZ69" s="15"/>
      <c r="BC69" s="1906"/>
    </row>
    <row r="70" spans="1:60" ht="21" customHeight="1" x14ac:dyDescent="0.3">
      <c r="A70" s="1036"/>
      <c r="B70" s="2792" t="s">
        <v>1790</v>
      </c>
      <c r="C70" s="2779"/>
      <c r="D70" s="2779"/>
      <c r="E70" s="2779"/>
      <c r="F70" s="2779"/>
      <c r="G70" s="1639"/>
      <c r="H70" s="1641"/>
      <c r="I70" s="1638">
        <f>IFERROR(SUM(INDEX(PO_Enrgy_3_Table,0,MATCH($I61,PO_Enrgy_3_Hdr,0)),INDEX(PO_Enrgy_4_Table,0,MATCH($I66,PO_Enrgy_4_Hdr,0))),"")</f>
        <v>0</v>
      </c>
      <c r="J70" s="2761">
        <f>IFERROR(SUM(INDEX(PO_Enrgy_3_Table,0,MATCH($J61,PO_Enrgy_3_Hdr,0)),INDEX(PO_Enrgy_4_Table,0,MATCH($J66,PO_Enrgy_4_Hdr,0))),"")</f>
        <v>0</v>
      </c>
      <c r="K70" s="2762">
        <f>IFERROR(SUM(K$34:K$68),0)</f>
        <v>0</v>
      </c>
      <c r="L70" s="2793">
        <f>IFERROR(SUM(INDEX(PO_Enrgy_3_Table,0,MATCH($L61,PO_Enrgy_3_Hdr,0)),INDEX(PO_Enrgy_4_Table,0,MATCH($L66,PO_Enrgy_4_Hdr,0))),"")</f>
        <v>0</v>
      </c>
      <c r="M70" s="2793">
        <f>IFERROR(SUM(M$34:M$68),0)</f>
        <v>0</v>
      </c>
      <c r="AI70" s="525"/>
      <c r="AJ70" s="1074"/>
      <c r="AK70" s="1074"/>
      <c r="AL70" s="1074"/>
      <c r="AM70" s="1074"/>
      <c r="AN70" s="15"/>
      <c r="AO70" s="15"/>
      <c r="AP70" s="1070"/>
      <c r="AQ70" s="1071"/>
      <c r="AR70" s="1069"/>
      <c r="AS70" s="1072"/>
      <c r="AT70" s="1073"/>
      <c r="AU70" s="15"/>
      <c r="AV70" s="15"/>
      <c r="AW70" s="15"/>
      <c r="AX70" s="15"/>
      <c r="AY70" s="15"/>
      <c r="AZ70" s="15"/>
      <c r="BC70" s="1906"/>
    </row>
    <row r="71" spans="1:60" s="528" customFormat="1" ht="53.25" customHeight="1" x14ac:dyDescent="0.3">
      <c r="A71" s="1063" t="s">
        <v>1299</v>
      </c>
      <c r="C71" s="532"/>
      <c r="D71" s="532"/>
      <c r="E71" s="532"/>
      <c r="F71" s="532"/>
      <c r="G71" s="532"/>
      <c r="H71" s="532"/>
      <c r="I71" s="565"/>
      <c r="J71" s="565"/>
      <c r="K71" s="531"/>
      <c r="L71" s="531"/>
      <c r="M71" s="531"/>
      <c r="N71" s="565"/>
      <c r="AJ71" s="532"/>
      <c r="AK71" s="532"/>
      <c r="AL71" s="532"/>
      <c r="AM71" s="532"/>
      <c r="AN71" s="532"/>
      <c r="AO71" s="565"/>
      <c r="AP71" s="565"/>
    </row>
    <row r="72" spans="1:60" ht="196.5" customHeight="1" x14ac:dyDescent="0.3">
      <c r="A72" s="1063" t="s">
        <v>1299</v>
      </c>
      <c r="B72" s="2764" t="s">
        <v>1286</v>
      </c>
      <c r="C72" s="2764"/>
      <c r="D72" s="2764"/>
      <c r="E72" s="2764"/>
      <c r="F72" s="2764"/>
      <c r="G72" s="2764"/>
      <c r="H72" s="2764"/>
      <c r="I72" s="2764"/>
      <c r="J72" s="2764"/>
      <c r="K72" s="2764"/>
      <c r="L72" s="2764"/>
      <c r="M72" s="2764"/>
      <c r="N72" s="545"/>
    </row>
    <row r="73" spans="1:60" ht="12.75" customHeight="1" x14ac:dyDescent="0.3">
      <c r="A73" s="1063" t="s">
        <v>1299</v>
      </c>
      <c r="B73" s="564"/>
      <c r="C73" s="564"/>
      <c r="D73" s="564"/>
      <c r="E73" s="564"/>
      <c r="F73" s="564"/>
      <c r="G73" s="564"/>
      <c r="H73" s="564"/>
      <c r="I73" s="564"/>
      <c r="J73" s="564"/>
      <c r="K73" s="564"/>
      <c r="L73" s="564"/>
      <c r="M73" s="564"/>
    </row>
    <row r="74" spans="1:60" s="750" customFormat="1" ht="33" customHeight="1" x14ac:dyDescent="0.3">
      <c r="A74" s="1063" t="s">
        <v>1299</v>
      </c>
      <c r="B74" s="26" t="s">
        <v>1119</v>
      </c>
      <c r="E74" s="31"/>
      <c r="H74" s="31"/>
      <c r="I74" s="31"/>
      <c r="J74" s="31"/>
      <c r="M74" s="31"/>
      <c r="N74" s="31"/>
      <c r="O74" s="31"/>
      <c r="Q74" s="100"/>
      <c r="R74" s="100"/>
      <c r="T74" s="100"/>
      <c r="U74" s="100"/>
      <c r="V74" s="100"/>
      <c r="W74" s="100"/>
      <c r="X74" s="100"/>
      <c r="Y74" s="100"/>
      <c r="Z74" s="100"/>
      <c r="AA74" s="100"/>
      <c r="AB74" s="100"/>
      <c r="AC74" s="100"/>
      <c r="AD74" s="100"/>
      <c r="AE74" s="100"/>
      <c r="AF74" s="100"/>
      <c r="AG74" s="100"/>
      <c r="AH74" s="100"/>
      <c r="AI74" s="100"/>
      <c r="AJ74" s="100"/>
      <c r="AK74" s="100"/>
      <c r="AL74" s="100"/>
      <c r="AM74" s="100"/>
      <c r="AN74" s="100"/>
      <c r="AO74" s="100"/>
      <c r="AP74" s="100"/>
      <c r="AQ74" s="100"/>
      <c r="AR74" s="100"/>
      <c r="AS74" s="100"/>
      <c r="AT74" s="100"/>
      <c r="AU74" s="100"/>
      <c r="AV74" s="100"/>
      <c r="AW74" s="100"/>
      <c r="AX74" s="100"/>
      <c r="AY74" s="100"/>
      <c r="AZ74" s="100"/>
      <c r="BA74" s="100"/>
      <c r="BB74" s="100"/>
      <c r="BC74" s="100"/>
      <c r="BD74" s="100"/>
      <c r="BE74" s="100"/>
      <c r="BF74" s="100"/>
      <c r="BG74" s="100"/>
      <c r="BH74" s="100"/>
    </row>
    <row r="75" spans="1:60" ht="40.5" customHeight="1" x14ac:dyDescent="0.3">
      <c r="A75" s="1063" t="s">
        <v>1299</v>
      </c>
      <c r="B75" s="2788" t="s">
        <v>1258</v>
      </c>
      <c r="C75" s="2789"/>
      <c r="D75" s="2789"/>
      <c r="E75" s="2789"/>
      <c r="F75" s="2789"/>
      <c r="G75" s="2789"/>
      <c r="H75" s="2789"/>
      <c r="I75" s="2789"/>
      <c r="J75" s="2789"/>
      <c r="K75" s="2789"/>
      <c r="L75" s="2789"/>
      <c r="M75" s="2789"/>
    </row>
    <row r="76" spans="1:60" ht="30" customHeight="1" x14ac:dyDescent="0.3">
      <c r="A76" s="1063" t="s">
        <v>1299</v>
      </c>
      <c r="B76" s="2790" t="s">
        <v>1165</v>
      </c>
      <c r="C76" s="2790"/>
      <c r="D76" s="2790"/>
      <c r="E76" s="2790"/>
      <c r="F76" s="2790"/>
      <c r="G76" s="2790"/>
      <c r="H76" s="2790"/>
      <c r="I76" s="2790"/>
      <c r="J76" s="2790"/>
      <c r="K76" s="2790"/>
      <c r="L76" s="2790"/>
      <c r="M76" s="2790"/>
      <c r="R76" s="1296">
        <v>1</v>
      </c>
    </row>
    <row r="77" spans="1:60" ht="9" customHeight="1" x14ac:dyDescent="0.3">
      <c r="A77" s="1063" t="s">
        <v>1299</v>
      </c>
      <c r="B77" s="629"/>
      <c r="C77" s="629"/>
      <c r="D77" s="629"/>
      <c r="E77" s="629"/>
      <c r="F77" s="629"/>
      <c r="G77" s="629"/>
      <c r="H77" s="629"/>
      <c r="I77" s="629"/>
      <c r="J77" s="629"/>
      <c r="K77" s="630"/>
      <c r="L77" s="630"/>
      <c r="M77" s="626"/>
    </row>
    <row r="78" spans="1:60" ht="42" customHeight="1" x14ac:dyDescent="0.3">
      <c r="A78" s="1063" t="s">
        <v>1299</v>
      </c>
      <c r="B78" s="2791" t="s">
        <v>1166</v>
      </c>
      <c r="C78" s="2791"/>
      <c r="D78" s="2791"/>
      <c r="E78" s="2791"/>
      <c r="F78" s="2791"/>
      <c r="G78" s="2791"/>
      <c r="H78" s="2791"/>
      <c r="I78" s="2791"/>
      <c r="J78" s="2791"/>
      <c r="K78" s="2791"/>
      <c r="L78" s="2791"/>
      <c r="M78" s="2791"/>
    </row>
    <row r="79" spans="1:60" ht="9" customHeight="1" x14ac:dyDescent="0.3">
      <c r="A79" s="1063" t="s">
        <v>1299</v>
      </c>
      <c r="B79" s="629"/>
      <c r="C79" s="629"/>
      <c r="D79" s="629"/>
      <c r="E79" s="629"/>
      <c r="F79" s="629"/>
      <c r="G79" s="629"/>
      <c r="H79" s="629"/>
      <c r="I79" s="629"/>
      <c r="J79" s="629"/>
      <c r="K79" s="630"/>
      <c r="L79" s="630"/>
      <c r="M79" s="626"/>
    </row>
    <row r="80" spans="1:60" ht="34.5" customHeight="1" x14ac:dyDescent="0.3">
      <c r="A80" s="1063" t="s">
        <v>1299</v>
      </c>
      <c r="B80" s="2791" t="s">
        <v>1167</v>
      </c>
      <c r="C80" s="2791"/>
      <c r="D80" s="2791"/>
      <c r="E80" s="2791"/>
      <c r="F80" s="2791"/>
      <c r="G80" s="2791"/>
      <c r="H80" s="2791"/>
      <c r="I80" s="2791"/>
      <c r="J80" s="2791"/>
      <c r="K80" s="2791"/>
      <c r="L80" s="2791"/>
      <c r="M80" s="2791"/>
    </row>
    <row r="81" spans="1:61" ht="9" customHeight="1" x14ac:dyDescent="0.3">
      <c r="A81" s="1063" t="s">
        <v>1299</v>
      </c>
      <c r="B81" s="629"/>
      <c r="C81" s="629"/>
      <c r="D81" s="629"/>
      <c r="E81" s="629"/>
      <c r="F81" s="629"/>
      <c r="G81" s="629"/>
      <c r="H81" s="629"/>
      <c r="I81" s="629"/>
      <c r="J81" s="629"/>
      <c r="K81" s="630"/>
      <c r="L81" s="630"/>
      <c r="M81" s="626"/>
    </row>
    <row r="82" spans="1:61" ht="30" customHeight="1" x14ac:dyDescent="0.3">
      <c r="A82" s="1063" t="s">
        <v>1299</v>
      </c>
      <c r="B82" s="2791" t="s">
        <v>1168</v>
      </c>
      <c r="C82" s="2791"/>
      <c r="D82" s="2791"/>
      <c r="E82" s="2791"/>
      <c r="F82" s="2791"/>
      <c r="G82" s="2791"/>
      <c r="H82" s="2791"/>
      <c r="I82" s="2791"/>
      <c r="J82" s="2791"/>
      <c r="K82" s="2791"/>
      <c r="L82" s="2791"/>
      <c r="M82" s="2791"/>
    </row>
    <row r="83" spans="1:61" ht="14.25" customHeight="1" x14ac:dyDescent="0.3">
      <c r="A83" s="1063" t="s">
        <v>1299</v>
      </c>
      <c r="B83" s="1997"/>
      <c r="C83" s="1997"/>
      <c r="D83" s="1997"/>
      <c r="E83" s="1997"/>
      <c r="F83" s="1997"/>
      <c r="G83" s="1997"/>
      <c r="H83" s="1997"/>
      <c r="I83" s="1997"/>
      <c r="J83" s="1997"/>
      <c r="K83" s="1997"/>
      <c r="L83" s="2800"/>
      <c r="M83" s="2800"/>
    </row>
    <row r="84" spans="1:61" ht="33" customHeight="1" x14ac:dyDescent="0.3">
      <c r="A84" s="1063" t="s">
        <v>1299</v>
      </c>
      <c r="B84" s="542"/>
      <c r="C84" s="547"/>
      <c r="D84" s="547"/>
      <c r="E84" s="547"/>
      <c r="F84" s="547"/>
      <c r="G84" s="547"/>
      <c r="H84" s="547"/>
      <c r="I84" s="547"/>
      <c r="J84" s="547"/>
      <c r="K84" s="547"/>
      <c r="L84" s="527"/>
      <c r="M84" s="527"/>
    </row>
    <row r="85" spans="1:61" s="750" customFormat="1" ht="33.75" customHeight="1" x14ac:dyDescent="0.3">
      <c r="A85" s="1063" t="s">
        <v>1299</v>
      </c>
      <c r="B85" s="26" t="s">
        <v>1120</v>
      </c>
      <c r="E85" s="31"/>
      <c r="H85" s="31"/>
      <c r="I85" s="31"/>
      <c r="J85" s="31"/>
      <c r="M85" s="31"/>
      <c r="N85" s="31"/>
      <c r="O85" s="31"/>
      <c r="Q85" s="100"/>
      <c r="R85" s="100"/>
      <c r="T85" s="100"/>
      <c r="U85" s="100"/>
      <c r="V85" s="100"/>
      <c r="W85" s="100"/>
      <c r="X85" s="100"/>
      <c r="Y85" s="100"/>
      <c r="Z85" s="100"/>
      <c r="AA85" s="100"/>
      <c r="AB85" s="100"/>
      <c r="AC85" s="100"/>
      <c r="AD85" s="100"/>
      <c r="AE85" s="100"/>
      <c r="AF85" s="100"/>
      <c r="AG85" s="100"/>
      <c r="AH85" s="100"/>
      <c r="AI85" s="100"/>
      <c r="AJ85" s="100"/>
      <c r="AK85" s="100"/>
      <c r="AL85" s="100"/>
      <c r="AM85" s="100"/>
      <c r="AN85" s="100"/>
      <c r="AO85" s="100"/>
      <c r="AP85" s="100"/>
      <c r="AQ85" s="100"/>
      <c r="AR85" s="100"/>
      <c r="AS85" s="100"/>
      <c r="AT85" s="100"/>
      <c r="AU85" s="100"/>
      <c r="AV85" s="100"/>
      <c r="AW85" s="100"/>
      <c r="AX85" s="100"/>
      <c r="AY85" s="100"/>
      <c r="AZ85" s="100"/>
      <c r="BA85" s="100"/>
      <c r="BB85" s="100"/>
      <c r="BC85" s="100"/>
      <c r="BD85" s="100"/>
      <c r="BE85" s="100"/>
      <c r="BF85" s="100"/>
      <c r="BG85" s="100"/>
      <c r="BH85" s="100"/>
    </row>
    <row r="86" spans="1:61" ht="21" customHeight="1" x14ac:dyDescent="0.3">
      <c r="A86" s="1063" t="s">
        <v>1299</v>
      </c>
      <c r="B86" s="956" t="s">
        <v>1261</v>
      </c>
      <c r="C86" s="956"/>
      <c r="D86" s="956"/>
      <c r="E86" s="956"/>
      <c r="F86" s="956"/>
      <c r="G86" s="956"/>
      <c r="H86" s="956"/>
      <c r="I86" s="956"/>
      <c r="J86" s="956"/>
      <c r="K86" s="956"/>
      <c r="L86" s="956"/>
      <c r="M86" s="957"/>
    </row>
    <row r="87" spans="1:61" ht="33.75" customHeight="1" x14ac:dyDescent="0.3">
      <c r="A87" s="1063" t="s">
        <v>1299</v>
      </c>
      <c r="B87" s="2697" t="s">
        <v>1169</v>
      </c>
      <c r="C87" s="2697"/>
      <c r="D87" s="2697"/>
      <c r="E87" s="2697"/>
      <c r="F87" s="2697"/>
      <c r="G87" s="2697"/>
      <c r="H87" s="2697"/>
      <c r="I87" s="2697"/>
      <c r="J87" s="2697"/>
      <c r="K87" s="2697"/>
      <c r="L87" s="2697"/>
      <c r="M87" s="2697"/>
    </row>
    <row r="88" spans="1:61" ht="32.25" hidden="1" customHeight="1" x14ac:dyDescent="0.3">
      <c r="A88" s="1063" t="s">
        <v>1299</v>
      </c>
      <c r="B88" s="2697" t="s">
        <v>1191</v>
      </c>
      <c r="C88" s="2697"/>
      <c r="D88" s="2697"/>
      <c r="E88" s="2697"/>
      <c r="F88" s="2697"/>
      <c r="G88" s="2697"/>
      <c r="H88" s="2697"/>
      <c r="I88" s="2697"/>
      <c r="J88" s="2697"/>
      <c r="K88" s="2697"/>
      <c r="L88" s="2697"/>
      <c r="M88" s="2697"/>
    </row>
    <row r="89" spans="1:61" ht="33" hidden="1" customHeight="1" x14ac:dyDescent="0.3">
      <c r="A89" s="1063" t="s">
        <v>1299</v>
      </c>
      <c r="B89" s="2697" t="s">
        <v>1170</v>
      </c>
      <c r="C89" s="2697"/>
      <c r="D89" s="2697"/>
      <c r="E89" s="2697"/>
      <c r="F89" s="2697"/>
      <c r="G89" s="2697"/>
      <c r="H89" s="2697"/>
      <c r="I89" s="2697"/>
      <c r="J89" s="2697"/>
      <c r="K89" s="2697"/>
      <c r="L89" s="2697"/>
      <c r="M89" s="2697"/>
    </row>
    <row r="90" spans="1:61" ht="33" hidden="1" customHeight="1" x14ac:dyDescent="0.3">
      <c r="A90" s="1063" t="s">
        <v>1299</v>
      </c>
      <c r="B90" s="2697" t="s">
        <v>1194</v>
      </c>
      <c r="C90" s="2697"/>
      <c r="D90" s="2697"/>
      <c r="E90" s="2697"/>
      <c r="F90" s="2697"/>
      <c r="G90" s="2697"/>
      <c r="H90" s="2697"/>
      <c r="I90" s="2697"/>
      <c r="J90" s="2697"/>
      <c r="K90" s="2697"/>
      <c r="L90" s="2697"/>
      <c r="M90" s="2697"/>
    </row>
    <row r="91" spans="1:61" ht="33" hidden="1" customHeight="1" x14ac:dyDescent="0.3">
      <c r="A91" s="1063" t="s">
        <v>1299</v>
      </c>
      <c r="B91" s="2697" t="s">
        <v>1171</v>
      </c>
      <c r="C91" s="2695"/>
      <c r="D91" s="2695"/>
      <c r="E91" s="2695"/>
      <c r="F91" s="2695"/>
      <c r="G91" s="2695"/>
      <c r="H91" s="2695"/>
      <c r="I91" s="2695"/>
      <c r="J91" s="2695"/>
      <c r="K91" s="2695"/>
      <c r="L91" s="2695"/>
      <c r="M91" s="2695"/>
    </row>
    <row r="92" spans="1:61" ht="45" hidden="1" customHeight="1" x14ac:dyDescent="0.3">
      <c r="A92" s="1063" t="s">
        <v>1299</v>
      </c>
      <c r="B92" s="2697" t="s">
        <v>1290</v>
      </c>
      <c r="C92" s="2695"/>
      <c r="D92" s="2695"/>
      <c r="E92" s="2695"/>
      <c r="F92" s="2695"/>
      <c r="G92" s="2695"/>
      <c r="H92" s="2695"/>
      <c r="I92" s="2695"/>
      <c r="J92" s="2695"/>
      <c r="K92" s="2695"/>
      <c r="L92" s="2695"/>
      <c r="M92" s="2695"/>
    </row>
    <row r="93" spans="1:61" ht="15" customHeight="1" x14ac:dyDescent="0.3">
      <c r="A93" s="1063" t="s">
        <v>1299</v>
      </c>
      <c r="B93" s="544"/>
      <c r="C93" s="564"/>
      <c r="D93" s="564"/>
      <c r="E93" s="564"/>
      <c r="F93" s="564"/>
      <c r="G93" s="564"/>
      <c r="H93" s="564"/>
      <c r="I93" s="564"/>
      <c r="J93" s="564"/>
      <c r="K93" s="564"/>
      <c r="L93" s="564"/>
      <c r="M93" s="564"/>
      <c r="BF93" s="2875" t="s">
        <v>2186</v>
      </c>
      <c r="BG93" s="2875"/>
      <c r="BH93" s="2875"/>
      <c r="BI93" s="2875"/>
    </row>
    <row r="94" spans="1:61" ht="92.25" customHeight="1" x14ac:dyDescent="0.3">
      <c r="A94" s="1063" t="s">
        <v>1299</v>
      </c>
      <c r="B94" s="2700" t="s">
        <v>457</v>
      </c>
      <c r="C94" s="2700"/>
      <c r="D94" s="1147" t="s">
        <v>456</v>
      </c>
      <c r="E94" s="966" t="s">
        <v>444</v>
      </c>
      <c r="F94" s="966" t="s">
        <v>1264</v>
      </c>
      <c r="G94" s="1148" t="s">
        <v>463</v>
      </c>
      <c r="H94" s="1148" t="s">
        <v>462</v>
      </c>
      <c r="I94" s="1148" t="s">
        <v>461</v>
      </c>
      <c r="J94" s="1148" t="s">
        <v>460</v>
      </c>
      <c r="K94" s="2700" t="s">
        <v>483</v>
      </c>
      <c r="L94" s="2698"/>
      <c r="M94" s="2699"/>
      <c r="BF94" s="1956" t="s">
        <v>2232</v>
      </c>
      <c r="BG94" s="1956" t="s">
        <v>2233</v>
      </c>
      <c r="BH94" s="1956" t="s">
        <v>2234</v>
      </c>
      <c r="BI94" s="1956" t="s">
        <v>2235</v>
      </c>
    </row>
    <row r="95" spans="1:61" ht="18.75" hidden="1" customHeight="1" x14ac:dyDescent="0.3">
      <c r="A95" s="1063" t="s">
        <v>1299</v>
      </c>
      <c r="B95" s="1100" t="s">
        <v>1791</v>
      </c>
      <c r="C95" s="1100"/>
      <c r="D95" s="1149" t="s">
        <v>1792</v>
      </c>
      <c r="E95" s="1100" t="s">
        <v>1765</v>
      </c>
      <c r="F95" s="1100" t="s">
        <v>1793</v>
      </c>
      <c r="G95" s="1100" t="s">
        <v>1794</v>
      </c>
      <c r="H95" s="1100" t="s">
        <v>1795</v>
      </c>
      <c r="I95" s="1100" t="s">
        <v>1796</v>
      </c>
      <c r="J95" s="1100" t="s">
        <v>1797</v>
      </c>
      <c r="K95" s="1093" t="s">
        <v>1798</v>
      </c>
      <c r="L95" s="1150"/>
      <c r="M95" s="1151"/>
      <c r="Q95" s="1297" t="s">
        <v>1776</v>
      </c>
      <c r="R95" s="1297" t="s">
        <v>1777</v>
      </c>
      <c r="S95" s="1297" t="s">
        <v>1386</v>
      </c>
    </row>
    <row r="96" spans="1:61" ht="15.75" customHeight="1" x14ac:dyDescent="0.3">
      <c r="A96" s="1063" t="s">
        <v>1299</v>
      </c>
      <c r="B96" s="2794" t="s">
        <v>482</v>
      </c>
      <c r="C96" s="2795"/>
      <c r="D96" s="2796"/>
      <c r="E96" s="2797" t="s">
        <v>464</v>
      </c>
      <c r="F96" s="1132" t="str">
        <f>IFERROR(IF(ISBLANK(E96),"","Consumption (" &amp; VLOOKUP($E96,PO_Enrgy_1_Table,MATCH($C$16,PO_Enrgy_1_Hdr,0),FALSE) &amp; ")"),"")</f>
        <v>Consumption (kWh)</v>
      </c>
      <c r="G96" s="1152">
        <v>400383</v>
      </c>
      <c r="H96" s="1152">
        <v>395044.64</v>
      </c>
      <c r="I96" s="1152">
        <v>392827.64</v>
      </c>
      <c r="J96" s="1152">
        <v>395173.01</v>
      </c>
      <c r="K96" s="2798">
        <f t="shared" ref="K96:K97" si="2">IFERROR(AVERAGE(G96,H96,I96,J96),"")</f>
        <v>395857.07250000001</v>
      </c>
      <c r="L96" s="2798"/>
      <c r="M96" s="2799"/>
      <c r="Q96" s="1296">
        <f t="shared" ref="Q96:Q143" si="3">IFERROR(IF(ISBLANK($E96),"",VLOOKUP($E96,PO_Enrgy_1_Table,MATCH($K$16,PO_Enrgy_1_Hdr,0),FALSE)),"")</f>
        <v>9.999999999999998E-4</v>
      </c>
      <c r="R96" s="1296">
        <f t="shared" ref="R96:R143" si="4">IFERROR(IF(ISBLANK($E96),"",VLOOKUP($E96,PO_Enrgy_1_Table,MATCH($M$16,PO_Enrgy_1_Hdr,0),FALSE)),"")</f>
        <v>3.1399999999999996E-3</v>
      </c>
      <c r="S96" s="1296">
        <f t="shared" ref="S96:S127" si="5">IFERROR(IF(FIND("Consumption",F96),(K96*VLOOKUP(MID(F96,FIND("(",F96)+1,LEN(F96)-FIND("(",F96)-1),EnergyUnitsTable,3,FALSE))/(K97*VLOOKUP(MID(F97,FIND("(",F97)+1,LEN(F97)-FIND("(",F97)-1),DemandTable,3,FALSE)),1),"")</f>
        <v>2846.4335547426231</v>
      </c>
      <c r="BC96" s="1906"/>
      <c r="BF96" s="1957" t="s">
        <v>2188</v>
      </c>
      <c r="BG96" s="1957" t="s">
        <v>2170</v>
      </c>
      <c r="BH96" s="1957" t="s">
        <v>464</v>
      </c>
      <c r="BI96" s="1957">
        <f>IF(BG96&lt;&gt;"",IFERROR(MATCH(BG96&amp;BH96,'Results from Trace'!$L$1:$L$21,0),""),"")</f>
        <v>7</v>
      </c>
    </row>
    <row r="97" spans="1:61" ht="16.2" customHeight="1" x14ac:dyDescent="0.3">
      <c r="A97" s="1063" t="s">
        <v>1299</v>
      </c>
      <c r="B97" s="2795"/>
      <c r="C97" s="2795"/>
      <c r="D97" s="2796"/>
      <c r="E97" s="2797"/>
      <c r="F97" s="1132" t="str">
        <f>IFERROR(IF(ISBLANK(E96),"","Demand (" &amp; VLOOKUP($E96,PO_Enrgy_1_Table,MATCH($E$16,PO_Enrgy_1_Hdr,0),FALSE) &amp; ")"),"")</f>
        <v>Demand (kW)</v>
      </c>
      <c r="G97" s="1152">
        <v>138.67500000000001</v>
      </c>
      <c r="H97" s="1152">
        <v>138.22999999999999</v>
      </c>
      <c r="I97" s="1152">
        <v>140.57</v>
      </c>
      <c r="J97" s="1152">
        <v>138.81</v>
      </c>
      <c r="K97" s="2798">
        <f t="shared" si="2"/>
        <v>139.07124999999999</v>
      </c>
      <c r="L97" s="2798"/>
      <c r="M97" s="2799"/>
      <c r="Q97" s="1296" t="str">
        <f t="shared" si="3"/>
        <v/>
      </c>
      <c r="R97" s="1296" t="str">
        <f t="shared" si="4"/>
        <v/>
      </c>
      <c r="S97" s="1296" t="str">
        <f t="shared" si="5"/>
        <v/>
      </c>
      <c r="BC97" s="1906"/>
      <c r="BF97" s="1957" t="s">
        <v>1284</v>
      </c>
      <c r="BG97" s="1957"/>
      <c r="BH97" s="1957"/>
      <c r="BI97" s="1957"/>
    </row>
    <row r="98" spans="1:61" ht="16.2" customHeight="1" x14ac:dyDescent="0.3">
      <c r="A98" s="1063" t="s">
        <v>1299</v>
      </c>
      <c r="B98" s="2794" t="s">
        <v>481</v>
      </c>
      <c r="C98" s="2794"/>
      <c r="D98" s="2796"/>
      <c r="E98" s="2797" t="s">
        <v>464</v>
      </c>
      <c r="F98" s="1132" t="str">
        <f>IFERROR(IF(ISBLANK(E98),"","Consumption (" &amp; VLOOKUP($E98,PO_Enrgy_1_Table,MATCH($C$16,PO_Enrgy_1_Hdr,0),FALSE) &amp; ")"),"")</f>
        <v>Consumption (kWh)</v>
      </c>
      <c r="G98" s="1152">
        <v>271545.75</v>
      </c>
      <c r="H98" s="1152">
        <v>271545.75</v>
      </c>
      <c r="I98" s="1152">
        <v>271545.75</v>
      </c>
      <c r="J98" s="1152">
        <v>271545.75</v>
      </c>
      <c r="K98" s="2798">
        <f t="shared" ref="K98:K143" si="6">IFERROR(AVERAGE(G98,H98,I98,J98),"")</f>
        <v>271545.75</v>
      </c>
      <c r="L98" s="2798"/>
      <c r="M98" s="2799"/>
      <c r="Q98" s="1296">
        <f t="shared" si="3"/>
        <v>9.999999999999998E-4</v>
      </c>
      <c r="R98" s="1296">
        <f t="shared" si="4"/>
        <v>3.1399999999999996E-3</v>
      </c>
      <c r="S98" s="1296">
        <f t="shared" si="5"/>
        <v>4364.0034391874524</v>
      </c>
      <c r="BC98" s="1906"/>
      <c r="BF98" s="1957" t="s">
        <v>2189</v>
      </c>
      <c r="BG98" s="1957" t="s">
        <v>2177</v>
      </c>
      <c r="BH98" s="1957" t="s">
        <v>464</v>
      </c>
      <c r="BI98" s="1957">
        <f>IF(BG98&lt;&gt;"",IFERROR(MATCH(BG98&amp;BH98,'Results from Trace'!$L$1:$L$21,0),""),"")</f>
        <v>15</v>
      </c>
    </row>
    <row r="99" spans="1:61" ht="16.2" customHeight="1" x14ac:dyDescent="0.3">
      <c r="A99" s="1063" t="s">
        <v>1299</v>
      </c>
      <c r="B99" s="2794"/>
      <c r="C99" s="2794"/>
      <c r="D99" s="2796"/>
      <c r="E99" s="2797"/>
      <c r="F99" s="1132" t="str">
        <f>IFERROR(IF(ISBLANK(E98),"","Demand (" &amp; VLOOKUP($E98,PO_Enrgy_1_Table,MATCH($E$16,PO_Enrgy_1_Hdr,0),FALSE) &amp; ")"),"")</f>
        <v>Demand (kW)</v>
      </c>
      <c r="G99" s="1152">
        <v>62.223999999999997</v>
      </c>
      <c r="H99" s="1152">
        <v>62.223999999999997</v>
      </c>
      <c r="I99" s="1152">
        <v>62.223999999999997</v>
      </c>
      <c r="J99" s="1152">
        <v>62.223999999999997</v>
      </c>
      <c r="K99" s="2798">
        <f t="shared" si="6"/>
        <v>62.223999999999997</v>
      </c>
      <c r="L99" s="2798"/>
      <c r="M99" s="2799"/>
      <c r="Q99" s="1296" t="str">
        <f t="shared" si="3"/>
        <v/>
      </c>
      <c r="R99" s="1296" t="str">
        <f t="shared" si="4"/>
        <v/>
      </c>
      <c r="S99" s="1296" t="str">
        <f t="shared" si="5"/>
        <v/>
      </c>
      <c r="BC99" s="1906"/>
      <c r="BF99" s="1957" t="s">
        <v>2190</v>
      </c>
      <c r="BG99" s="1957"/>
      <c r="BH99" s="1957"/>
      <c r="BI99" s="1957"/>
    </row>
    <row r="100" spans="1:61" ht="16.2" customHeight="1" x14ac:dyDescent="0.3">
      <c r="A100" s="1063" t="s">
        <v>1299</v>
      </c>
      <c r="B100" s="2794" t="s">
        <v>480</v>
      </c>
      <c r="C100" s="2794"/>
      <c r="D100" s="2796"/>
      <c r="E100" s="2797" t="s">
        <v>464</v>
      </c>
      <c r="F100" s="1132" t="str">
        <f>IFERROR(IF(ISBLANK(E100),"","Consumption (" &amp; VLOOKUP($E100,PO_Enrgy_1_Table,MATCH($C$16,PO_Enrgy_1_Hdr,0),FALSE) &amp; ")"),"")</f>
        <v>Consumption (kWh)</v>
      </c>
      <c r="G100" s="1152">
        <v>37499.74</v>
      </c>
      <c r="H100" s="1152">
        <v>34529.85</v>
      </c>
      <c r="I100" s="1152">
        <v>28660.28</v>
      </c>
      <c r="J100" s="1152">
        <v>34172.75</v>
      </c>
      <c r="K100" s="2798">
        <f t="shared" ref="K100:K101" si="7">IFERROR(AVERAGE(G100,H100,I100,J100),"")</f>
        <v>33715.654999999999</v>
      </c>
      <c r="L100" s="2798"/>
      <c r="M100" s="2799"/>
      <c r="Q100" s="1296">
        <f t="shared" si="3"/>
        <v>9.999999999999998E-4</v>
      </c>
      <c r="R100" s="1296">
        <f t="shared" si="4"/>
        <v>3.1399999999999996E-3</v>
      </c>
      <c r="S100" s="1296">
        <f t="shared" si="5"/>
        <v>71.906021732407737</v>
      </c>
      <c r="BC100" s="1906"/>
      <c r="BF100" s="1957" t="s">
        <v>2191</v>
      </c>
      <c r="BG100" s="1957" t="s">
        <v>2171</v>
      </c>
      <c r="BH100" s="1957" t="s">
        <v>2172</v>
      </c>
      <c r="BI100" s="1957">
        <f>IF(BG100&lt;&gt;"",IFERROR(MATCH(BG100&amp;BH100,'Results from Trace'!$L$1:$L$21,0),""),"")</f>
        <v>9</v>
      </c>
    </row>
    <row r="101" spans="1:61" ht="16.2" customHeight="1" x14ac:dyDescent="0.3">
      <c r="A101" s="1063" t="s">
        <v>1299</v>
      </c>
      <c r="B101" s="2794"/>
      <c r="C101" s="2794"/>
      <c r="D101" s="2796"/>
      <c r="E101" s="2797"/>
      <c r="F101" s="1132" t="str">
        <f>IFERROR(IF(ISBLANK(E100),"","Demand (" &amp; VLOOKUP($E100,PO_Enrgy_1_Table,MATCH($E$16,PO_Enrgy_1_Hdr,0),FALSE) &amp; ")"),"")</f>
        <v>Demand (kW)</v>
      </c>
      <c r="G101" s="1152">
        <v>486.83</v>
      </c>
      <c r="H101" s="1152">
        <v>459.79</v>
      </c>
      <c r="I101" s="1152">
        <v>451.38</v>
      </c>
      <c r="J101" s="1152">
        <v>477.54</v>
      </c>
      <c r="K101" s="2798">
        <f t="shared" si="7"/>
        <v>468.88499999999999</v>
      </c>
      <c r="L101" s="2798"/>
      <c r="M101" s="2799"/>
      <c r="Q101" s="1296" t="str">
        <f t="shared" si="3"/>
        <v/>
      </c>
      <c r="R101" s="1296" t="str">
        <f t="shared" si="4"/>
        <v/>
      </c>
      <c r="S101" s="1296" t="str">
        <f t="shared" si="5"/>
        <v/>
      </c>
      <c r="BC101" s="1906"/>
      <c r="BF101" s="1957"/>
      <c r="BG101" s="1957"/>
      <c r="BH101" s="1957"/>
      <c r="BI101" s="1957"/>
    </row>
    <row r="102" spans="1:61" ht="16.2" customHeight="1" x14ac:dyDescent="0.3">
      <c r="A102" s="1063" t="s">
        <v>1299</v>
      </c>
      <c r="B102" s="2794" t="s">
        <v>479</v>
      </c>
      <c r="C102" s="2794"/>
      <c r="D102" s="2796"/>
      <c r="E102" s="2797" t="s">
        <v>464</v>
      </c>
      <c r="F102" s="1132" t="str">
        <f>IFERROR(IF(ISBLANK(E102),"","Consumption (" &amp; VLOOKUP($E102,PO_Enrgy_1_Table,MATCH($C$16,PO_Enrgy_1_Hdr,0),FALSE) &amp; ")"),"")</f>
        <v>Consumption (kWh)</v>
      </c>
      <c r="G102" s="1152">
        <v>1038614.76</v>
      </c>
      <c r="H102" s="1152">
        <v>1040374.87</v>
      </c>
      <c r="I102" s="1152">
        <v>1047667.28</v>
      </c>
      <c r="J102" s="1152">
        <v>1037030.45</v>
      </c>
      <c r="K102" s="2798">
        <f t="shared" si="6"/>
        <v>1040921.8400000001</v>
      </c>
      <c r="L102" s="2798"/>
      <c r="M102" s="2799"/>
      <c r="Q102" s="1296">
        <f t="shared" si="3"/>
        <v>9.999999999999998E-4</v>
      </c>
      <c r="R102" s="1296">
        <f t="shared" si="4"/>
        <v>3.1399999999999996E-3</v>
      </c>
      <c r="S102" s="1296">
        <f t="shared" si="5"/>
        <v>1541.6781856891607</v>
      </c>
      <c r="BC102" s="1906"/>
      <c r="BF102" s="1957" t="s">
        <v>2192</v>
      </c>
      <c r="BG102" s="1957" t="s">
        <v>2173</v>
      </c>
      <c r="BH102" s="1957" t="s">
        <v>464</v>
      </c>
      <c r="BI102" s="1957">
        <f>IF(BG102&lt;&gt;"",IFERROR(MATCH(BG102&amp;BH102,'Results from Trace'!$L$1:$L$21,0),""),"")</f>
        <v>10</v>
      </c>
    </row>
    <row r="103" spans="1:61" ht="16.2" customHeight="1" x14ac:dyDescent="0.3">
      <c r="A103" s="1063" t="s">
        <v>1299</v>
      </c>
      <c r="B103" s="2794"/>
      <c r="C103" s="2794"/>
      <c r="D103" s="2796"/>
      <c r="E103" s="2797"/>
      <c r="F103" s="1132" t="str">
        <f>IFERROR(IF(ISBLANK(E102),"","Demand (" &amp; VLOOKUP($E102,PO_Enrgy_1_Table,MATCH($E$16,PO_Enrgy_1_Hdr,0),FALSE) &amp; ")"),"")</f>
        <v>Demand (kW)</v>
      </c>
      <c r="G103" s="1152">
        <v>679.03</v>
      </c>
      <c r="H103" s="1152">
        <v>684</v>
      </c>
      <c r="I103" s="1152">
        <v>671.53</v>
      </c>
      <c r="J103" s="1152">
        <v>666.19</v>
      </c>
      <c r="K103" s="2798">
        <f t="shared" si="6"/>
        <v>675.1875</v>
      </c>
      <c r="L103" s="2798"/>
      <c r="M103" s="2799"/>
      <c r="Q103" s="1296" t="str">
        <f t="shared" si="3"/>
        <v/>
      </c>
      <c r="R103" s="1296" t="str">
        <f t="shared" si="4"/>
        <v/>
      </c>
      <c r="S103" s="1296" t="str">
        <f t="shared" si="5"/>
        <v/>
      </c>
      <c r="BC103" s="1906"/>
      <c r="BF103" s="1957" t="s">
        <v>2193</v>
      </c>
      <c r="BG103" s="1957"/>
      <c r="BH103" s="1957"/>
      <c r="BI103" s="1957"/>
    </row>
    <row r="104" spans="1:61" ht="16.2" customHeight="1" x14ac:dyDescent="0.3">
      <c r="A104" s="1063" t="s">
        <v>1299</v>
      </c>
      <c r="B104" s="2794" t="s">
        <v>477</v>
      </c>
      <c r="C104" s="2794"/>
      <c r="D104" s="2796"/>
      <c r="E104" s="2797" t="s">
        <v>464</v>
      </c>
      <c r="F104" s="1132" t="str">
        <f>IFERROR(IF(ISBLANK(E104),"","Consumption (" &amp; VLOOKUP($E104,PO_Enrgy_1_Table,MATCH($C$16,PO_Enrgy_1_Hdr,0),FALSE) &amp; ")"),"")</f>
        <v>Consumption (kWh)</v>
      </c>
      <c r="G104" s="1152">
        <v>308572.5</v>
      </c>
      <c r="H104" s="1152">
        <v>312003.19</v>
      </c>
      <c r="I104" s="1152">
        <v>312189.27</v>
      </c>
      <c r="J104" s="1152">
        <v>309814.59000000003</v>
      </c>
      <c r="K104" s="2798">
        <f t="shared" si="6"/>
        <v>310644.88750000001</v>
      </c>
      <c r="L104" s="2798"/>
      <c r="M104" s="2799"/>
      <c r="Q104" s="1296">
        <f t="shared" si="3"/>
        <v>9.999999999999998E-4</v>
      </c>
      <c r="R104" s="1296">
        <f t="shared" si="4"/>
        <v>3.1399999999999996E-3</v>
      </c>
      <c r="S104" s="1296">
        <f t="shared" si="5"/>
        <v>3194.5382677327302</v>
      </c>
      <c r="BC104" s="1906"/>
      <c r="BF104" s="1957" t="s">
        <v>2194</v>
      </c>
      <c r="BG104" s="1957" t="s">
        <v>477</v>
      </c>
      <c r="BH104" s="1957" t="s">
        <v>464</v>
      </c>
      <c r="BI104" s="1957">
        <f>IF(BG104&lt;&gt;"",IFERROR(MATCH(BG104&amp;BH104,'Results from Trace'!$L$1:$L$21,0),""),"")</f>
        <v>11</v>
      </c>
    </row>
    <row r="105" spans="1:61" ht="16.2" customHeight="1" x14ac:dyDescent="0.3">
      <c r="A105" s="1063" t="s">
        <v>1299</v>
      </c>
      <c r="B105" s="2794"/>
      <c r="C105" s="2794"/>
      <c r="D105" s="2796"/>
      <c r="E105" s="2797"/>
      <c r="F105" s="1132" t="str">
        <f>IFERROR(IF(ISBLANK(E104),"","Demand (" &amp; VLOOKUP($E104,PO_Enrgy_1_Table,MATCH($E$16,PO_Enrgy_1_Hdr,0),FALSE) &amp; ")"),"")</f>
        <v>Demand (kW)</v>
      </c>
      <c r="G105" s="1152">
        <v>96.98</v>
      </c>
      <c r="H105" s="1152">
        <v>97.7</v>
      </c>
      <c r="I105" s="1152">
        <v>97.06</v>
      </c>
      <c r="J105" s="1152">
        <v>97.23</v>
      </c>
      <c r="K105" s="2798">
        <f t="shared" si="6"/>
        <v>97.242500000000007</v>
      </c>
      <c r="L105" s="2798"/>
      <c r="M105" s="2799"/>
      <c r="Q105" s="1296" t="str">
        <f t="shared" si="3"/>
        <v/>
      </c>
      <c r="R105" s="1296" t="str">
        <f t="shared" si="4"/>
        <v/>
      </c>
      <c r="S105" s="1296" t="str">
        <f t="shared" si="5"/>
        <v/>
      </c>
      <c r="BC105" s="1906"/>
      <c r="BF105" s="1957" t="s">
        <v>2195</v>
      </c>
      <c r="BG105" s="1957"/>
      <c r="BH105" s="1957"/>
      <c r="BI105" s="1957"/>
    </row>
    <row r="106" spans="1:61" ht="16.2" customHeight="1" x14ac:dyDescent="0.3">
      <c r="A106" s="1063" t="s">
        <v>1299</v>
      </c>
      <c r="B106" s="2794" t="s">
        <v>476</v>
      </c>
      <c r="C106" s="2794"/>
      <c r="D106" s="2796"/>
      <c r="E106" s="2797" t="s">
        <v>464</v>
      </c>
      <c r="F106" s="1132" t="str">
        <f>IFERROR(IF(ISBLANK(E106),"","Consumption (" &amp; VLOOKUP($E106,PO_Enrgy_1_Table,MATCH($C$16,PO_Enrgy_1_Hdr,0),FALSE) &amp; ")"),"")</f>
        <v>Consumption (kWh)</v>
      </c>
      <c r="G106" s="1152">
        <v>123751.14</v>
      </c>
      <c r="H106" s="1152">
        <v>124205.36</v>
      </c>
      <c r="I106" s="1152">
        <v>126276.2</v>
      </c>
      <c r="J106" s="1152">
        <v>124684.72</v>
      </c>
      <c r="K106" s="2798">
        <f t="shared" si="6"/>
        <v>124729.35500000001</v>
      </c>
      <c r="L106" s="2798"/>
      <c r="M106" s="2799"/>
      <c r="Q106" s="1296">
        <f t="shared" si="3"/>
        <v>9.999999999999998E-4</v>
      </c>
      <c r="R106" s="1296">
        <f t="shared" si="4"/>
        <v>3.1399999999999996E-3</v>
      </c>
      <c r="S106" s="1296">
        <f t="shared" si="5"/>
        <v>2280.5776896072553</v>
      </c>
      <c r="BC106" s="1906"/>
      <c r="BF106" s="1957" t="s">
        <v>2196</v>
      </c>
      <c r="BG106" s="1957" t="s">
        <v>2174</v>
      </c>
      <c r="BH106" s="1957" t="s">
        <v>464</v>
      </c>
      <c r="BI106" s="1957">
        <f>IF(BG106&lt;&gt;"",IFERROR(MATCH(BG106&amp;BH106,'Results from Trace'!$L$1:$L$21,0),""),"")</f>
        <v>12</v>
      </c>
    </row>
    <row r="107" spans="1:61" ht="16.2" customHeight="1" x14ac:dyDescent="0.3">
      <c r="A107" s="1063" t="s">
        <v>1299</v>
      </c>
      <c r="B107" s="2794"/>
      <c r="C107" s="2794"/>
      <c r="D107" s="2796"/>
      <c r="E107" s="2797"/>
      <c r="F107" s="1132" t="str">
        <f>IFERROR(IF(ISBLANK(E106),"","Demand (" &amp; VLOOKUP($E106,PO_Enrgy_1_Table,MATCH($E$16,PO_Enrgy_1_Hdr,0),FALSE) &amp; ")"),"")</f>
        <v>Demand (kW)</v>
      </c>
      <c r="G107" s="1152">
        <v>54.698</v>
      </c>
      <c r="H107" s="1152">
        <v>54.69</v>
      </c>
      <c r="I107" s="1152">
        <v>54.69</v>
      </c>
      <c r="J107" s="1152">
        <v>54.69</v>
      </c>
      <c r="K107" s="2798">
        <f t="shared" si="6"/>
        <v>54.692</v>
      </c>
      <c r="L107" s="2798"/>
      <c r="M107" s="2799"/>
      <c r="Q107" s="1296" t="str">
        <f t="shared" si="3"/>
        <v/>
      </c>
      <c r="R107" s="1296" t="str">
        <f t="shared" si="4"/>
        <v/>
      </c>
      <c r="S107" s="1296" t="str">
        <f t="shared" si="5"/>
        <v/>
      </c>
      <c r="BC107" s="1906"/>
      <c r="BF107" s="1957" t="s">
        <v>2197</v>
      </c>
      <c r="BG107" s="1957"/>
      <c r="BH107" s="1957"/>
      <c r="BI107" s="1957"/>
    </row>
    <row r="108" spans="1:61" ht="16.2" customHeight="1" x14ac:dyDescent="0.3">
      <c r="A108" s="1063" t="s">
        <v>1299</v>
      </c>
      <c r="B108" s="2794" t="s">
        <v>475</v>
      </c>
      <c r="C108" s="2794"/>
      <c r="D108" s="2796"/>
      <c r="E108" s="2797" t="s">
        <v>464</v>
      </c>
      <c r="F108" s="1132" t="str">
        <f>IFERROR(IF(ISBLANK(E108),"","Consumption (" &amp; VLOOKUP($E108,PO_Enrgy_1_Table,MATCH($C$16,PO_Enrgy_1_Hdr,0),FALSE) &amp; ")"),"")</f>
        <v>Consumption (kWh)</v>
      </c>
      <c r="G108" s="1152">
        <v>641875.76</v>
      </c>
      <c r="H108" s="1152">
        <v>642612.1</v>
      </c>
      <c r="I108" s="1152">
        <v>646491.49</v>
      </c>
      <c r="J108" s="1152">
        <v>633048.14</v>
      </c>
      <c r="K108" s="2798">
        <f t="shared" si="6"/>
        <v>641006.87249999994</v>
      </c>
      <c r="L108" s="2798"/>
      <c r="M108" s="2799"/>
      <c r="Q108" s="1296">
        <f t="shared" si="3"/>
        <v>9.999999999999998E-4</v>
      </c>
      <c r="R108" s="1296">
        <f t="shared" si="4"/>
        <v>3.1399999999999996E-3</v>
      </c>
      <c r="S108" s="1296">
        <f t="shared" si="5"/>
        <v>2243.7344038503606</v>
      </c>
      <c r="BC108" s="1906"/>
      <c r="BF108" s="1957" t="s">
        <v>2198</v>
      </c>
      <c r="BG108" s="1957" t="s">
        <v>2175</v>
      </c>
      <c r="BH108" s="1957" t="s">
        <v>464</v>
      </c>
      <c r="BI108" s="1957">
        <f>IF(BG108&lt;&gt;"",IFERROR(MATCH(BG108&amp;BH108,'Results from Trace'!$L$1:$L$21,0),""),"")</f>
        <v>13</v>
      </c>
    </row>
    <row r="109" spans="1:61" ht="16.2" customHeight="1" x14ac:dyDescent="0.3">
      <c r="A109" s="1063" t="s">
        <v>1299</v>
      </c>
      <c r="B109" s="2794"/>
      <c r="C109" s="2794"/>
      <c r="D109" s="2796"/>
      <c r="E109" s="2797"/>
      <c r="F109" s="1132" t="str">
        <f>IFERROR(IF(ISBLANK(E108),"","Demand (" &amp; VLOOKUP($E108,PO_Enrgy_1_Table,MATCH($E$16,PO_Enrgy_1_Hdr,0),FALSE) &amp; ")"),"")</f>
        <v>Demand (kW)</v>
      </c>
      <c r="G109" s="1152">
        <v>278.08999999999997</v>
      </c>
      <c r="H109" s="1152">
        <v>276.7</v>
      </c>
      <c r="I109" s="1152">
        <v>303.10000000000002</v>
      </c>
      <c r="J109" s="1152">
        <v>284.86</v>
      </c>
      <c r="K109" s="2798">
        <f t="shared" si="6"/>
        <v>285.6875</v>
      </c>
      <c r="L109" s="2798"/>
      <c r="M109" s="2799"/>
      <c r="Q109" s="1296" t="str">
        <f t="shared" si="3"/>
        <v/>
      </c>
      <c r="R109" s="1296" t="str">
        <f t="shared" si="4"/>
        <v/>
      </c>
      <c r="S109" s="1296" t="str">
        <f t="shared" si="5"/>
        <v/>
      </c>
      <c r="BC109" s="1906"/>
      <c r="BF109" s="1957" t="s">
        <v>2199</v>
      </c>
      <c r="BG109" s="1957"/>
      <c r="BH109" s="1957"/>
      <c r="BI109" s="1957"/>
    </row>
    <row r="110" spans="1:61" ht="16.2" customHeight="1" x14ac:dyDescent="0.3">
      <c r="A110" s="1063" t="s">
        <v>1299</v>
      </c>
      <c r="B110" s="2794" t="s">
        <v>474</v>
      </c>
      <c r="C110" s="2794"/>
      <c r="D110" s="2796" t="s">
        <v>465</v>
      </c>
      <c r="E110" s="2797" t="s">
        <v>464</v>
      </c>
      <c r="F110" s="1132" t="str">
        <f>IFERROR(IF(ISBLANK(E110),"","Consumption (" &amp; VLOOKUP($E110,PO_Enrgy_1_Table,MATCH($C$16,PO_Enrgy_1_Hdr,0),FALSE) &amp; ")"),"")</f>
        <v>Consumption (kWh)</v>
      </c>
      <c r="G110" s="1152" t="str">
        <f t="shared" ref="G110:G143" ca="1" si="8">IFERROR(IF(SimTool="eQUEST",INDIRECT("'Results from eQUEST'!"&amp;BF110&amp;"8"),IF(SimTool="Trace",INDIRECT("'Results from Trace'!C"&amp;BI110)/$Q110,"")),"")</f>
        <v/>
      </c>
      <c r="H110" s="1152" t="str">
        <f t="shared" ref="H110:H143" ca="1" si="9">IFERROR(IF(SimTool="eQUEST",INDIRECT("'Results from eQUEST'!"&amp;BF110&amp;"9"),IF(SimTool="Trace",INDIRECT("'Results from Trace'!D"&amp;BI110)/$Q110,"")),"")</f>
        <v/>
      </c>
      <c r="I110" s="1152" t="str">
        <f t="shared" ref="I110:I143" ca="1" si="10">IFERROR(IF(SimTool="eQUEST",INDIRECT("'Results from eQUEST'!"&amp;BF110&amp;"10"),IF(SimTool="Trace",INDIRECT("'Results from Trace'!E"&amp;BI110)/$Q110,"")),"")</f>
        <v/>
      </c>
      <c r="J110" s="1152" t="str">
        <f t="shared" ref="J110:J143" ca="1" si="11">IFERROR(IF(SimTool="eQUEST",INDIRECT("'Results from eQUEST'!"&amp;BF110&amp;"11"),IF(SimTool="Trace",INDIRECT("'Results from Trace'!F"&amp;BI110)/$Q110,"")),"")</f>
        <v/>
      </c>
      <c r="K110" s="2798" t="str">
        <f t="shared" ca="1" si="6"/>
        <v/>
      </c>
      <c r="L110" s="2798"/>
      <c r="M110" s="2799"/>
      <c r="Q110" s="1296">
        <f t="shared" si="3"/>
        <v>9.999999999999998E-4</v>
      </c>
      <c r="R110" s="1296">
        <f t="shared" si="4"/>
        <v>3.1399999999999996E-3</v>
      </c>
      <c r="S110" s="1296" t="str">
        <f t="shared" ca="1" si="5"/>
        <v/>
      </c>
      <c r="BC110" s="1906"/>
      <c r="BF110" s="1957"/>
      <c r="BG110" s="1957"/>
      <c r="BH110" s="1957"/>
      <c r="BI110" s="1957"/>
    </row>
    <row r="111" spans="1:61" ht="16.2" customHeight="1" x14ac:dyDescent="0.3">
      <c r="A111" s="1063" t="s">
        <v>1299</v>
      </c>
      <c r="B111" s="2794"/>
      <c r="C111" s="2794"/>
      <c r="D111" s="2796"/>
      <c r="E111" s="2797"/>
      <c r="F111" s="1132" t="str">
        <f>IFERROR(IF(ISBLANK(E110),"","Demand (" &amp; VLOOKUP($E110,PO_Enrgy_1_Table,MATCH($E$16,PO_Enrgy_1_Hdr,0),FALSE) &amp; ")"),"")</f>
        <v>Demand (kW)</v>
      </c>
      <c r="G111" s="1152" t="str">
        <f t="shared" ca="1" si="8"/>
        <v/>
      </c>
      <c r="H111" s="1152" t="str">
        <f t="shared" ca="1" si="9"/>
        <v/>
      </c>
      <c r="I111" s="1152" t="str">
        <f t="shared" ca="1" si="10"/>
        <v/>
      </c>
      <c r="J111" s="1152" t="str">
        <f t="shared" ca="1" si="11"/>
        <v/>
      </c>
      <c r="K111" s="2798" t="str">
        <f t="shared" ca="1" si="6"/>
        <v/>
      </c>
      <c r="L111" s="2798"/>
      <c r="M111" s="2799"/>
      <c r="Q111" s="1296" t="str">
        <f t="shared" si="3"/>
        <v/>
      </c>
      <c r="R111" s="1296" t="str">
        <f t="shared" si="4"/>
        <v/>
      </c>
      <c r="S111" s="1296" t="str">
        <f t="shared" si="5"/>
        <v/>
      </c>
      <c r="BC111" s="1906"/>
      <c r="BF111" s="1957"/>
      <c r="BG111" s="1957"/>
      <c r="BH111" s="1957"/>
      <c r="BI111" s="1957"/>
    </row>
    <row r="112" spans="1:61" ht="16.2" customHeight="1" x14ac:dyDescent="0.3">
      <c r="A112" s="1063" t="s">
        <v>1299</v>
      </c>
      <c r="B112" s="2794" t="s">
        <v>473</v>
      </c>
      <c r="C112" s="2794"/>
      <c r="D112" s="2796"/>
      <c r="E112" s="2797" t="s">
        <v>464</v>
      </c>
      <c r="F112" s="1132" t="str">
        <f>IFERROR(IF(ISBLANK(E112),"","Consumption (" &amp; VLOOKUP($E112,PO_Enrgy_1_Table,MATCH($C$16,PO_Enrgy_1_Hdr,0),FALSE) &amp; ")"),"")</f>
        <v>Consumption (kWh)</v>
      </c>
      <c r="G112" s="1152">
        <v>502975.37</v>
      </c>
      <c r="H112" s="1152">
        <v>502890.65</v>
      </c>
      <c r="I112" s="1152">
        <v>502967.9</v>
      </c>
      <c r="J112" s="1152">
        <v>503075.25</v>
      </c>
      <c r="K112" s="2798">
        <f t="shared" si="6"/>
        <v>502977.29249999998</v>
      </c>
      <c r="L112" s="2798"/>
      <c r="M112" s="2799"/>
      <c r="Q112" s="1296">
        <f t="shared" si="3"/>
        <v>9.999999999999998E-4</v>
      </c>
      <c r="R112" s="1296">
        <f t="shared" si="4"/>
        <v>3.1399999999999996E-3</v>
      </c>
      <c r="S112" s="1296">
        <f t="shared" si="5"/>
        <v>2683.6190076030416</v>
      </c>
      <c r="BC112" s="1906"/>
      <c r="BF112" s="1957" t="s">
        <v>2200</v>
      </c>
      <c r="BG112" s="1957" t="s">
        <v>2177</v>
      </c>
      <c r="BH112" s="1957" t="s">
        <v>2172</v>
      </c>
      <c r="BI112" s="1957">
        <f>IF(BG112&lt;&gt;"",IFERROR(MATCH(BG112&amp;BH112,'Results from Trace'!$L$1:$L$21,0),""),"")</f>
        <v>16</v>
      </c>
    </row>
    <row r="113" spans="1:61" ht="16.2" customHeight="1" x14ac:dyDescent="0.3">
      <c r="A113" s="1063" t="s">
        <v>1299</v>
      </c>
      <c r="B113" s="2794"/>
      <c r="C113" s="2794"/>
      <c r="D113" s="2796"/>
      <c r="E113" s="2797"/>
      <c r="F113" s="1132" t="str">
        <f>IFERROR(IF(ISBLANK(E112),"","Demand (" &amp; VLOOKUP($E112,PO_Enrgy_1_Table,MATCH($E$16,PO_Enrgy_1_Hdr,0),FALSE) &amp; ")"),"")</f>
        <v>Demand (kW)</v>
      </c>
      <c r="G113" s="1152">
        <v>187.42</v>
      </c>
      <c r="H113" s="1152">
        <v>187.45</v>
      </c>
      <c r="I113" s="1152">
        <v>187.43</v>
      </c>
      <c r="J113" s="1152">
        <v>187.4</v>
      </c>
      <c r="K113" s="2798">
        <f t="shared" si="6"/>
        <v>187.42499999999998</v>
      </c>
      <c r="L113" s="2798"/>
      <c r="M113" s="2799"/>
      <c r="Q113" s="1296" t="str">
        <f t="shared" si="3"/>
        <v/>
      </c>
      <c r="R113" s="1296" t="str">
        <f t="shared" si="4"/>
        <v/>
      </c>
      <c r="S113" s="1296" t="str">
        <f t="shared" si="5"/>
        <v/>
      </c>
      <c r="BC113" s="1906"/>
      <c r="BF113" s="1957"/>
      <c r="BG113" s="1957"/>
      <c r="BH113" s="1957"/>
      <c r="BI113" s="1957"/>
    </row>
    <row r="114" spans="1:61" ht="16.2" customHeight="1" x14ac:dyDescent="0.3">
      <c r="A114" s="1063" t="s">
        <v>1299</v>
      </c>
      <c r="B114" s="2794" t="s">
        <v>472</v>
      </c>
      <c r="C114" s="2794"/>
      <c r="D114" s="2796" t="s">
        <v>465</v>
      </c>
      <c r="E114" s="2797" t="s">
        <v>464</v>
      </c>
      <c r="F114" s="1132" t="str">
        <f>IFERROR(IF(ISBLANK(E114),"","Consumption (" &amp; VLOOKUP($E114,PO_Enrgy_1_Table,MATCH($C$16,PO_Enrgy_1_Hdr,0),FALSE) &amp; ")"),"")</f>
        <v>Consumption (kWh)</v>
      </c>
      <c r="G114" s="1152">
        <v>1172039.8700000001</v>
      </c>
      <c r="H114" s="1152">
        <v>1172039.8700000001</v>
      </c>
      <c r="I114" s="1152">
        <v>1172039.8700000001</v>
      </c>
      <c r="J114" s="1152">
        <v>1172039.8700000001</v>
      </c>
      <c r="K114" s="2798">
        <f t="shared" si="6"/>
        <v>1172039.8700000001</v>
      </c>
      <c r="L114" s="2798"/>
      <c r="M114" s="2799"/>
      <c r="Q114" s="1296">
        <f t="shared" si="3"/>
        <v>9.999999999999998E-4</v>
      </c>
      <c r="R114" s="1296">
        <f t="shared" si="4"/>
        <v>3.1399999999999996E-3</v>
      </c>
      <c r="S114" s="1296">
        <f t="shared" si="5"/>
        <v>3049.9632299365053</v>
      </c>
      <c r="BC114" s="1906"/>
      <c r="BF114" s="1957" t="s">
        <v>2201</v>
      </c>
      <c r="BG114" s="1957" t="s">
        <v>2176</v>
      </c>
      <c r="BH114" s="1957" t="s">
        <v>464</v>
      </c>
      <c r="BI114" s="1957">
        <f>IF(BG114&lt;&gt;"",IFERROR(MATCH(BG114&amp;BH114,'Results from Trace'!$L$1:$L$21,0),""),"")</f>
        <v>14</v>
      </c>
    </row>
    <row r="115" spans="1:61" ht="16.2" customHeight="1" x14ac:dyDescent="0.3">
      <c r="A115" s="1063" t="s">
        <v>1299</v>
      </c>
      <c r="B115" s="2794"/>
      <c r="C115" s="2794"/>
      <c r="D115" s="2796"/>
      <c r="E115" s="2797"/>
      <c r="F115" s="1132" t="str">
        <f>IFERROR(IF(ISBLANK(E114),"","Demand (" &amp; VLOOKUP($E114,PO_Enrgy_1_Table,MATCH($E$16,PO_Enrgy_1_Hdr,0),FALSE) &amp; ")"),"")</f>
        <v>Demand (kW)</v>
      </c>
      <c r="G115" s="1152">
        <v>384.28</v>
      </c>
      <c r="H115" s="1152">
        <v>384.28</v>
      </c>
      <c r="I115" s="1152">
        <v>384.28</v>
      </c>
      <c r="J115" s="1152">
        <v>384.28</v>
      </c>
      <c r="K115" s="2798">
        <f t="shared" si="6"/>
        <v>384.28</v>
      </c>
      <c r="L115" s="2798"/>
      <c r="M115" s="2799"/>
      <c r="Q115" s="1296" t="str">
        <f t="shared" si="3"/>
        <v/>
      </c>
      <c r="R115" s="1296" t="str">
        <f t="shared" si="4"/>
        <v/>
      </c>
      <c r="S115" s="1296" t="str">
        <f t="shared" si="5"/>
        <v/>
      </c>
      <c r="BC115" s="1906"/>
      <c r="BF115" s="1957" t="s">
        <v>2202</v>
      </c>
      <c r="BG115" s="1957"/>
      <c r="BH115" s="1957"/>
      <c r="BI115" s="1957"/>
    </row>
    <row r="116" spans="1:61" ht="16.2" customHeight="1" x14ac:dyDescent="0.3">
      <c r="A116" s="1063" t="s">
        <v>1299</v>
      </c>
      <c r="B116" s="2794" t="s">
        <v>471</v>
      </c>
      <c r="C116" s="2794"/>
      <c r="D116" s="2796" t="s">
        <v>465</v>
      </c>
      <c r="E116" s="2797" t="s">
        <v>464</v>
      </c>
      <c r="F116" s="1132" t="str">
        <f>IFERROR(IF(ISBLANK(E116),"","Consumption (" &amp; VLOOKUP($E116,PO_Enrgy_1_Table,MATCH($C$16,PO_Enrgy_1_Hdr,0),FALSE) &amp; ")"),"")</f>
        <v>Consumption (kWh)</v>
      </c>
      <c r="G116" s="1152" t="str">
        <f t="shared" ca="1" si="8"/>
        <v/>
      </c>
      <c r="H116" s="1152" t="str">
        <f t="shared" ca="1" si="9"/>
        <v/>
      </c>
      <c r="I116" s="1152" t="str">
        <f t="shared" ca="1" si="10"/>
        <v/>
      </c>
      <c r="J116" s="1152" t="str">
        <f t="shared" ca="1" si="11"/>
        <v/>
      </c>
      <c r="K116" s="2798" t="str">
        <f t="shared" ca="1" si="6"/>
        <v/>
      </c>
      <c r="L116" s="2798"/>
      <c r="M116" s="2799"/>
      <c r="Q116" s="1296">
        <f t="shared" si="3"/>
        <v>9.999999999999998E-4</v>
      </c>
      <c r="R116" s="1296">
        <f t="shared" si="4"/>
        <v>3.1399999999999996E-3</v>
      </c>
      <c r="S116" s="1296" t="str">
        <f t="shared" ca="1" si="5"/>
        <v/>
      </c>
      <c r="BC116" s="1906"/>
      <c r="BF116" s="1957"/>
      <c r="BG116" s="1957"/>
      <c r="BH116" s="1957"/>
      <c r="BI116" s="1957"/>
    </row>
    <row r="117" spans="1:61" ht="16.2" customHeight="1" x14ac:dyDescent="0.3">
      <c r="A117" s="1063" t="s">
        <v>1299</v>
      </c>
      <c r="B117" s="2794"/>
      <c r="C117" s="2794"/>
      <c r="D117" s="2796"/>
      <c r="E117" s="2797"/>
      <c r="F117" s="1132" t="str">
        <f>IFERROR(IF(ISBLANK(E116),"","Demand (" &amp; VLOOKUP($E116,PO_Enrgy_1_Table,MATCH($E$16,PO_Enrgy_1_Hdr,0),FALSE) &amp; ")"),"")</f>
        <v>Demand (kW)</v>
      </c>
      <c r="G117" s="1152" t="str">
        <f t="shared" ca="1" si="8"/>
        <v/>
      </c>
      <c r="H117" s="1152" t="str">
        <f t="shared" ca="1" si="9"/>
        <v/>
      </c>
      <c r="I117" s="1152" t="str">
        <f t="shared" ca="1" si="10"/>
        <v/>
      </c>
      <c r="J117" s="1152" t="str">
        <f t="shared" ca="1" si="11"/>
        <v/>
      </c>
      <c r="K117" s="2798" t="str">
        <f t="shared" ca="1" si="6"/>
        <v/>
      </c>
      <c r="L117" s="2798"/>
      <c r="M117" s="2799"/>
      <c r="Q117" s="1296" t="str">
        <f t="shared" si="3"/>
        <v/>
      </c>
      <c r="R117" s="1296" t="str">
        <f t="shared" si="4"/>
        <v/>
      </c>
      <c r="S117" s="1296" t="str">
        <f t="shared" si="5"/>
        <v/>
      </c>
      <c r="BC117" s="1906"/>
      <c r="BF117" s="1957"/>
      <c r="BG117" s="1957"/>
      <c r="BH117" s="1957"/>
      <c r="BI117" s="1957"/>
    </row>
    <row r="118" spans="1:61" ht="16.2" customHeight="1" x14ac:dyDescent="0.3">
      <c r="A118" s="1063" t="s">
        <v>1299</v>
      </c>
      <c r="B118" s="2794" t="s">
        <v>470</v>
      </c>
      <c r="C118" s="2794"/>
      <c r="D118" s="2796" t="s">
        <v>465</v>
      </c>
      <c r="E118" s="2797" t="s">
        <v>464</v>
      </c>
      <c r="F118" s="1132" t="str">
        <f>IFERROR(IF(ISBLANK(E118),"","Consumption (" &amp; VLOOKUP($E118,PO_Enrgy_1_Table,MATCH($C$16,PO_Enrgy_1_Hdr,0),FALSE) &amp; ")"),"")</f>
        <v>Consumption (kWh)</v>
      </c>
      <c r="G118" s="1152" t="str">
        <f t="shared" ca="1" si="8"/>
        <v/>
      </c>
      <c r="H118" s="1152" t="str">
        <f t="shared" ca="1" si="9"/>
        <v/>
      </c>
      <c r="I118" s="1152" t="str">
        <f t="shared" ca="1" si="10"/>
        <v/>
      </c>
      <c r="J118" s="1152" t="str">
        <f t="shared" ca="1" si="11"/>
        <v/>
      </c>
      <c r="K118" s="2798" t="str">
        <f t="shared" ca="1" si="6"/>
        <v/>
      </c>
      <c r="L118" s="2798"/>
      <c r="M118" s="2799"/>
      <c r="Q118" s="1296">
        <f t="shared" si="3"/>
        <v>9.999999999999998E-4</v>
      </c>
      <c r="R118" s="1296">
        <f t="shared" si="4"/>
        <v>3.1399999999999996E-3</v>
      </c>
      <c r="S118" s="1296" t="str">
        <f t="shared" ca="1" si="5"/>
        <v/>
      </c>
      <c r="BC118" s="1906"/>
      <c r="BF118" s="1957"/>
      <c r="BG118" s="1957"/>
      <c r="BH118" s="1957"/>
      <c r="BI118" s="1957"/>
    </row>
    <row r="119" spans="1:61" ht="16.2" customHeight="1" x14ac:dyDescent="0.3">
      <c r="A119" s="1063" t="s">
        <v>1299</v>
      </c>
      <c r="B119" s="2794"/>
      <c r="C119" s="2794"/>
      <c r="D119" s="2796"/>
      <c r="E119" s="2797"/>
      <c r="F119" s="1132" t="str">
        <f>IFERROR(IF(ISBLANK(E118),"","Demand (" &amp; VLOOKUP($E118,PO_Enrgy_1_Table,MATCH($E$16,PO_Enrgy_1_Hdr,0),FALSE) &amp; ")"),"")</f>
        <v>Demand (kW)</v>
      </c>
      <c r="G119" s="1152" t="str">
        <f t="shared" ca="1" si="8"/>
        <v/>
      </c>
      <c r="H119" s="1152" t="str">
        <f t="shared" ca="1" si="9"/>
        <v/>
      </c>
      <c r="I119" s="1152" t="str">
        <f t="shared" ca="1" si="10"/>
        <v/>
      </c>
      <c r="J119" s="1152" t="str">
        <f t="shared" ca="1" si="11"/>
        <v/>
      </c>
      <c r="K119" s="2798" t="str">
        <f t="shared" ca="1" si="6"/>
        <v/>
      </c>
      <c r="L119" s="2798"/>
      <c r="M119" s="2799"/>
      <c r="Q119" s="1296" t="str">
        <f t="shared" si="3"/>
        <v/>
      </c>
      <c r="R119" s="1296" t="str">
        <f t="shared" si="4"/>
        <v/>
      </c>
      <c r="S119" s="1296" t="str">
        <f t="shared" si="5"/>
        <v/>
      </c>
      <c r="BC119" s="1906"/>
      <c r="BF119" s="1957"/>
      <c r="BG119" s="1957"/>
      <c r="BH119" s="1957"/>
      <c r="BI119" s="1957"/>
    </row>
    <row r="120" spans="1:61" ht="16.2" customHeight="1" x14ac:dyDescent="0.3">
      <c r="A120" s="1063" t="s">
        <v>1299</v>
      </c>
      <c r="B120" s="2794" t="s">
        <v>427</v>
      </c>
      <c r="C120" s="2794"/>
      <c r="D120" s="2796" t="s">
        <v>465</v>
      </c>
      <c r="E120" s="2797" t="s">
        <v>464</v>
      </c>
      <c r="F120" s="1132" t="str">
        <f>IFERROR(IF(ISBLANK(E120),"","Consumption (" &amp; VLOOKUP($E120,PO_Enrgy_1_Table,MATCH($C$16,PO_Enrgy_1_Hdr,0),FALSE) &amp; ")"),"")</f>
        <v>Consumption (kWh)</v>
      </c>
      <c r="G120" s="1152" t="str">
        <f t="shared" ca="1" si="8"/>
        <v/>
      </c>
      <c r="H120" s="1152" t="str">
        <f t="shared" ca="1" si="9"/>
        <v/>
      </c>
      <c r="I120" s="1152" t="str">
        <f t="shared" ca="1" si="10"/>
        <v/>
      </c>
      <c r="J120" s="1152" t="str">
        <f t="shared" ca="1" si="11"/>
        <v/>
      </c>
      <c r="K120" s="2798" t="str">
        <f t="shared" ca="1" si="6"/>
        <v/>
      </c>
      <c r="L120" s="2798"/>
      <c r="M120" s="2799"/>
      <c r="Q120" s="1296">
        <f t="shared" si="3"/>
        <v>9.999999999999998E-4</v>
      </c>
      <c r="R120" s="1296">
        <f t="shared" si="4"/>
        <v>3.1399999999999996E-3</v>
      </c>
      <c r="S120" s="1296" t="str">
        <f t="shared" ca="1" si="5"/>
        <v/>
      </c>
      <c r="BC120" s="1906"/>
      <c r="BF120" s="1957"/>
      <c r="BG120" s="1957"/>
      <c r="BH120" s="1957"/>
      <c r="BI120" s="1957"/>
    </row>
    <row r="121" spans="1:61" ht="16.2" customHeight="1" x14ac:dyDescent="0.3">
      <c r="A121" s="1063" t="s">
        <v>1299</v>
      </c>
      <c r="B121" s="2794"/>
      <c r="C121" s="2794"/>
      <c r="D121" s="2796"/>
      <c r="E121" s="2797"/>
      <c r="F121" s="1132" t="str">
        <f>IFERROR(IF(ISBLANK(E120),"","Demand (" &amp; VLOOKUP($E120,PO_Enrgy_1_Table,MATCH($E$16,PO_Enrgy_1_Hdr,0),FALSE) &amp; ")"),"")</f>
        <v>Demand (kW)</v>
      </c>
      <c r="G121" s="1152" t="str">
        <f t="shared" ca="1" si="8"/>
        <v/>
      </c>
      <c r="H121" s="1152" t="str">
        <f t="shared" ca="1" si="9"/>
        <v/>
      </c>
      <c r="I121" s="1152" t="str">
        <f t="shared" ca="1" si="10"/>
        <v/>
      </c>
      <c r="J121" s="1152" t="str">
        <f t="shared" ca="1" si="11"/>
        <v/>
      </c>
      <c r="K121" s="2798" t="str">
        <f t="shared" ca="1" si="6"/>
        <v/>
      </c>
      <c r="L121" s="2798"/>
      <c r="M121" s="2799"/>
      <c r="Q121" s="1296" t="str">
        <f t="shared" si="3"/>
        <v/>
      </c>
      <c r="R121" s="1296" t="str">
        <f t="shared" si="4"/>
        <v/>
      </c>
      <c r="S121" s="1296" t="str">
        <f t="shared" si="5"/>
        <v/>
      </c>
      <c r="BC121" s="1906"/>
      <c r="BF121" s="1957"/>
      <c r="BG121" s="1957"/>
      <c r="BH121" s="1957"/>
      <c r="BI121" s="1957"/>
    </row>
    <row r="122" spans="1:61" ht="16.2" customHeight="1" x14ac:dyDescent="0.3">
      <c r="A122" s="1063" t="s">
        <v>1299</v>
      </c>
      <c r="B122" s="2794" t="s">
        <v>469</v>
      </c>
      <c r="C122" s="2794"/>
      <c r="D122" s="2796" t="s">
        <v>465</v>
      </c>
      <c r="E122" s="2797" t="s">
        <v>464</v>
      </c>
      <c r="F122" s="1132" t="str">
        <f>IFERROR(IF(ISBLANK(E122),"","Consumption (" &amp; VLOOKUP($E122,PO_Enrgy_1_Table,MATCH($C$16,PO_Enrgy_1_Hdr,0),FALSE) &amp; ")"),"")</f>
        <v>Consumption (kWh)</v>
      </c>
      <c r="G122" s="1152" t="str">
        <f t="shared" ca="1" si="8"/>
        <v/>
      </c>
      <c r="H122" s="1152" t="str">
        <f t="shared" ca="1" si="9"/>
        <v/>
      </c>
      <c r="I122" s="1152" t="str">
        <f t="shared" ca="1" si="10"/>
        <v/>
      </c>
      <c r="J122" s="1152" t="str">
        <f t="shared" ca="1" si="11"/>
        <v/>
      </c>
      <c r="K122" s="2798" t="str">
        <f t="shared" ca="1" si="6"/>
        <v/>
      </c>
      <c r="L122" s="2798"/>
      <c r="M122" s="2799"/>
      <c r="Q122" s="1296">
        <f t="shared" si="3"/>
        <v>9.999999999999998E-4</v>
      </c>
      <c r="R122" s="1296">
        <f t="shared" si="4"/>
        <v>3.1399999999999996E-3</v>
      </c>
      <c r="S122" s="1296" t="str">
        <f t="shared" ca="1" si="5"/>
        <v/>
      </c>
      <c r="BC122" s="1906"/>
      <c r="BF122" s="1957"/>
      <c r="BG122" s="1957"/>
      <c r="BH122" s="1957"/>
      <c r="BI122" s="1957"/>
    </row>
    <row r="123" spans="1:61" ht="16.2" customHeight="1" x14ac:dyDescent="0.3">
      <c r="A123" s="1063" t="s">
        <v>1299</v>
      </c>
      <c r="B123" s="2794"/>
      <c r="C123" s="2794"/>
      <c r="D123" s="2796"/>
      <c r="E123" s="2797"/>
      <c r="F123" s="1132" t="str">
        <f>IFERROR(IF(ISBLANK(E122),"","Demand (" &amp; VLOOKUP($E122,PO_Enrgy_1_Table,MATCH($E$16,PO_Enrgy_1_Hdr,0),FALSE) &amp; ")"),"")</f>
        <v>Demand (kW)</v>
      </c>
      <c r="G123" s="1152" t="str">
        <f t="shared" ca="1" si="8"/>
        <v/>
      </c>
      <c r="H123" s="1152" t="str">
        <f t="shared" ca="1" si="9"/>
        <v/>
      </c>
      <c r="I123" s="1152" t="str">
        <f t="shared" ca="1" si="10"/>
        <v/>
      </c>
      <c r="J123" s="1152" t="str">
        <f t="shared" ca="1" si="11"/>
        <v/>
      </c>
      <c r="K123" s="2798" t="str">
        <f t="shared" ca="1" si="6"/>
        <v/>
      </c>
      <c r="L123" s="2798"/>
      <c r="M123" s="2799"/>
      <c r="Q123" s="1296" t="str">
        <f t="shared" si="3"/>
        <v/>
      </c>
      <c r="R123" s="1296" t="str">
        <f t="shared" si="4"/>
        <v/>
      </c>
      <c r="S123" s="1296" t="str">
        <f t="shared" si="5"/>
        <v/>
      </c>
      <c r="BC123" s="1906"/>
      <c r="BF123" s="1957"/>
      <c r="BG123" s="1957"/>
      <c r="BH123" s="1957"/>
      <c r="BI123" s="1957"/>
    </row>
    <row r="124" spans="1:61" ht="16.2" customHeight="1" x14ac:dyDescent="0.3">
      <c r="A124" s="1063" t="s">
        <v>1299</v>
      </c>
      <c r="B124" s="2794" t="s">
        <v>468</v>
      </c>
      <c r="C124" s="2794"/>
      <c r="D124" s="2796" t="s">
        <v>465</v>
      </c>
      <c r="E124" s="2797" t="s">
        <v>464</v>
      </c>
      <c r="F124" s="1132" t="str">
        <f>IFERROR(IF(ISBLANK(E124),"","Consumption (" &amp; VLOOKUP($E124,PO_Enrgy_1_Table,MATCH($C$16,PO_Enrgy_1_Hdr,0),FALSE) &amp; ")"),"")</f>
        <v>Consumption (kWh)</v>
      </c>
      <c r="G124" s="1152" t="str">
        <f t="shared" ca="1" si="8"/>
        <v/>
      </c>
      <c r="H124" s="1152" t="str">
        <f t="shared" ca="1" si="9"/>
        <v/>
      </c>
      <c r="I124" s="1152" t="str">
        <f t="shared" ca="1" si="10"/>
        <v/>
      </c>
      <c r="J124" s="1152" t="str">
        <f t="shared" ca="1" si="11"/>
        <v/>
      </c>
      <c r="K124" s="2798" t="str">
        <f t="shared" ca="1" si="6"/>
        <v/>
      </c>
      <c r="L124" s="2798"/>
      <c r="M124" s="2799"/>
      <c r="Q124" s="1296">
        <f t="shared" si="3"/>
        <v>9.999999999999998E-4</v>
      </c>
      <c r="R124" s="1296">
        <f t="shared" si="4"/>
        <v>3.1399999999999996E-3</v>
      </c>
      <c r="S124" s="1296" t="str">
        <f t="shared" ca="1" si="5"/>
        <v/>
      </c>
      <c r="BC124" s="1906"/>
      <c r="BF124" s="1957"/>
      <c r="BG124" s="1957"/>
      <c r="BH124" s="1957"/>
      <c r="BI124" s="1957"/>
    </row>
    <row r="125" spans="1:61" ht="16.2" customHeight="1" x14ac:dyDescent="0.3">
      <c r="A125" s="1063" t="s">
        <v>1299</v>
      </c>
      <c r="B125" s="2794"/>
      <c r="C125" s="2794"/>
      <c r="D125" s="2796"/>
      <c r="E125" s="2797"/>
      <c r="F125" s="1132" t="str">
        <f>IFERROR(IF(ISBLANK(E124),"","Demand (" &amp; VLOOKUP($E124,PO_Enrgy_1_Table,MATCH($E$16,PO_Enrgy_1_Hdr,0),FALSE) &amp; ")"),"")</f>
        <v>Demand (kW)</v>
      </c>
      <c r="G125" s="1152" t="str">
        <f t="shared" ca="1" si="8"/>
        <v/>
      </c>
      <c r="H125" s="1152" t="str">
        <f t="shared" ca="1" si="9"/>
        <v/>
      </c>
      <c r="I125" s="1152" t="str">
        <f t="shared" ca="1" si="10"/>
        <v/>
      </c>
      <c r="J125" s="1152" t="str">
        <f t="shared" ca="1" si="11"/>
        <v/>
      </c>
      <c r="K125" s="2798" t="str">
        <f t="shared" ca="1" si="6"/>
        <v/>
      </c>
      <c r="L125" s="2798"/>
      <c r="M125" s="2799"/>
      <c r="Q125" s="1296" t="str">
        <f t="shared" si="3"/>
        <v/>
      </c>
      <c r="R125" s="1296" t="str">
        <f t="shared" si="4"/>
        <v/>
      </c>
      <c r="S125" s="1296" t="str">
        <f t="shared" si="5"/>
        <v/>
      </c>
      <c r="BC125" s="1906"/>
      <c r="BF125" s="1957"/>
      <c r="BG125" s="1957"/>
      <c r="BH125" s="1957"/>
      <c r="BI125" s="1957"/>
    </row>
    <row r="126" spans="1:61" ht="16.2" customHeight="1" x14ac:dyDescent="0.3">
      <c r="A126" s="1063" t="s">
        <v>1299</v>
      </c>
      <c r="B126" s="2794" t="s">
        <v>467</v>
      </c>
      <c r="C126" s="2794"/>
      <c r="D126" s="2796" t="s">
        <v>465</v>
      </c>
      <c r="E126" s="2797" t="s">
        <v>464</v>
      </c>
      <c r="F126" s="1132" t="str">
        <f>IFERROR(IF(ISBLANK(E126),"","Consumption (" &amp; VLOOKUP($E126,PO_Enrgy_1_Table,MATCH($C$16,PO_Enrgy_1_Hdr,0),FALSE) &amp; ")"),"")</f>
        <v>Consumption (kWh)</v>
      </c>
      <c r="G126" s="1152" t="str">
        <f t="shared" ca="1" si="8"/>
        <v/>
      </c>
      <c r="H126" s="1152" t="str">
        <f t="shared" ca="1" si="9"/>
        <v/>
      </c>
      <c r="I126" s="1152" t="str">
        <f t="shared" ca="1" si="10"/>
        <v/>
      </c>
      <c r="J126" s="1152" t="str">
        <f t="shared" ca="1" si="11"/>
        <v/>
      </c>
      <c r="K126" s="2798" t="str">
        <f t="shared" ca="1" si="6"/>
        <v/>
      </c>
      <c r="L126" s="2798"/>
      <c r="M126" s="2799"/>
      <c r="Q126" s="1296">
        <f t="shared" si="3"/>
        <v>9.999999999999998E-4</v>
      </c>
      <c r="R126" s="1296">
        <f t="shared" si="4"/>
        <v>3.1399999999999996E-3</v>
      </c>
      <c r="S126" s="1296" t="str">
        <f t="shared" ca="1" si="5"/>
        <v/>
      </c>
      <c r="BC126" s="1906"/>
      <c r="BF126" s="1957"/>
      <c r="BG126" s="1957"/>
      <c r="BH126" s="1957"/>
      <c r="BI126" s="1957"/>
    </row>
    <row r="127" spans="1:61" ht="16.2" customHeight="1" x14ac:dyDescent="0.3">
      <c r="A127" s="1063" t="s">
        <v>1299</v>
      </c>
      <c r="B127" s="2794"/>
      <c r="C127" s="2794"/>
      <c r="D127" s="2796"/>
      <c r="E127" s="2797"/>
      <c r="F127" s="1132" t="str">
        <f>IFERROR(IF(ISBLANK(E126),"","Demand (" &amp; VLOOKUP($E126,PO_Enrgy_1_Table,MATCH($E$16,PO_Enrgy_1_Hdr,0),FALSE) &amp; ")"),"")</f>
        <v>Demand (kW)</v>
      </c>
      <c r="G127" s="1152" t="str">
        <f t="shared" ca="1" si="8"/>
        <v/>
      </c>
      <c r="H127" s="1152" t="str">
        <f t="shared" ca="1" si="9"/>
        <v/>
      </c>
      <c r="I127" s="1152" t="str">
        <f t="shared" ca="1" si="10"/>
        <v/>
      </c>
      <c r="J127" s="1152" t="str">
        <f t="shared" ca="1" si="11"/>
        <v/>
      </c>
      <c r="K127" s="2798" t="str">
        <f t="shared" ca="1" si="6"/>
        <v/>
      </c>
      <c r="L127" s="2798"/>
      <c r="M127" s="2799"/>
      <c r="Q127" s="1296" t="str">
        <f t="shared" si="3"/>
        <v/>
      </c>
      <c r="R127" s="1296" t="str">
        <f t="shared" si="4"/>
        <v/>
      </c>
      <c r="S127" s="1296" t="str">
        <f t="shared" si="5"/>
        <v/>
      </c>
      <c r="BC127" s="1906"/>
      <c r="BF127" s="1957"/>
      <c r="BG127" s="1957"/>
      <c r="BH127" s="1957"/>
      <c r="BI127" s="1957"/>
    </row>
    <row r="128" spans="1:61" ht="16.2" customHeight="1" x14ac:dyDescent="0.3">
      <c r="A128" s="1063" t="s">
        <v>1299</v>
      </c>
      <c r="B128" s="2794" t="s">
        <v>466</v>
      </c>
      <c r="C128" s="2794"/>
      <c r="D128" s="2796" t="s">
        <v>465</v>
      </c>
      <c r="E128" s="2797" t="s">
        <v>464</v>
      </c>
      <c r="F128" s="1132" t="str">
        <f>IFERROR(IF(ISBLANK(E128),"","Consumption (" &amp; VLOOKUP($E128,PO_Enrgy_1_Table,MATCH($C$16,PO_Enrgy_1_Hdr,0),FALSE) &amp; ")"),"")</f>
        <v>Consumption (kWh)</v>
      </c>
      <c r="G128" s="1152">
        <v>77806.14</v>
      </c>
      <c r="H128" s="1152">
        <v>77806.14</v>
      </c>
      <c r="I128" s="1152">
        <v>77806.14</v>
      </c>
      <c r="J128" s="1152">
        <v>77806.14</v>
      </c>
      <c r="K128" s="2798">
        <f t="shared" si="6"/>
        <v>77806.14</v>
      </c>
      <c r="L128" s="2798"/>
      <c r="M128" s="2799"/>
      <c r="Q128" s="1296">
        <f t="shared" si="3"/>
        <v>9.999999999999998E-4</v>
      </c>
      <c r="R128" s="1296">
        <f t="shared" si="4"/>
        <v>3.1399999999999996E-3</v>
      </c>
      <c r="S128" s="1296">
        <f t="shared" ref="S128:S144" si="12">IFERROR(IF(FIND("Consumption",F128),(K128*VLOOKUP(MID(F128,FIND("(",F128)+1,LEN(F128)-FIND("(",F128)-1),EnergyUnitsTable,3,FALSE))/(K129*VLOOKUP(MID(F129,FIND("(",F129)+1,LEN(F129)-FIND("(",F129)-1),DemandTable,3,FALSE)),1),"")</f>
        <v>2011.4301225376141</v>
      </c>
      <c r="BC128" s="1906"/>
      <c r="BF128" s="1957"/>
      <c r="BG128" s="1957"/>
      <c r="BH128" s="1957"/>
      <c r="BI128" s="1957"/>
    </row>
    <row r="129" spans="1:61" ht="16.2" customHeight="1" x14ac:dyDescent="0.3">
      <c r="A129" s="1063" t="s">
        <v>1299</v>
      </c>
      <c r="B129" s="2794"/>
      <c r="C129" s="2794"/>
      <c r="D129" s="2796"/>
      <c r="E129" s="2797"/>
      <c r="F129" s="1132" t="str">
        <f>IFERROR(IF(ISBLANK(E128),"","Demand (" &amp; VLOOKUP($E128,PO_Enrgy_1_Table,MATCH($E$16,PO_Enrgy_1_Hdr,0),FALSE) &amp; ")"),"")</f>
        <v>Demand (kW)</v>
      </c>
      <c r="G129" s="1152">
        <v>38.682000000000002</v>
      </c>
      <c r="H129" s="1152">
        <v>38.682000000000002</v>
      </c>
      <c r="I129" s="1152">
        <v>38.682000000000002</v>
      </c>
      <c r="J129" s="1152">
        <v>38.682000000000002</v>
      </c>
      <c r="K129" s="2798">
        <f t="shared" si="6"/>
        <v>38.682000000000002</v>
      </c>
      <c r="L129" s="2798"/>
      <c r="M129" s="2799"/>
      <c r="Q129" s="1296" t="str">
        <f t="shared" si="3"/>
        <v/>
      </c>
      <c r="R129" s="1296" t="str">
        <f t="shared" si="4"/>
        <v/>
      </c>
      <c r="S129" s="1296" t="str">
        <f t="shared" si="12"/>
        <v/>
      </c>
      <c r="BC129" s="1906"/>
      <c r="BF129" s="1957"/>
      <c r="BG129" s="1957"/>
      <c r="BH129" s="1957"/>
      <c r="BI129" s="1957"/>
    </row>
    <row r="130" spans="1:61" ht="16.2" customHeight="1" x14ac:dyDescent="0.3">
      <c r="A130" s="1063" t="s">
        <v>1299</v>
      </c>
      <c r="B130" s="2794" t="s">
        <v>1090</v>
      </c>
      <c r="C130" s="2794"/>
      <c r="D130" s="2796"/>
      <c r="E130" s="2797" t="s">
        <v>464</v>
      </c>
      <c r="F130" s="1132" t="str">
        <f>IFERROR(IF(ISBLANK(E130),"","Consumption (" &amp; VLOOKUP($E130,PO_Enrgy_1_Table,MATCH($C$16,PO_Enrgy_1_Hdr,0),FALSE) &amp; ")"),"")</f>
        <v>Consumption (kWh)</v>
      </c>
      <c r="G130" s="1152" t="str">
        <f t="shared" ca="1" si="8"/>
        <v/>
      </c>
      <c r="H130" s="1152" t="str">
        <f t="shared" ca="1" si="9"/>
        <v/>
      </c>
      <c r="I130" s="1152" t="str">
        <f t="shared" ca="1" si="10"/>
        <v/>
      </c>
      <c r="J130" s="1152" t="str">
        <f t="shared" ca="1" si="11"/>
        <v/>
      </c>
      <c r="K130" s="2798" t="str">
        <f t="shared" ca="1" si="6"/>
        <v/>
      </c>
      <c r="L130" s="2798"/>
      <c r="M130" s="2799"/>
      <c r="Q130" s="1296">
        <f t="shared" si="3"/>
        <v>9.999999999999998E-4</v>
      </c>
      <c r="R130" s="1296">
        <f t="shared" si="4"/>
        <v>3.1399999999999996E-3</v>
      </c>
      <c r="S130" s="1296" t="str">
        <f t="shared" ca="1" si="12"/>
        <v/>
      </c>
      <c r="BC130" s="1906"/>
      <c r="BF130" s="1957" t="s">
        <v>2203</v>
      </c>
      <c r="BG130" s="1957"/>
      <c r="BH130" s="1957"/>
      <c r="BI130" s="1957"/>
    </row>
    <row r="131" spans="1:61" ht="16.2" customHeight="1" x14ac:dyDescent="0.3">
      <c r="A131" s="1063" t="s">
        <v>1299</v>
      </c>
      <c r="B131" s="2794"/>
      <c r="C131" s="2794"/>
      <c r="D131" s="2796"/>
      <c r="E131" s="2797"/>
      <c r="F131" s="1132" t="str">
        <f>IFERROR(IF(ISBLANK(E130),"","Demand (" &amp; VLOOKUP($E130,PO_Enrgy_1_Table,MATCH($E$16,PO_Enrgy_1_Hdr,0),FALSE) &amp; ")"),"")</f>
        <v>Demand (kW)</v>
      </c>
      <c r="G131" s="1152" t="str">
        <f t="shared" ca="1" si="8"/>
        <v/>
      </c>
      <c r="H131" s="1152" t="str">
        <f t="shared" ca="1" si="9"/>
        <v/>
      </c>
      <c r="I131" s="1152" t="str">
        <f t="shared" ca="1" si="10"/>
        <v/>
      </c>
      <c r="J131" s="1152" t="str">
        <f t="shared" ca="1" si="11"/>
        <v/>
      </c>
      <c r="K131" s="2798" t="str">
        <f t="shared" ca="1" si="6"/>
        <v/>
      </c>
      <c r="L131" s="2798"/>
      <c r="M131" s="2799"/>
      <c r="Q131" s="1296" t="str">
        <f t="shared" si="3"/>
        <v/>
      </c>
      <c r="R131" s="1296" t="str">
        <f t="shared" si="4"/>
        <v/>
      </c>
      <c r="S131" s="1296" t="str">
        <f t="shared" si="12"/>
        <v/>
      </c>
      <c r="BC131" s="1906"/>
      <c r="BF131" s="1957" t="s">
        <v>2204</v>
      </c>
      <c r="BG131" s="1957"/>
      <c r="BH131" s="1957"/>
      <c r="BI131" s="1957"/>
    </row>
    <row r="132" spans="1:61" ht="16.2" customHeight="1" x14ac:dyDescent="0.3">
      <c r="A132" s="1063" t="s">
        <v>1299</v>
      </c>
      <c r="B132" s="2797" t="s">
        <v>2256</v>
      </c>
      <c r="C132" s="2797"/>
      <c r="D132" s="2796" t="s">
        <v>465</v>
      </c>
      <c r="E132" s="2797" t="s">
        <v>464</v>
      </c>
      <c r="F132" s="1132" t="str">
        <f>IFERROR(IF(ISBLANK(E132),"","Consumption (" &amp; VLOOKUP($E132,PO_Enrgy_1_Table,MATCH($C$16,PO_Enrgy_1_Hdr,0),FALSE) &amp; ")"),"")</f>
        <v>Consumption (kWh)</v>
      </c>
      <c r="G132" s="1152">
        <v>94371.92</v>
      </c>
      <c r="H132" s="1152">
        <v>94371.92</v>
      </c>
      <c r="I132" s="1152">
        <v>94371.92</v>
      </c>
      <c r="J132" s="1152">
        <v>94371.92</v>
      </c>
      <c r="K132" s="2798">
        <f t="shared" si="6"/>
        <v>94371.92</v>
      </c>
      <c r="L132" s="2798"/>
      <c r="M132" s="2799"/>
      <c r="Q132" s="1296">
        <f t="shared" si="3"/>
        <v>9.999999999999998E-4</v>
      </c>
      <c r="R132" s="1296">
        <f t="shared" si="4"/>
        <v>3.1399999999999996E-3</v>
      </c>
      <c r="S132" s="1296">
        <f t="shared" si="12"/>
        <v>4096.0034722222226</v>
      </c>
      <c r="BC132" s="1906"/>
      <c r="BF132" s="1957" t="s">
        <v>2205</v>
      </c>
      <c r="BG132" s="1957"/>
      <c r="BH132" s="1957"/>
      <c r="BI132" s="1957"/>
    </row>
    <row r="133" spans="1:61" ht="16.2" customHeight="1" x14ac:dyDescent="0.3">
      <c r="A133" s="1063" t="s">
        <v>1299</v>
      </c>
      <c r="B133" s="2797"/>
      <c r="C133" s="2797"/>
      <c r="D133" s="2796"/>
      <c r="E133" s="2797"/>
      <c r="F133" s="1132" t="str">
        <f>IFERROR(IF(ISBLANK(E132),"","Demand (" &amp; VLOOKUP($E132,PO_Enrgy_1_Table,MATCH($E$16,PO_Enrgy_1_Hdr,0),FALSE) &amp; ")"),"")</f>
        <v>Demand (kW)</v>
      </c>
      <c r="G133" s="1152">
        <v>23.04</v>
      </c>
      <c r="H133" s="1152">
        <v>23.04</v>
      </c>
      <c r="I133" s="1152">
        <v>23.04</v>
      </c>
      <c r="J133" s="1152">
        <v>23.04</v>
      </c>
      <c r="K133" s="2798">
        <f t="shared" si="6"/>
        <v>23.04</v>
      </c>
      <c r="L133" s="2798"/>
      <c r="M133" s="2799"/>
      <c r="Q133" s="1296" t="str">
        <f t="shared" si="3"/>
        <v/>
      </c>
      <c r="R133" s="1296" t="str">
        <f t="shared" si="4"/>
        <v/>
      </c>
      <c r="S133" s="1296" t="str">
        <f t="shared" si="12"/>
        <v/>
      </c>
      <c r="BC133" s="1906"/>
      <c r="BF133" s="1957" t="s">
        <v>2206</v>
      </c>
      <c r="BG133" s="1957"/>
      <c r="BH133" s="1957"/>
      <c r="BI133" s="1957"/>
    </row>
    <row r="134" spans="1:61" ht="16.2" customHeight="1" x14ac:dyDescent="0.3">
      <c r="A134" s="1063" t="s">
        <v>1299</v>
      </c>
      <c r="B134" s="2797" t="s">
        <v>2327</v>
      </c>
      <c r="C134" s="2797"/>
      <c r="D134" s="2796"/>
      <c r="E134" s="2797" t="s">
        <v>464</v>
      </c>
      <c r="F134" s="1132" t="str">
        <f>IFERROR(IF(ISBLANK(E134),"","Consumption (" &amp; VLOOKUP($E134,PO_Enrgy_1_Table,MATCH($C$16,PO_Enrgy_1_Hdr,0),FALSE) &amp; ")"),"")</f>
        <v>Consumption (kWh)</v>
      </c>
      <c r="G134" s="1152">
        <v>0</v>
      </c>
      <c r="H134" s="1152">
        <v>0</v>
      </c>
      <c r="I134" s="1152">
        <v>0</v>
      </c>
      <c r="J134" s="1152">
        <v>0</v>
      </c>
      <c r="K134" s="2798">
        <f t="shared" si="6"/>
        <v>0</v>
      </c>
      <c r="L134" s="2798"/>
      <c r="M134" s="2799"/>
      <c r="Q134" s="1296">
        <f t="shared" si="3"/>
        <v>9.999999999999998E-4</v>
      </c>
      <c r="R134" s="1296">
        <f t="shared" si="4"/>
        <v>3.1399999999999996E-3</v>
      </c>
      <c r="S134" s="1296" t="str">
        <f t="shared" si="12"/>
        <v/>
      </c>
      <c r="BC134" s="1906"/>
      <c r="BF134" s="1957" t="s">
        <v>2207</v>
      </c>
      <c r="BG134" s="1957"/>
      <c r="BH134" s="1957"/>
      <c r="BI134" s="1957"/>
    </row>
    <row r="135" spans="1:61" ht="15.75" customHeight="1" x14ac:dyDescent="0.3">
      <c r="A135" s="1063" t="s">
        <v>1299</v>
      </c>
      <c r="B135" s="2797"/>
      <c r="C135" s="2797"/>
      <c r="D135" s="2796"/>
      <c r="E135" s="2797"/>
      <c r="F135" s="1132" t="str">
        <f>IFERROR(IF(ISBLANK(E134),"","Demand (" &amp; VLOOKUP($E134,PO_Enrgy_1_Table,MATCH($E$16,PO_Enrgy_1_Hdr,0),FALSE) &amp; ")"),"")</f>
        <v>Demand (kW)</v>
      </c>
      <c r="G135" s="1152">
        <v>0</v>
      </c>
      <c r="H135" s="1152">
        <v>0</v>
      </c>
      <c r="I135" s="1152">
        <v>0</v>
      </c>
      <c r="J135" s="1152">
        <v>0</v>
      </c>
      <c r="K135" s="2798">
        <f t="shared" si="6"/>
        <v>0</v>
      </c>
      <c r="L135" s="2798"/>
      <c r="M135" s="2799"/>
      <c r="Q135" s="1296" t="str">
        <f t="shared" si="3"/>
        <v/>
      </c>
      <c r="R135" s="1296" t="str">
        <f t="shared" si="4"/>
        <v/>
      </c>
      <c r="S135" s="1296" t="str">
        <f t="shared" si="12"/>
        <v/>
      </c>
      <c r="BC135" s="1906"/>
      <c r="BF135" s="1957"/>
      <c r="BG135" s="1957"/>
      <c r="BH135" s="1957"/>
      <c r="BI135" s="1957"/>
    </row>
    <row r="136" spans="1:61" ht="16.2" customHeight="1" x14ac:dyDescent="0.3">
      <c r="A136" s="1063" t="s">
        <v>1299</v>
      </c>
      <c r="B136" s="2797"/>
      <c r="C136" s="2797"/>
      <c r="D136" s="2796"/>
      <c r="E136" s="2797"/>
      <c r="F136" s="1132" t="str">
        <f>IFERROR(IF(ISBLANK(E136),"","Consumption (" &amp; VLOOKUP($E136,PO_Enrgy_1_Table,MATCH($C$16,PO_Enrgy_1_Hdr,0),FALSE) &amp; ")"),"")</f>
        <v/>
      </c>
      <c r="G136" s="1152" t="str">
        <f t="shared" ca="1" si="8"/>
        <v/>
      </c>
      <c r="H136" s="1152" t="str">
        <f t="shared" ca="1" si="9"/>
        <v/>
      </c>
      <c r="I136" s="1152" t="str">
        <f t="shared" ca="1" si="10"/>
        <v/>
      </c>
      <c r="J136" s="1152" t="str">
        <f t="shared" ca="1" si="11"/>
        <v/>
      </c>
      <c r="K136" s="2798" t="str">
        <f t="shared" ca="1" si="6"/>
        <v/>
      </c>
      <c r="L136" s="2798"/>
      <c r="M136" s="2799"/>
      <c r="Q136" s="1296" t="str">
        <f t="shared" si="3"/>
        <v/>
      </c>
      <c r="R136" s="1296" t="str">
        <f t="shared" si="4"/>
        <v/>
      </c>
      <c r="S136" s="1296" t="str">
        <f t="shared" si="12"/>
        <v/>
      </c>
      <c r="BC136" s="1906"/>
      <c r="BF136" s="1957" t="s">
        <v>2208</v>
      </c>
      <c r="BG136" s="1957"/>
      <c r="BH136" s="1957"/>
      <c r="BI136" s="1957"/>
    </row>
    <row r="137" spans="1:61" ht="16.5" customHeight="1" x14ac:dyDescent="0.3">
      <c r="A137" s="1063" t="s">
        <v>1299</v>
      </c>
      <c r="B137" s="2797"/>
      <c r="C137" s="2797"/>
      <c r="D137" s="2796"/>
      <c r="E137" s="2797"/>
      <c r="F137" s="1132" t="str">
        <f>IFERROR(IF(ISBLANK(E136),"","Demand (" &amp; VLOOKUP($E136,PO_Enrgy_1_Table,MATCH($E$16,PO_Enrgy_1_Hdr,0),FALSE) &amp; ")"),"")</f>
        <v/>
      </c>
      <c r="G137" s="1152" t="str">
        <f t="shared" ca="1" si="8"/>
        <v/>
      </c>
      <c r="H137" s="1152" t="str">
        <f t="shared" ca="1" si="9"/>
        <v/>
      </c>
      <c r="I137" s="1152" t="str">
        <f t="shared" ca="1" si="10"/>
        <v/>
      </c>
      <c r="J137" s="1152" t="str">
        <f t="shared" ca="1" si="11"/>
        <v/>
      </c>
      <c r="K137" s="2798" t="str">
        <f t="shared" ca="1" si="6"/>
        <v/>
      </c>
      <c r="L137" s="2798"/>
      <c r="M137" s="2799"/>
      <c r="Q137" s="1296" t="str">
        <f t="shared" si="3"/>
        <v/>
      </c>
      <c r="R137" s="1296" t="str">
        <f t="shared" si="4"/>
        <v/>
      </c>
      <c r="S137" s="1296" t="str">
        <f t="shared" si="12"/>
        <v/>
      </c>
      <c r="BC137" s="1906"/>
      <c r="BF137" s="1957"/>
      <c r="BG137" s="1957"/>
      <c r="BH137" s="1957"/>
      <c r="BI137" s="1957"/>
    </row>
    <row r="138" spans="1:61" ht="16.2" customHeight="1" x14ac:dyDescent="0.3">
      <c r="A138" s="1063" t="s">
        <v>1299</v>
      </c>
      <c r="B138" s="2797"/>
      <c r="C138" s="2797"/>
      <c r="D138" s="2796"/>
      <c r="E138" s="2797"/>
      <c r="F138" s="1132" t="str">
        <f>IFERROR(IF(ISBLANK(E138),"","Consumption (" &amp; VLOOKUP($E138,PO_Enrgy_1_Table,MATCH($C$16,PO_Enrgy_1_Hdr,0),FALSE) &amp; ")"),"")</f>
        <v/>
      </c>
      <c r="G138" s="1152" t="str">
        <f t="shared" ca="1" si="8"/>
        <v/>
      </c>
      <c r="H138" s="1152" t="str">
        <f t="shared" ca="1" si="9"/>
        <v/>
      </c>
      <c r="I138" s="1152" t="str">
        <f t="shared" ca="1" si="10"/>
        <v/>
      </c>
      <c r="J138" s="1152" t="str">
        <f t="shared" ca="1" si="11"/>
        <v/>
      </c>
      <c r="K138" s="2798" t="str">
        <f t="shared" ca="1" si="6"/>
        <v/>
      </c>
      <c r="L138" s="2798"/>
      <c r="M138" s="2799"/>
      <c r="Q138" s="1296" t="str">
        <f t="shared" si="3"/>
        <v/>
      </c>
      <c r="R138" s="1296" t="str">
        <f t="shared" si="4"/>
        <v/>
      </c>
      <c r="S138" s="1296" t="str">
        <f t="shared" si="12"/>
        <v/>
      </c>
      <c r="BC138" s="1906"/>
      <c r="BF138" s="1957" t="s">
        <v>2209</v>
      </c>
      <c r="BG138" s="1957"/>
      <c r="BH138" s="1957"/>
      <c r="BI138" s="1957"/>
    </row>
    <row r="139" spans="1:61" ht="15.75" customHeight="1" x14ac:dyDescent="0.3">
      <c r="A139" s="1063" t="s">
        <v>1299</v>
      </c>
      <c r="B139" s="2797"/>
      <c r="C139" s="2797"/>
      <c r="D139" s="2796"/>
      <c r="E139" s="2797"/>
      <c r="F139" s="1132" t="str">
        <f>IFERROR(IF(ISBLANK(E138),"","Demand (" &amp; VLOOKUP($E138,PO_Enrgy_1_Table,MATCH($E$16,PO_Enrgy_1_Hdr,0),FALSE) &amp; ")"),"")</f>
        <v/>
      </c>
      <c r="G139" s="1152" t="str">
        <f t="shared" ca="1" si="8"/>
        <v/>
      </c>
      <c r="H139" s="1152" t="str">
        <f t="shared" ca="1" si="9"/>
        <v/>
      </c>
      <c r="I139" s="1152" t="str">
        <f t="shared" ca="1" si="10"/>
        <v/>
      </c>
      <c r="J139" s="1152" t="str">
        <f t="shared" ca="1" si="11"/>
        <v/>
      </c>
      <c r="K139" s="2798" t="str">
        <f t="shared" ca="1" si="6"/>
        <v/>
      </c>
      <c r="L139" s="2798"/>
      <c r="M139" s="2799"/>
      <c r="Q139" s="1296" t="str">
        <f t="shared" si="3"/>
        <v/>
      </c>
      <c r="R139" s="1296" t="str">
        <f t="shared" si="4"/>
        <v/>
      </c>
      <c r="S139" s="1296" t="str">
        <f t="shared" si="12"/>
        <v/>
      </c>
      <c r="BC139" s="1906"/>
      <c r="BF139" s="1957"/>
      <c r="BG139" s="1957"/>
      <c r="BH139" s="1957"/>
      <c r="BI139" s="1957"/>
    </row>
    <row r="140" spans="1:61" ht="16.2" customHeight="1" x14ac:dyDescent="0.3">
      <c r="A140" s="1063" t="s">
        <v>1299</v>
      </c>
      <c r="B140" s="2797"/>
      <c r="C140" s="2797"/>
      <c r="D140" s="2796"/>
      <c r="E140" s="2797"/>
      <c r="F140" s="1132" t="str">
        <f>IFERROR(IF(ISBLANK(E140),"","Consumption (" &amp; VLOOKUP($E140,PO_Enrgy_1_Table,MATCH($C$16,PO_Enrgy_1_Hdr,0),FALSE) &amp; ")"),"")</f>
        <v/>
      </c>
      <c r="G140" s="1152" t="str">
        <f t="shared" ca="1" si="8"/>
        <v/>
      </c>
      <c r="H140" s="1152" t="str">
        <f t="shared" ca="1" si="9"/>
        <v/>
      </c>
      <c r="I140" s="1152" t="str">
        <f t="shared" ca="1" si="10"/>
        <v/>
      </c>
      <c r="J140" s="1152" t="str">
        <f t="shared" ca="1" si="11"/>
        <v/>
      </c>
      <c r="K140" s="2798" t="str">
        <f t="shared" ca="1" si="6"/>
        <v/>
      </c>
      <c r="L140" s="2798"/>
      <c r="M140" s="2799"/>
      <c r="Q140" s="1296" t="str">
        <f t="shared" si="3"/>
        <v/>
      </c>
      <c r="R140" s="1296" t="str">
        <f t="shared" si="4"/>
        <v/>
      </c>
      <c r="S140" s="1296" t="str">
        <f t="shared" si="12"/>
        <v/>
      </c>
      <c r="BC140" s="1906"/>
      <c r="BF140" s="1906"/>
      <c r="BG140" s="1957"/>
      <c r="BH140" s="1957"/>
      <c r="BI140" s="1957"/>
    </row>
    <row r="141" spans="1:61" ht="16.5" customHeight="1" x14ac:dyDescent="0.3">
      <c r="A141" s="1063" t="s">
        <v>1299</v>
      </c>
      <c r="B141" s="2797"/>
      <c r="C141" s="2797"/>
      <c r="D141" s="2796"/>
      <c r="E141" s="2797"/>
      <c r="F141" s="1132" t="str">
        <f>IFERROR(IF(ISBLANK(E140),"","Demand (" &amp; VLOOKUP($E140,PO_Enrgy_1_Table,MATCH($E$16,PO_Enrgy_1_Hdr,0),FALSE) &amp; ")"),"")</f>
        <v/>
      </c>
      <c r="G141" s="1152" t="str">
        <f t="shared" ca="1" si="8"/>
        <v/>
      </c>
      <c r="H141" s="1152" t="str">
        <f t="shared" ca="1" si="9"/>
        <v/>
      </c>
      <c r="I141" s="1152" t="str">
        <f t="shared" ca="1" si="10"/>
        <v/>
      </c>
      <c r="J141" s="1152" t="str">
        <f t="shared" ca="1" si="11"/>
        <v/>
      </c>
      <c r="K141" s="2798" t="str">
        <f t="shared" ca="1" si="6"/>
        <v/>
      </c>
      <c r="L141" s="2798"/>
      <c r="M141" s="2799"/>
      <c r="Q141" s="1296" t="str">
        <f t="shared" si="3"/>
        <v/>
      </c>
      <c r="R141" s="1296" t="str">
        <f t="shared" si="4"/>
        <v/>
      </c>
      <c r="S141" s="1296" t="str">
        <f t="shared" si="12"/>
        <v/>
      </c>
      <c r="BC141" s="1906"/>
      <c r="BF141" s="1906"/>
      <c r="BG141" s="1957"/>
      <c r="BH141" s="1957"/>
      <c r="BI141" s="1957"/>
    </row>
    <row r="142" spans="1:61" ht="16.2" customHeight="1" x14ac:dyDescent="0.3">
      <c r="A142" s="1063" t="s">
        <v>1299</v>
      </c>
      <c r="B142" s="2797"/>
      <c r="C142" s="2797"/>
      <c r="D142" s="2796"/>
      <c r="E142" s="2797"/>
      <c r="F142" s="1132" t="str">
        <f>IFERROR(IF(ISBLANK(E142),"","Consumption (" &amp; VLOOKUP($E142,PO_Enrgy_1_Table,MATCH($C$16,PO_Enrgy_1_Hdr,0),FALSE) &amp; ")"),"")</f>
        <v/>
      </c>
      <c r="G142" s="1152" t="str">
        <f t="shared" ca="1" si="8"/>
        <v/>
      </c>
      <c r="H142" s="1152" t="str">
        <f t="shared" ca="1" si="9"/>
        <v/>
      </c>
      <c r="I142" s="1152" t="str">
        <f t="shared" ca="1" si="10"/>
        <v/>
      </c>
      <c r="J142" s="1152" t="str">
        <f t="shared" ca="1" si="11"/>
        <v/>
      </c>
      <c r="K142" s="2798" t="str">
        <f t="shared" ca="1" si="6"/>
        <v/>
      </c>
      <c r="L142" s="2798"/>
      <c r="M142" s="2799"/>
      <c r="Q142" s="1296" t="str">
        <f t="shared" si="3"/>
        <v/>
      </c>
      <c r="R142" s="1296" t="str">
        <f t="shared" si="4"/>
        <v/>
      </c>
      <c r="S142" s="1296" t="str">
        <f t="shared" si="12"/>
        <v/>
      </c>
      <c r="BC142" s="1906"/>
      <c r="BF142" s="1906"/>
      <c r="BG142" s="1957"/>
      <c r="BH142" s="1957"/>
      <c r="BI142" s="1957"/>
    </row>
    <row r="143" spans="1:61" ht="15.75" customHeight="1" x14ac:dyDescent="0.3">
      <c r="A143" s="1063" t="s">
        <v>1299</v>
      </c>
      <c r="B143" s="2797"/>
      <c r="C143" s="2797"/>
      <c r="D143" s="2796"/>
      <c r="E143" s="2797"/>
      <c r="F143" s="1132" t="str">
        <f>IFERROR(IF(ISBLANK(E142),"","Demand (" &amp; VLOOKUP($E142,PO_Enrgy_1_Table,MATCH($E$16,PO_Enrgy_1_Hdr,0),FALSE) &amp; ")"),"")</f>
        <v/>
      </c>
      <c r="G143" s="1152" t="str">
        <f t="shared" ca="1" si="8"/>
        <v/>
      </c>
      <c r="H143" s="1152" t="str">
        <f t="shared" ca="1" si="9"/>
        <v/>
      </c>
      <c r="I143" s="1152" t="str">
        <f t="shared" ca="1" si="10"/>
        <v/>
      </c>
      <c r="J143" s="1152" t="str">
        <f t="shared" ca="1" si="11"/>
        <v/>
      </c>
      <c r="K143" s="2798" t="str">
        <f t="shared" ca="1" si="6"/>
        <v/>
      </c>
      <c r="L143" s="2798"/>
      <c r="M143" s="2799"/>
      <c r="Q143" s="1296" t="str">
        <f t="shared" si="3"/>
        <v/>
      </c>
      <c r="R143" s="1296" t="str">
        <f t="shared" si="4"/>
        <v/>
      </c>
      <c r="S143" s="1296" t="str">
        <f t="shared" si="12"/>
        <v/>
      </c>
      <c r="BC143" s="1906"/>
      <c r="BF143" s="1906"/>
      <c r="BG143" s="1957"/>
      <c r="BH143" s="1957"/>
      <c r="BI143" s="1957"/>
    </row>
    <row r="144" spans="1:61" ht="18.75" hidden="1" customHeight="1" x14ac:dyDescent="0.3">
      <c r="A144" s="1063" t="s">
        <v>1299</v>
      </c>
      <c r="B144" s="1100"/>
      <c r="C144" s="1100"/>
      <c r="D144" s="1149"/>
      <c r="E144" s="1100" t="s">
        <v>1765</v>
      </c>
      <c r="F144" s="1100" t="s">
        <v>1793</v>
      </c>
      <c r="G144" s="1100" t="s">
        <v>1794</v>
      </c>
      <c r="H144" s="1100" t="s">
        <v>1795</v>
      </c>
      <c r="I144" s="1100" t="s">
        <v>1796</v>
      </c>
      <c r="J144" s="1100" t="s">
        <v>1797</v>
      </c>
      <c r="K144" s="1100" t="s">
        <v>1799</v>
      </c>
      <c r="L144" s="1150"/>
      <c r="M144" s="1151"/>
      <c r="Q144" s="1304" t="s">
        <v>1776</v>
      </c>
      <c r="R144" s="1304" t="s">
        <v>1777</v>
      </c>
      <c r="S144" s="1296" t="str">
        <f t="shared" si="12"/>
        <v/>
      </c>
      <c r="BC144" s="1906"/>
      <c r="BF144" s="1906"/>
      <c r="BG144" s="1957"/>
      <c r="BH144" s="1957"/>
      <c r="BI144" s="1957"/>
    </row>
    <row r="145" spans="1:61" ht="21" customHeight="1" x14ac:dyDescent="0.3">
      <c r="A145" s="1063" t="s">
        <v>1299</v>
      </c>
      <c r="B145" s="2802" t="s">
        <v>1259</v>
      </c>
      <c r="C145" s="2803"/>
      <c r="D145" s="2804"/>
      <c r="E145" s="1154" t="str">
        <f>IFERROR(IF(ISBLANK(B17),"",B17),"")</f>
        <v>Electricity</v>
      </c>
      <c r="F145" s="1154" t="str">
        <f>IFERROR(IF(ISBLANK(E145),"",VLOOKUP($E145,PO_Enrgy_1_Table,MATCH($C$16,PO_Enrgy_1_Hdr,0),FALSE) ),"")</f>
        <v>kWh</v>
      </c>
      <c r="G145" s="1155">
        <f t="shared" ref="G145:M147" ca="1" si="13">IFERROR(SUMIFS(INDEX(PO_baseline_table,0,MATCH(G$95,PO_baseline_hdr,0)),INDEX(PO_baseline_table,0,MATCH($E$95,PO_baseline_hdr,0)),$E145,INDEX(PO_baseline_table,0,MATCH($F$95,PO_baseline_hdr,0)),"=Con*"),"")</f>
        <v>4669435.95</v>
      </c>
      <c r="H145" s="1155">
        <f t="shared" ca="1" si="13"/>
        <v>4667424.3399999989</v>
      </c>
      <c r="I145" s="1155">
        <f t="shared" ca="1" si="13"/>
        <v>4672843.7399999993</v>
      </c>
      <c r="J145" s="1155">
        <f t="shared" ca="1" si="13"/>
        <v>4652762.59</v>
      </c>
      <c r="K145" s="2801">
        <f t="shared" ca="1" si="13"/>
        <v>4665616.6550000003</v>
      </c>
      <c r="L145" s="2801" t="str">
        <f t="shared" si="13"/>
        <v/>
      </c>
      <c r="M145" s="2801" t="str">
        <f t="shared" si="13"/>
        <v/>
      </c>
      <c r="Q145" s="1296">
        <f>IFERROR(IF(ISBLANK($E145),"",VLOOKUP($E145,PO_Enrgy_1_Table,MATCH($K$16,PO_Enrgy_1_Hdr,0),FALSE)),"")</f>
        <v>9.999999999999998E-4</v>
      </c>
      <c r="R145" s="1296">
        <f>IFERROR(IF(ISBLANK($E145),"",VLOOKUP($E145,PO_Enrgy_1_Table,MATCH($M$16,PO_Enrgy_1_Hdr,0),FALSE)),"")</f>
        <v>3.1399999999999996E-3</v>
      </c>
      <c r="S145" s="1296"/>
      <c r="AD145" s="546"/>
      <c r="BC145" s="1906"/>
      <c r="BF145" s="1906"/>
      <c r="BG145" s="1957"/>
      <c r="BH145" s="1957"/>
      <c r="BI145" s="1957"/>
    </row>
    <row r="146" spans="1:61" ht="21" customHeight="1" x14ac:dyDescent="0.3">
      <c r="A146" s="1063" t="s">
        <v>1299</v>
      </c>
      <c r="B146" s="2802"/>
      <c r="C146" s="2803"/>
      <c r="D146" s="2804"/>
      <c r="E146" s="1154" t="str">
        <f>IFERROR(IF(ISBLANK(B18),"",B18),"")</f>
        <v>Natural Gas</v>
      </c>
      <c r="F146" s="1154" t="str">
        <f>IFERROR(IF(ISBLANK(E146),"",VLOOKUP($E146,PO_Enrgy_1_Table,MATCH($C$16,PO_Enrgy_1_Hdr,0),FALSE) ),"")</f>
        <v>therm</v>
      </c>
      <c r="G146" s="1155">
        <f t="shared" si="13"/>
        <v>0</v>
      </c>
      <c r="H146" s="1155">
        <f t="shared" si="13"/>
        <v>0</v>
      </c>
      <c r="I146" s="1155">
        <f t="shared" si="13"/>
        <v>0</v>
      </c>
      <c r="J146" s="1155">
        <f t="shared" si="13"/>
        <v>0</v>
      </c>
      <c r="K146" s="2801">
        <f t="shared" si="13"/>
        <v>0</v>
      </c>
      <c r="L146" s="2801" t="str">
        <f t="shared" si="13"/>
        <v/>
      </c>
      <c r="M146" s="2801" t="str">
        <f t="shared" si="13"/>
        <v/>
      </c>
      <c r="Q146" s="1296">
        <f>IFERROR(IF(ISBLANK($E146),"",VLOOKUP($E146,PO_Enrgy_1_Table,MATCH($K$16,PO_Enrgy_1_Hdr,0),FALSE)),"")</f>
        <v>2.9308323563892142E-2</v>
      </c>
      <c r="R146" s="1296">
        <f>IFERROR(IF(ISBLANK($E146),"",VLOOKUP($E146,PO_Enrgy_1_Table,MATCH($M$16,PO_Enrgy_1_Hdr,0),FALSE)),"")</f>
        <v>3.0773739742086751E-2</v>
      </c>
      <c r="S146" s="1296"/>
      <c r="AD146" s="546"/>
      <c r="BC146" s="1906"/>
      <c r="BF146" s="1906"/>
      <c r="BG146" s="1957"/>
      <c r="BH146" s="1957"/>
      <c r="BI146" s="1957"/>
    </row>
    <row r="147" spans="1:61" ht="21" customHeight="1" x14ac:dyDescent="0.3">
      <c r="A147" s="1063" t="s">
        <v>1299</v>
      </c>
      <c r="B147" s="2802"/>
      <c r="C147" s="2803"/>
      <c r="D147" s="2804"/>
      <c r="E147" s="1154" t="str">
        <f>IFERROR(IF(ISBLANK(B19),"",B19),"")</f>
        <v>District Cooling</v>
      </c>
      <c r="F147" s="1154" t="str">
        <f>IFERROR(IF(ISBLANK(E147),"",VLOOKUP($E147,PO_Enrgy_1_Table,MATCH($C$16,PO_Enrgy_1_Hdr,0),FALSE) ),"")</f>
        <v>MWh</v>
      </c>
      <c r="G147" s="1155">
        <f t="shared" si="13"/>
        <v>0</v>
      </c>
      <c r="H147" s="1155">
        <f t="shared" si="13"/>
        <v>0</v>
      </c>
      <c r="I147" s="1155">
        <f t="shared" si="13"/>
        <v>0</v>
      </c>
      <c r="J147" s="1155">
        <f t="shared" si="13"/>
        <v>0</v>
      </c>
      <c r="K147" s="2801">
        <f t="shared" si="13"/>
        <v>0</v>
      </c>
      <c r="L147" s="2801" t="str">
        <f t="shared" si="13"/>
        <v/>
      </c>
      <c r="M147" s="2801" t="str">
        <f t="shared" si="13"/>
        <v/>
      </c>
      <c r="Q147" s="1296">
        <f>IFERROR(IF(ISBLANK($E147),"",VLOOKUP($E147,PO_Enrgy_1_Table,MATCH($K$16,PO_Enrgy_1_Hdr,0),FALSE)),"")</f>
        <v>0.99999999999999989</v>
      </c>
      <c r="R147" s="1296">
        <f>IFERROR(IF(ISBLANK($E147),"",VLOOKUP($E147,PO_Enrgy_1_Table,MATCH($M$16,PO_Enrgy_1_Hdr,0),FALSE)),"")</f>
        <v>0.99999999999999989</v>
      </c>
      <c r="S147" s="1296"/>
      <c r="AD147" s="546"/>
      <c r="BC147" s="1906"/>
      <c r="BF147" s="1906"/>
      <c r="BG147" s="1957"/>
      <c r="BH147" s="1957"/>
      <c r="BI147" s="1957"/>
    </row>
    <row r="148" spans="1:61" ht="21" customHeight="1" x14ac:dyDescent="0.3">
      <c r="A148" s="1063" t="s">
        <v>1299</v>
      </c>
      <c r="B148" s="2810" t="str">
        <f>"Total site energy (" &amp; PO_SiteUnits &amp; ")"</f>
        <v>Total site energy (MWh)</v>
      </c>
      <c r="C148" s="2815"/>
      <c r="D148" s="2815"/>
      <c r="E148" s="2815"/>
      <c r="F148" s="2815"/>
      <c r="G148" s="1156">
        <f t="shared" ref="G148:M148" ca="1" si="14">IFERROR(SUMPRODUCT(INDEX(PO_Enrgy_5_Table,0,MATCH(G$144,PO_Enrgy_5_Hdr,0)),INDEX(PO_Enrgy_5_Table,0,MATCH($Q144,PO_Enrgy_5_Hdr,0))),"")</f>
        <v>4669.4359499999991</v>
      </c>
      <c r="H148" s="1156">
        <f t="shared" ca="1" si="14"/>
        <v>4667.4243399999978</v>
      </c>
      <c r="I148" s="1156">
        <f t="shared" ca="1" si="14"/>
        <v>4672.8437399999984</v>
      </c>
      <c r="J148" s="1156">
        <f t="shared" ca="1" si="14"/>
        <v>4652.7625899999994</v>
      </c>
      <c r="K148" s="2801">
        <f t="shared" ca="1" si="14"/>
        <v>4665.6166549999989</v>
      </c>
      <c r="L148" s="2816" t="str">
        <f t="shared" si="14"/>
        <v/>
      </c>
      <c r="M148" s="2817" t="str">
        <f t="shared" si="14"/>
        <v/>
      </c>
      <c r="BC148" s="1906"/>
      <c r="BF148" s="1906"/>
      <c r="BG148" s="1957"/>
      <c r="BH148" s="1957"/>
      <c r="BI148" s="1957"/>
    </row>
    <row r="149" spans="1:61" ht="21" customHeight="1" x14ac:dyDescent="0.3">
      <c r="A149" s="1063" t="s">
        <v>1299</v>
      </c>
      <c r="B149" s="2810" t="str">
        <f>"Total source energy (" &amp; PO_SourceUnits &amp; ")"</f>
        <v>Total source energy (MWh)</v>
      </c>
      <c r="C149" s="2815"/>
      <c r="D149" s="2815"/>
      <c r="E149" s="2815"/>
      <c r="F149" s="2815"/>
      <c r="G149" s="1156">
        <f ca="1">IFERROR(SUMPRODUCT(G$145:G$146,$R$145:$R$146),0)</f>
        <v>14662.028882999999</v>
      </c>
      <c r="H149" s="1156">
        <f ca="1">IFERROR(SUMPRODUCT(H$145:H$146,$R$145:$R$146),0)</f>
        <v>14655.712427599994</v>
      </c>
      <c r="I149" s="1156">
        <f ca="1">IFERROR(SUMPRODUCT(I$145:I$146,$R$145:$R$146),0)</f>
        <v>14672.729343599996</v>
      </c>
      <c r="J149" s="1156">
        <f ca="1">IFERROR(SUMPRODUCT(J$145:J$146,$R$145:$R$146),0)</f>
        <v>14609.674532599998</v>
      </c>
      <c r="K149" s="2801">
        <f t="shared" ref="K149:M149" ca="1" si="15">IFERROR(SUMPRODUCT(K$145:K$146,$R$145:$R$146),0)</f>
        <v>14650.036296699998</v>
      </c>
      <c r="L149" s="2816">
        <f t="shared" si="15"/>
        <v>0</v>
      </c>
      <c r="M149" s="2817">
        <f t="shared" si="15"/>
        <v>0</v>
      </c>
      <c r="BC149" s="1906"/>
      <c r="BF149" s="1906"/>
      <c r="BG149" s="1957"/>
      <c r="BH149" s="1957"/>
      <c r="BI149" s="1957"/>
    </row>
    <row r="150" spans="1:61" ht="21" customHeight="1" x14ac:dyDescent="0.3">
      <c r="A150" s="1063" t="s">
        <v>1299</v>
      </c>
      <c r="B150" s="685"/>
      <c r="C150" s="685"/>
      <c r="D150" s="685"/>
      <c r="E150" s="549"/>
      <c r="F150" s="549"/>
      <c r="G150" s="533"/>
      <c r="H150" s="533"/>
      <c r="I150" s="533"/>
      <c r="J150" s="533"/>
      <c r="K150" s="533"/>
      <c r="L150" s="533"/>
      <c r="M150" s="533"/>
    </row>
    <row r="151" spans="1:61" ht="20.25" customHeight="1" x14ac:dyDescent="0.3">
      <c r="A151" s="1063" t="s">
        <v>1299</v>
      </c>
      <c r="B151" s="570" t="s">
        <v>1260</v>
      </c>
      <c r="C151" s="571"/>
      <c r="D151" s="571"/>
      <c r="E151" s="571"/>
      <c r="F151" s="571"/>
      <c r="G151" s="571"/>
      <c r="H151" s="571"/>
      <c r="I151" s="571"/>
      <c r="J151" s="571"/>
      <c r="K151" s="571"/>
      <c r="L151" s="571"/>
      <c r="M151" s="571"/>
    </row>
    <row r="152" spans="1:61" ht="63.75" customHeight="1" x14ac:dyDescent="0.3">
      <c r="A152" s="1063" t="s">
        <v>1299</v>
      </c>
      <c r="B152" s="2818" t="s">
        <v>444</v>
      </c>
      <c r="C152" s="2818"/>
      <c r="D152" s="2818"/>
      <c r="E152" s="2818"/>
      <c r="F152" s="2818"/>
      <c r="G152" s="1157" t="s">
        <v>463</v>
      </c>
      <c r="H152" s="1157" t="s">
        <v>462</v>
      </c>
      <c r="I152" s="1157" t="s">
        <v>461</v>
      </c>
      <c r="J152" s="1157" t="s">
        <v>460</v>
      </c>
      <c r="K152" s="2722" t="s">
        <v>459</v>
      </c>
      <c r="L152" s="2767"/>
      <c r="M152" s="2699"/>
    </row>
    <row r="153" spans="1:61" ht="14.4" hidden="1" x14ac:dyDescent="0.3">
      <c r="A153" s="1063" t="s">
        <v>1299</v>
      </c>
      <c r="B153" s="1092" t="s">
        <v>1765</v>
      </c>
      <c r="C153" s="1092"/>
      <c r="D153" s="1092"/>
      <c r="E153" s="1092"/>
      <c r="F153" s="1092"/>
      <c r="G153" s="1100" t="s">
        <v>1794</v>
      </c>
      <c r="H153" s="1100" t="s">
        <v>1795</v>
      </c>
      <c r="I153" s="1100" t="s">
        <v>1796</v>
      </c>
      <c r="J153" s="1100" t="s">
        <v>1797</v>
      </c>
      <c r="K153" s="1100" t="s">
        <v>1823</v>
      </c>
      <c r="L153" s="1092"/>
      <c r="M153" s="1091"/>
      <c r="Q153" s="1297" t="s">
        <v>1776</v>
      </c>
      <c r="R153" s="1297" t="s">
        <v>1777</v>
      </c>
    </row>
    <row r="154" spans="1:61" ht="15" customHeight="1" x14ac:dyDescent="0.3">
      <c r="A154" s="1063" t="s">
        <v>1299</v>
      </c>
      <c r="B154" s="2805" t="str">
        <f>IFERROR(IF(ISBLANK(B17),"",B17),"")</f>
        <v>Electricity</v>
      </c>
      <c r="C154" s="2806"/>
      <c r="D154" s="2806"/>
      <c r="E154" s="2806"/>
      <c r="F154" s="1154" t="str">
        <f>IFERROR(IF(ISBLANK($B154),"",VLOOKUP($B154,PO_Enrgy_1_Table,MATCH($C$16,PO_Enrgy_1_Hdr,0),FALSE) ),"")</f>
        <v>kWh</v>
      </c>
      <c r="G154" s="1158">
        <f ca="1">G145*0.085</f>
        <v>396902.05575000006</v>
      </c>
      <c r="H154" s="1158">
        <f t="shared" ref="H154:J154" ca="1" si="16">H145*0.085</f>
        <v>396731.06889999995</v>
      </c>
      <c r="I154" s="1158">
        <f t="shared" ca="1" si="16"/>
        <v>397191.71789999999</v>
      </c>
      <c r="J154" s="1158">
        <f t="shared" ca="1" si="16"/>
        <v>395484.82015000004</v>
      </c>
      <c r="K154" s="2807">
        <f ca="1">IFERROR((AVERAGE(G154:J154)),"")</f>
        <v>396577.415675</v>
      </c>
      <c r="L154" s="2808"/>
      <c r="M154" s="2809"/>
      <c r="Q154" s="1296">
        <f>IFERROR(IF(ISBLANK($B154),"",VLOOKUP($B154,PO_Enrgy_1_Table,MATCH($K$16,PO_Enrgy_1_Hdr,0),FALSE)),"")</f>
        <v>9.999999999999998E-4</v>
      </c>
      <c r="R154" s="1296">
        <f>IFERROR(IF(ISBLANK($B154),"",VLOOKUP($B154,PO_Enrgy_1_Table,MATCH($M$16,PO_Enrgy_1_Hdr,0),FALSE)),"")</f>
        <v>3.1399999999999996E-3</v>
      </c>
      <c r="AD154" s="546"/>
      <c r="BC154" s="1906"/>
    </row>
    <row r="155" spans="1:61" ht="15" customHeight="1" x14ac:dyDescent="0.3">
      <c r="A155" s="1063" t="s">
        <v>1299</v>
      </c>
      <c r="B155" s="2805" t="str">
        <f>IFERROR(IF(ISBLANK(B18),"",B18),"")</f>
        <v>Natural Gas</v>
      </c>
      <c r="C155" s="2806"/>
      <c r="D155" s="2806"/>
      <c r="E155" s="2806"/>
      <c r="F155" s="1154" t="str">
        <f>IFERROR(IF(ISBLANK($B155),"",VLOOKUP($B155,PO_Enrgy_1_Table,MATCH($C$16,PO_Enrgy_1_Hdr,0),FALSE) ),"")</f>
        <v>therm</v>
      </c>
      <c r="G155" s="1158"/>
      <c r="H155" s="1158"/>
      <c r="I155" s="1158"/>
      <c r="J155" s="1158"/>
      <c r="K155" s="2807" t="str">
        <f>IFERROR((AVERAGE(G155:J155)),"")</f>
        <v/>
      </c>
      <c r="L155" s="2808"/>
      <c r="M155" s="2809"/>
      <c r="Q155" s="1296">
        <f>IFERROR(IF(ISBLANK($B155),"",VLOOKUP($B155,PO_Enrgy_1_Table,MATCH($K$16,PO_Enrgy_1_Hdr,0),FALSE)),"")</f>
        <v>2.9308323563892142E-2</v>
      </c>
      <c r="R155" s="1296">
        <f>IFERROR(IF(ISBLANK($B155),"",VLOOKUP($B155,PO_Enrgy_1_Table,MATCH($M$16,PO_Enrgy_1_Hdr,0),FALSE)),"")</f>
        <v>3.0773739742086751E-2</v>
      </c>
      <c r="AD155" s="546"/>
      <c r="BC155" s="1906"/>
    </row>
    <row r="156" spans="1:61" ht="15" customHeight="1" x14ac:dyDescent="0.3">
      <c r="A156" s="1063" t="s">
        <v>1299</v>
      </c>
      <c r="B156" s="2805" t="str">
        <f>IFERROR(IF(ISBLANK(B19),"",B19),"")</f>
        <v>District Cooling</v>
      </c>
      <c r="C156" s="2806"/>
      <c r="D156" s="2806"/>
      <c r="E156" s="2806"/>
      <c r="F156" s="1154" t="str">
        <f>IFERROR(IF(ISBLANK($B156),"",VLOOKUP($B156,PO_Enrgy_1_Table,MATCH($C$16,PO_Enrgy_1_Hdr,0),FALSE) ),"")</f>
        <v>MWh</v>
      </c>
      <c r="G156" s="1158"/>
      <c r="H156" s="1158"/>
      <c r="I156" s="1158"/>
      <c r="J156" s="1158"/>
      <c r="K156" s="2807" t="str">
        <f>IFERROR((AVERAGE(G156:J156)),"")</f>
        <v/>
      </c>
      <c r="L156" s="2808"/>
      <c r="M156" s="2809"/>
      <c r="Q156" s="1296">
        <f>IFERROR(IF(ISBLANK($B156),"",VLOOKUP($B156,PO_Enrgy_1_Table,MATCH($K$16,PO_Enrgy_1_Hdr,0),FALSE)),"")</f>
        <v>0.99999999999999989</v>
      </c>
      <c r="R156" s="1296">
        <f>IFERROR(IF(ISBLANK($B156),"",VLOOKUP($B156,PO_Enrgy_1_Table,MATCH($M$16,PO_Enrgy_1_Hdr,0),FALSE)),"")</f>
        <v>0.99999999999999989</v>
      </c>
      <c r="AD156" s="546"/>
      <c r="BC156" s="1906"/>
    </row>
    <row r="157" spans="1:61" ht="21" customHeight="1" x14ac:dyDescent="0.3">
      <c r="A157" s="1063" t="s">
        <v>1299</v>
      </c>
      <c r="B157" s="2810" t="s">
        <v>1262</v>
      </c>
      <c r="C157" s="2811"/>
      <c r="D157" s="2811"/>
      <c r="E157" s="2811"/>
      <c r="F157" s="2811"/>
      <c r="G157" s="1159">
        <f t="shared" ref="G157:M157" ca="1" si="17">IFERROR(SUM(INDEX(PO_Enrgy_6_Table,0,MATCH(G$153,PO_Enrgy_6_Hdr,0))),"")</f>
        <v>396902.05575000006</v>
      </c>
      <c r="H157" s="1159">
        <f t="shared" ca="1" si="17"/>
        <v>396731.06889999995</v>
      </c>
      <c r="I157" s="1159">
        <f t="shared" ca="1" si="17"/>
        <v>397191.71789999999</v>
      </c>
      <c r="J157" s="1159">
        <f t="shared" ca="1" si="17"/>
        <v>395484.82015000004</v>
      </c>
      <c r="K157" s="2812">
        <f t="shared" ca="1" si="17"/>
        <v>396577.415675</v>
      </c>
      <c r="L157" s="2813" t="str">
        <f t="shared" si="17"/>
        <v/>
      </c>
      <c r="M157" s="2814" t="str">
        <f t="shared" si="17"/>
        <v/>
      </c>
      <c r="BC157" s="1906"/>
    </row>
    <row r="158" spans="1:61" ht="18" customHeight="1" x14ac:dyDescent="0.3">
      <c r="A158" s="1063" t="s">
        <v>1299</v>
      </c>
      <c r="B158" s="685"/>
      <c r="C158" s="685"/>
      <c r="D158" s="685"/>
      <c r="E158" s="549"/>
      <c r="F158" s="549"/>
      <c r="G158" s="731"/>
      <c r="H158" s="731"/>
      <c r="I158" s="731"/>
      <c r="J158" s="731"/>
      <c r="K158" s="534"/>
      <c r="L158" s="534"/>
      <c r="M158" s="534"/>
    </row>
    <row r="159" spans="1:61" ht="33" customHeight="1" x14ac:dyDescent="0.3">
      <c r="A159" s="1063" t="s">
        <v>1299</v>
      </c>
      <c r="B159" s="685"/>
      <c r="C159" s="685"/>
      <c r="D159" s="685"/>
      <c r="E159" s="549"/>
      <c r="F159" s="549"/>
      <c r="G159" s="732"/>
      <c r="H159" s="732"/>
      <c r="I159" s="732"/>
      <c r="J159" s="732"/>
      <c r="K159" s="533"/>
      <c r="L159" s="533"/>
      <c r="M159" s="533"/>
    </row>
    <row r="160" spans="1:61" ht="21.75" customHeight="1" x14ac:dyDescent="0.3">
      <c r="A160" s="1063" t="s">
        <v>1299</v>
      </c>
      <c r="B160" s="570" t="s">
        <v>1263</v>
      </c>
      <c r="C160" s="571"/>
      <c r="D160" s="571"/>
      <c r="E160" s="571"/>
      <c r="F160" s="571"/>
      <c r="G160" s="571"/>
      <c r="H160" s="571"/>
      <c r="I160" s="571"/>
      <c r="J160" s="571"/>
      <c r="K160" s="571"/>
      <c r="L160" s="571"/>
      <c r="M160" s="571"/>
    </row>
    <row r="161" spans="1:61" ht="34.5" hidden="1" customHeight="1" x14ac:dyDescent="0.3">
      <c r="A161" s="1063" t="s">
        <v>1299</v>
      </c>
      <c r="B161" s="2697" t="s">
        <v>458</v>
      </c>
      <c r="C161" s="2697"/>
      <c r="D161" s="2697"/>
      <c r="E161" s="2697"/>
      <c r="F161" s="2697"/>
      <c r="G161" s="2697"/>
      <c r="H161" s="2697"/>
      <c r="I161" s="2697"/>
      <c r="J161" s="2697"/>
      <c r="K161" s="2697"/>
      <c r="L161" s="2697"/>
      <c r="M161" s="2697"/>
    </row>
    <row r="162" spans="1:61" ht="33" hidden="1" customHeight="1" x14ac:dyDescent="0.3">
      <c r="A162" s="1063" t="s">
        <v>1299</v>
      </c>
      <c r="B162" s="2697" t="s">
        <v>1192</v>
      </c>
      <c r="C162" s="2697"/>
      <c r="D162" s="2697"/>
      <c r="E162" s="2697"/>
      <c r="F162" s="2697"/>
      <c r="G162" s="2697"/>
      <c r="H162" s="2697"/>
      <c r="I162" s="2697"/>
      <c r="J162" s="2697"/>
      <c r="K162" s="2697"/>
      <c r="L162" s="2697"/>
      <c r="M162" s="2697"/>
    </row>
    <row r="163" spans="1:61" ht="33" hidden="1" customHeight="1" x14ac:dyDescent="0.3">
      <c r="A163" s="1063" t="s">
        <v>1299</v>
      </c>
      <c r="B163" s="2697" t="s">
        <v>1170</v>
      </c>
      <c r="C163" s="2697"/>
      <c r="D163" s="2697"/>
      <c r="E163" s="2697"/>
      <c r="F163" s="2697"/>
      <c r="G163" s="2697"/>
      <c r="H163" s="2697"/>
      <c r="I163" s="2697"/>
      <c r="J163" s="2697"/>
      <c r="K163" s="2697"/>
      <c r="L163" s="2697"/>
      <c r="M163" s="2697"/>
    </row>
    <row r="164" spans="1:61" ht="33" hidden="1" customHeight="1" x14ac:dyDescent="0.3">
      <c r="A164" s="1063" t="s">
        <v>1299</v>
      </c>
      <c r="B164" s="2697" t="s">
        <v>1194</v>
      </c>
      <c r="C164" s="2697"/>
      <c r="D164" s="2697"/>
      <c r="E164" s="2697"/>
      <c r="F164" s="2697"/>
      <c r="G164" s="2697"/>
      <c r="H164" s="2697"/>
      <c r="I164" s="2697"/>
      <c r="J164" s="2697"/>
      <c r="K164" s="2697"/>
      <c r="L164" s="2697"/>
      <c r="M164" s="2697"/>
    </row>
    <row r="165" spans="1:61" ht="33" hidden="1" customHeight="1" x14ac:dyDescent="0.3">
      <c r="A165" s="1063" t="s">
        <v>1299</v>
      </c>
      <c r="B165" s="2697" t="s">
        <v>1171</v>
      </c>
      <c r="C165" s="2695"/>
      <c r="D165" s="2695"/>
      <c r="E165" s="2695"/>
      <c r="F165" s="2695"/>
      <c r="G165" s="2695"/>
      <c r="H165" s="2695"/>
      <c r="I165" s="2695"/>
      <c r="J165" s="2695"/>
      <c r="K165" s="2695"/>
      <c r="L165" s="2695"/>
      <c r="M165" s="2695"/>
    </row>
    <row r="166" spans="1:61" ht="45" hidden="1" customHeight="1" x14ac:dyDescent="0.3">
      <c r="A166" s="1063" t="s">
        <v>1299</v>
      </c>
      <c r="B166" s="2697" t="s">
        <v>1289</v>
      </c>
      <c r="C166" s="2695"/>
      <c r="D166" s="2695"/>
      <c r="E166" s="2695"/>
      <c r="F166" s="2695"/>
      <c r="G166" s="2695"/>
      <c r="H166" s="2695"/>
      <c r="I166" s="2695"/>
      <c r="J166" s="2695"/>
      <c r="K166" s="2695"/>
      <c r="L166" s="2695"/>
      <c r="M166" s="2695"/>
    </row>
    <row r="167" spans="1:61" ht="15" customHeight="1" x14ac:dyDescent="0.3">
      <c r="A167" s="1063" t="s">
        <v>1299</v>
      </c>
      <c r="B167" s="526"/>
      <c r="BF167" s="2875" t="s">
        <v>2216</v>
      </c>
      <c r="BG167" s="2875"/>
      <c r="BH167" s="2875"/>
      <c r="BI167" s="2875"/>
    </row>
    <row r="168" spans="1:61" ht="98.25" customHeight="1" x14ac:dyDescent="0.3">
      <c r="A168" s="1063" t="s">
        <v>1299</v>
      </c>
      <c r="B168" s="2700" t="s">
        <v>457</v>
      </c>
      <c r="C168" s="2699"/>
      <c r="D168" s="1147" t="s">
        <v>456</v>
      </c>
      <c r="E168" s="966" t="s">
        <v>444</v>
      </c>
      <c r="F168" s="966" t="s">
        <v>1264</v>
      </c>
      <c r="G168" s="966" t="s">
        <v>347</v>
      </c>
      <c r="H168" s="966" t="s">
        <v>348</v>
      </c>
      <c r="I168" s="966" t="s">
        <v>1265</v>
      </c>
      <c r="J168" s="966" t="s">
        <v>1266</v>
      </c>
      <c r="K168" s="2700" t="s">
        <v>1276</v>
      </c>
      <c r="L168" s="2700"/>
      <c r="M168" s="966" t="s">
        <v>1267</v>
      </c>
      <c r="W168" s="1296" t="s">
        <v>1091</v>
      </c>
      <c r="Y168" s="1296" t="s">
        <v>1092</v>
      </c>
      <c r="Z168" s="502" t="s">
        <v>1093</v>
      </c>
      <c r="AG168" s="1296" t="s">
        <v>1841</v>
      </c>
      <c r="BF168" s="1956" t="s">
        <v>2232</v>
      </c>
      <c r="BG168" s="1956" t="s">
        <v>2233</v>
      </c>
      <c r="BH168" s="1956" t="s">
        <v>2234</v>
      </c>
      <c r="BI168" s="1956" t="s">
        <v>2235</v>
      </c>
    </row>
    <row r="169" spans="1:61" s="526" customFormat="1" ht="14.4" hidden="1" x14ac:dyDescent="0.3">
      <c r="A169" s="1063" t="s">
        <v>1299</v>
      </c>
      <c r="B169" s="1093" t="s">
        <v>1791</v>
      </c>
      <c r="C169" s="1091"/>
      <c r="D169" s="1093" t="s">
        <v>1792</v>
      </c>
      <c r="E169" s="1093" t="s">
        <v>1765</v>
      </c>
      <c r="F169" s="1093" t="s">
        <v>1793</v>
      </c>
      <c r="G169" s="1093" t="s">
        <v>1798</v>
      </c>
      <c r="H169" s="1093" t="s">
        <v>1800</v>
      </c>
      <c r="I169" s="1093" t="s">
        <v>1801</v>
      </c>
      <c r="J169" s="1093" t="s">
        <v>1802</v>
      </c>
      <c r="K169" s="1093" t="s">
        <v>1803</v>
      </c>
      <c r="L169" s="1093"/>
      <c r="M169" s="1093" t="s">
        <v>1804</v>
      </c>
      <c r="Q169" s="1297" t="s">
        <v>1776</v>
      </c>
      <c r="R169" s="1297" t="s">
        <v>1777</v>
      </c>
      <c r="S169" s="1297" t="s">
        <v>1858</v>
      </c>
      <c r="T169" s="1297" t="s">
        <v>1859</v>
      </c>
      <c r="W169" s="526" t="s">
        <v>1091</v>
      </c>
      <c r="Y169" s="526" t="s">
        <v>1092</v>
      </c>
      <c r="Z169" s="526" t="s">
        <v>1093</v>
      </c>
      <c r="BF169" s="502"/>
      <c r="BG169" s="502"/>
      <c r="BH169" s="502"/>
      <c r="BI169" s="502"/>
    </row>
    <row r="170" spans="1:61" ht="15.75" customHeight="1" x14ac:dyDescent="0.3">
      <c r="A170" s="1063" t="s">
        <v>1299</v>
      </c>
      <c r="B170" s="2794" t="s">
        <v>482</v>
      </c>
      <c r="C170" s="2795"/>
      <c r="D170" s="2819">
        <f>INDEX(PO_baseline_table,1, 3)</f>
        <v>0</v>
      </c>
      <c r="E170" s="2820" t="str">
        <f>INDEX(PO_baseline_table,1, 4)</f>
        <v>Electricity</v>
      </c>
      <c r="F170" s="1132" t="str">
        <f>IFERROR(IF(ISBLANK(E170),"","Consumption (" &amp; VLOOKUP($E170,PO_Enrgy_1_Table,MATCH($C$16,PO_Enrgy_1_Hdr,0),FALSE) &amp; ")"),"")</f>
        <v>Consumption (kWh)</v>
      </c>
      <c r="G170" s="1217">
        <f>INDEX(PO_baseline_table,1, 10)</f>
        <v>395857.07250000001</v>
      </c>
      <c r="H170" s="1160">
        <v>286843.63</v>
      </c>
      <c r="I170" s="1359">
        <f>IFERROR(1-H170/G170,"")</f>
        <v>0.2753858654375817</v>
      </c>
      <c r="J170" s="2821">
        <f ca="1">IFERROR(IF($E$326-$H$326&lt;0,"",($G170-$H170)*VLOOKUP($E170,PO_Enrgy_1_Table,MATCH($K$16,PO_Enrgy_1_Hdr,0),FALSE)/($E$326-$H$326)),"")</f>
        <v>0.17615318256582618</v>
      </c>
      <c r="K170" s="2823">
        <f ca="1">IFERROR(IF($G$326-$J$326&lt;0,"",($G170*VLOOKUP($E170,PO_Enrgy_8_Table,MATCH($E$231,PO_Enrgy_8_Hdr,0),FALSE)-($H170*VLOOKUP($E170,PO_Enrgy_8_Table,MATCH($H$231,PO_Enrgy_8_Hdr,0),FALSE)))/($G$326-$J$326)),"")</f>
        <v>0.17615318256582607</v>
      </c>
      <c r="L170" s="2823"/>
      <c r="M170" s="2824">
        <f ca="1">IFERROR(H170*VLOOKUP($E170,PO_Enrgy_1_Table,MATCH($K$16,PO_Enrgy_1_Hdr,0))/$H$226,"")</f>
        <v>6.9075542247462762E-2</v>
      </c>
      <c r="Q170" s="1296">
        <f t="shared" ref="Q170:Q217" si="18">IFERROR(IF(ISBLANK($E170),"",VLOOKUP($E170,PO_Enrgy_1_Table,MATCH($K$16,PO_Enrgy_1_Hdr,0),FALSE)),"")</f>
        <v>9.999999999999998E-4</v>
      </c>
      <c r="R170" s="1296">
        <f t="shared" ref="R170:R217" si="19">IFERROR(IF(ISBLANK($E170),"",VLOOKUP($E170,PO_Enrgy_1_Table,MATCH($M$16,PO_Enrgy_1_Hdr,0),FALSE)),"")</f>
        <v>3.1399999999999996E-3</v>
      </c>
      <c r="S170" s="1296">
        <f t="shared" ref="S170:S217" si="20">IFERROR(IF(FIND("Consumption",F170),(G170*VLOOKUP(MID(F170,FIND("(",F170)+1,LEN(F170)-FIND("(",F170)-1),EnergyUnitsTable,3,FALSE))/(G171*VLOOKUP(MID(F171,FIND("(",F171)+1,LEN(F171)-FIND("(",F171)-1),DemandTable,3,FALSE)),1),"")</f>
        <v>2846.4335547426231</v>
      </c>
      <c r="T170" s="1296">
        <f t="shared" ref="T170:T217" si="21">IFERROR(IF(FIND("Consumption",$F170),(H170*VLOOKUP(MID($F170,FIND("(",$F170)+1,LEN($F170)-FIND("(",$F170)-1),EnergyUnitsTable,3,FALSE))/(H171*VLOOKUP(MID($F171,FIND("(",$F171)+1,LEN($F171)-FIND("(",$F171)-1),DemandTable,3,FALSE)),1),"")</f>
        <v>2983.9137626131287</v>
      </c>
      <c r="V170" s="1305">
        <f t="shared" ref="V170:V217" si="22">IFERROR($AN170*H170,0)</f>
        <v>0</v>
      </c>
      <c r="W170" s="1296">
        <f t="shared" ref="W170:W217" si="23">IFERROR(G170*VLOOKUP($AE170,PO_Enrgy_8_Table,4,FALSE),0)</f>
        <v>0</v>
      </c>
      <c r="X170" s="1296">
        <f t="shared" ref="X170:X217" si="24">IFERROR(H170*VLOOKUP($AE170,PO_Enrgy_8_Table,7,FALSE),0)</f>
        <v>0</v>
      </c>
      <c r="Y170" s="1296" t="b">
        <f>IFERROR(IF(D170="x",IF(OR(G170/H170&gt;1.03,G170/H170&lt;0.97),TRUE,FALSE),FALSE),FALSE)</f>
        <v>0</v>
      </c>
      <c r="Z170" s="1296">
        <f ca="1">IFERROR(J170*100,)</f>
        <v>17.615318256582619</v>
      </c>
      <c r="AA170" s="1296"/>
      <c r="AB170" s="1296">
        <f ca="1">RANK(Z170,$Z$170:$Z$217,0)</f>
        <v>5</v>
      </c>
      <c r="AC170" s="1296">
        <f ca="1">AB170</f>
        <v>5</v>
      </c>
      <c r="AD170" s="1296" t="str">
        <f>B170</f>
        <v>Interior lighting</v>
      </c>
      <c r="AE170" s="15"/>
      <c r="AF170" s="2826" t="str">
        <f>IFERROR(G170/Lighting!$L$43,"")</f>
        <v/>
      </c>
      <c r="AG170" s="2826"/>
      <c r="AH170" s="1066"/>
      <c r="AI170" s="788"/>
      <c r="AJ170" s="788"/>
      <c r="AK170" s="1195"/>
      <c r="AO170" s="535"/>
      <c r="BC170" s="1906"/>
      <c r="BF170" s="1957" t="str">
        <f>BF96</f>
        <v>L</v>
      </c>
      <c r="BG170" s="1957" t="str">
        <f>BG96</f>
        <v>Lighting - Conditioned</v>
      </c>
      <c r="BH170" s="1957" t="str">
        <f t="shared" ref="BH170" si="25">BH96</f>
        <v>Electricity</v>
      </c>
      <c r="BI170" s="1957">
        <f>IF(BG170&lt;&gt;"",IFERROR(MATCH(BG170&amp;BH170,'Results from Trace'!$L$1:$L$21,0),""),"")</f>
        <v>7</v>
      </c>
    </row>
    <row r="171" spans="1:61" ht="16.2" customHeight="1" x14ac:dyDescent="0.3">
      <c r="A171" s="1063" t="s">
        <v>1299</v>
      </c>
      <c r="B171" s="2795"/>
      <c r="C171" s="2795"/>
      <c r="D171" s="2819"/>
      <c r="E171" s="2820"/>
      <c r="F171" s="1132" t="str">
        <f>IFERROR(IF(ISBLANK(E170),"","Demand (" &amp; VLOOKUP($E170,PO_Enrgy_1_Table,MATCH($E$16,PO_Enrgy_1_Hdr,0),FALSE) &amp; ")"),"")</f>
        <v>Demand (kW)</v>
      </c>
      <c r="G171" s="1217">
        <f>INDEX(PO_baseline_table,2, 10)</f>
        <v>139.07124999999999</v>
      </c>
      <c r="H171" s="1160">
        <v>96.13</v>
      </c>
      <c r="I171" s="1219">
        <f t="shared" ref="I171:I217" si="26">IFERROR(1-H171/G171,"")</f>
        <v>0.30877158291163698</v>
      </c>
      <c r="J171" s="2822"/>
      <c r="K171" s="2823"/>
      <c r="L171" s="2823"/>
      <c r="M171" s="2825"/>
      <c r="Q171" s="1296" t="str">
        <f t="shared" si="18"/>
        <v/>
      </c>
      <c r="R171" s="1296" t="str">
        <f t="shared" si="19"/>
        <v/>
      </c>
      <c r="S171" s="1296" t="str">
        <f t="shared" si="20"/>
        <v/>
      </c>
      <c r="T171" s="1296" t="str">
        <f t="shared" si="21"/>
        <v/>
      </c>
      <c r="V171" s="1305">
        <f t="shared" si="22"/>
        <v>0</v>
      </c>
      <c r="W171" s="1296">
        <f t="shared" si="23"/>
        <v>0</v>
      </c>
      <c r="X171" s="1296">
        <f t="shared" si="24"/>
        <v>0</v>
      </c>
      <c r="Y171" s="1296"/>
      <c r="Z171" s="1296"/>
      <c r="AA171" s="1296"/>
      <c r="AB171" s="1296"/>
      <c r="AC171" s="1296"/>
      <c r="AD171" s="1296"/>
      <c r="AE171" s="15"/>
      <c r="AF171" s="2826"/>
      <c r="AG171" s="2826"/>
      <c r="AH171" s="1066"/>
      <c r="AI171" s="788"/>
      <c r="AJ171" s="788"/>
      <c r="AK171" s="1196"/>
      <c r="AO171" s="535"/>
      <c r="BC171" s="1906"/>
      <c r="BF171" s="1957" t="str">
        <f t="shared" ref="BF171:BH186" si="27">BF97</f>
        <v>Y</v>
      </c>
      <c r="BG171" s="1957">
        <f t="shared" si="27"/>
        <v>0</v>
      </c>
      <c r="BH171" s="1957">
        <f t="shared" si="27"/>
        <v>0</v>
      </c>
      <c r="BI171" s="1957" t="str">
        <f>IF(BG171&lt;&gt;"",IFERROR(MATCH(BG171&amp;BH171,'Results from Trace'!$L$1:$L$21,0),""),"")</f>
        <v/>
      </c>
    </row>
    <row r="172" spans="1:61" ht="16.2" customHeight="1" x14ac:dyDescent="0.3">
      <c r="A172" s="1063" t="s">
        <v>1299</v>
      </c>
      <c r="B172" s="2794" t="s">
        <v>481</v>
      </c>
      <c r="C172" s="2794"/>
      <c r="D172" s="2819">
        <f>INDEX(PO_baseline_table,3, 3)</f>
        <v>0</v>
      </c>
      <c r="E172" s="2820" t="str">
        <f>INDEX(PO_baseline_table,3, 4)</f>
        <v>Electricity</v>
      </c>
      <c r="F172" s="1132" t="str">
        <f>IFERROR(IF(ISBLANK(E172),"","Consumption (" &amp; VLOOKUP($E172,PO_Enrgy_1_Table,MATCH($C$16,PO_Enrgy_1_Hdr,0),FALSE) &amp; ")"),"")</f>
        <v>Consumption (kWh)</v>
      </c>
      <c r="G172" s="1217">
        <f>INDEX(PO_baseline_table,3, 10)</f>
        <v>271545.75</v>
      </c>
      <c r="H172" s="1160">
        <v>113464.09</v>
      </c>
      <c r="I172" s="1359">
        <f t="shared" si="26"/>
        <v>0.58215479343720167</v>
      </c>
      <c r="J172" s="2821">
        <f ca="1">IFERROR(IF($E$326-$H$326&lt;0,"",($G172-$H172)*VLOOKUP($E172,PO_Enrgy_1_Table,MATCH($K$16,PO_Enrgy_1_Hdr,0),FALSE)/($E$326-$H$326)),"")</f>
        <v>0.25544177741464186</v>
      </c>
      <c r="K172" s="2823">
        <f ca="1">IFERROR(IF($G$326-$J$326&lt;0,"",($G172*VLOOKUP($E172,PO_Enrgy_8_Table,MATCH($E$231,PO_Enrgy_8_Hdr,0),FALSE)-($H172*VLOOKUP($E172,PO_Enrgy_8_Table,MATCH($H$231,PO_Enrgy_8_Hdr,0),FALSE)))/($G$326-$J$326)),"")</f>
        <v>0.25544177741464186</v>
      </c>
      <c r="L172" s="2823"/>
      <c r="M172" s="2824">
        <f ca="1">IFERROR(H172*VLOOKUP($E172,PO_Enrgy_1_Table,MATCH($K$16,PO_Enrgy_1_Hdr,0))/$H$226,"")</f>
        <v>2.7323575365312859E-2</v>
      </c>
      <c r="Q172" s="1296">
        <f t="shared" si="18"/>
        <v>9.999999999999998E-4</v>
      </c>
      <c r="R172" s="1296">
        <f t="shared" si="19"/>
        <v>3.1399999999999996E-3</v>
      </c>
      <c r="S172" s="1296">
        <f t="shared" si="20"/>
        <v>4364.0034391874524</v>
      </c>
      <c r="T172" s="1296">
        <f t="shared" si="21"/>
        <v>4364.0034615384611</v>
      </c>
      <c r="V172" s="1305">
        <f t="shared" si="22"/>
        <v>0</v>
      </c>
      <c r="W172" s="1296">
        <f t="shared" si="23"/>
        <v>0</v>
      </c>
      <c r="X172" s="1296">
        <f t="shared" si="24"/>
        <v>0</v>
      </c>
      <c r="Y172" s="1296" t="b">
        <f>IFERROR(IF(D172="x",IF(OR(G172/H172&gt;1.03,G172/H172&lt;0.97),TRUE,FALSE),FALSE),FALSE)</f>
        <v>0</v>
      </c>
      <c r="Z172" s="1296">
        <f ca="1">IFERROR(J172*100,)</f>
        <v>25.544177741464186</v>
      </c>
      <c r="AA172" s="1296"/>
      <c r="AB172" s="1296">
        <f ca="1">RANK(Z172,$Z$170:$Z$217,0)</f>
        <v>3</v>
      </c>
      <c r="AC172" s="1296">
        <f ca="1">AB172+COUNTIF($AB$170:$AB171,AB172)</f>
        <v>3</v>
      </c>
      <c r="AD172" s="1296" t="str">
        <f>B172</f>
        <v>Exterior lighting</v>
      </c>
      <c r="AE172" s="15"/>
      <c r="AF172" s="2827"/>
      <c r="AG172" s="2827"/>
      <c r="AH172" s="1066"/>
      <c r="AI172" s="788"/>
      <c r="AJ172" s="788"/>
      <c r="AK172" s="1195"/>
      <c r="AO172" s="535"/>
      <c r="BC172" s="1906"/>
      <c r="BF172" s="1957" t="str">
        <f t="shared" si="27"/>
        <v>W</v>
      </c>
      <c r="BG172" s="1957" t="str">
        <f t="shared" si="27"/>
        <v>Stand-alone Base Utilities</v>
      </c>
      <c r="BH172" s="1957" t="str">
        <f t="shared" si="27"/>
        <v>Electricity</v>
      </c>
      <c r="BI172" s="1957">
        <f>IF(BG172&lt;&gt;"",IFERROR(MATCH(BG172&amp;BH172,'Results from Trace'!$L$1:$L$21,0),""),"")</f>
        <v>15</v>
      </c>
    </row>
    <row r="173" spans="1:61" ht="16.2" customHeight="1" x14ac:dyDescent="0.3">
      <c r="A173" s="1063" t="s">
        <v>1299</v>
      </c>
      <c r="B173" s="2794"/>
      <c r="C173" s="2794"/>
      <c r="D173" s="2819"/>
      <c r="E173" s="2820"/>
      <c r="F173" s="1132" t="str">
        <f>IFERROR(IF(ISBLANK(E172),"","Demand (" &amp; VLOOKUP($E172,PO_Enrgy_1_Table,MATCH($E$16,PO_Enrgy_1_Hdr,0),FALSE) &amp; ")"),"")</f>
        <v>Demand (kW)</v>
      </c>
      <c r="G173" s="1218">
        <f>INDEX(PO_baseline_table,4, 10)</f>
        <v>62.223999999999997</v>
      </c>
      <c r="H173" s="1160">
        <v>26</v>
      </c>
      <c r="I173" s="1219">
        <f t="shared" si="26"/>
        <v>0.58215479557726924</v>
      </c>
      <c r="J173" s="2822"/>
      <c r="K173" s="2823"/>
      <c r="L173" s="2823"/>
      <c r="M173" s="2825"/>
      <c r="Q173" s="1296" t="str">
        <f t="shared" si="18"/>
        <v/>
      </c>
      <c r="R173" s="1296" t="str">
        <f t="shared" si="19"/>
        <v/>
      </c>
      <c r="S173" s="1296" t="str">
        <f t="shared" si="20"/>
        <v/>
      </c>
      <c r="T173" s="1296" t="str">
        <f t="shared" si="21"/>
        <v/>
      </c>
      <c r="V173" s="1305">
        <f t="shared" si="22"/>
        <v>0</v>
      </c>
      <c r="W173" s="1296">
        <f t="shared" si="23"/>
        <v>0</v>
      </c>
      <c r="X173" s="1296">
        <f t="shared" si="24"/>
        <v>0</v>
      </c>
      <c r="Y173" s="1296"/>
      <c r="Z173" s="1296"/>
      <c r="AA173" s="1296"/>
      <c r="AB173" s="1296"/>
      <c r="AC173" s="1296"/>
      <c r="AD173" s="1296"/>
      <c r="AE173" s="15"/>
      <c r="AF173" s="2827"/>
      <c r="AG173" s="2827"/>
      <c r="AH173" s="1066"/>
      <c r="AI173" s="788"/>
      <c r="AJ173" s="788"/>
      <c r="AK173" s="1196"/>
      <c r="AO173" s="535"/>
      <c r="BC173" s="1906"/>
      <c r="BF173" s="1957" t="str">
        <f t="shared" si="27"/>
        <v>AJ</v>
      </c>
      <c r="BG173" s="1957">
        <f t="shared" si="27"/>
        <v>0</v>
      </c>
      <c r="BH173" s="1957">
        <f t="shared" si="27"/>
        <v>0</v>
      </c>
      <c r="BI173" s="1957" t="str">
        <f>IF(BG173&lt;&gt;"",IFERROR(MATCH(BG173&amp;BH173,'Results from Trace'!$L$1:$L$21,0),""),"")</f>
        <v/>
      </c>
    </row>
    <row r="174" spans="1:61" ht="16.2" customHeight="1" x14ac:dyDescent="0.3">
      <c r="A174" s="1063" t="s">
        <v>1299</v>
      </c>
      <c r="B174" s="2794" t="s">
        <v>480</v>
      </c>
      <c r="C174" s="2794"/>
      <c r="D174" s="2819">
        <f>INDEX(PO_baseline_table,5, 3)</f>
        <v>0</v>
      </c>
      <c r="E174" s="2820" t="str">
        <f>INDEX(PO_baseline_table,5, 4)</f>
        <v>Electricity</v>
      </c>
      <c r="F174" s="1132" t="str">
        <f>IFERROR(IF(ISBLANK(E174),"","Consumption (" &amp; VLOOKUP($E174,PO_Enrgy_1_Table,MATCH($C$16,PO_Enrgy_1_Hdr,0),FALSE) &amp; ")"),"")</f>
        <v>Consumption (kWh)</v>
      </c>
      <c r="G174" s="1217">
        <f>INDEX(PO_baseline_table,5, 10)</f>
        <v>33715.654999999999</v>
      </c>
      <c r="H174" s="1160">
        <v>27193.62</v>
      </c>
      <c r="I174" s="1359">
        <f t="shared" si="26"/>
        <v>0.19344233413231926</v>
      </c>
      <c r="J174" s="2821">
        <f ca="1">IFERROR(IF($E$326-$H$326&lt;0,"",($G174-$H174)*VLOOKUP($E174,PO_Enrgy_1_Table,MATCH($K$16,PO_Enrgy_1_Hdr,0),FALSE)/($E$326-$H$326)),"")</f>
        <v>1.0538858288561138E-2</v>
      </c>
      <c r="K174" s="2823">
        <f ca="1">IFERROR(IF($G$326-$J$326&lt;0,"",($G174*VLOOKUP($E174,PO_Enrgy_8_Table,MATCH($E$231,PO_Enrgy_8_Hdr,0),FALSE)-($H174*VLOOKUP($E174,PO_Enrgy_8_Table,MATCH($H$231,PO_Enrgy_8_Hdr,0),FALSE)))/($G$326-$J$326)),"")</f>
        <v>1.0538858288561137E-2</v>
      </c>
      <c r="L174" s="2823"/>
      <c r="M174" s="2824">
        <f ca="1">IFERROR(H174*VLOOKUP($E174,PO_Enrgy_1_Table,MATCH($K$16,PO_Enrgy_1_Hdr,0))/$H$226,"")</f>
        <v>6.5485646209798984E-3</v>
      </c>
      <c r="Q174" s="1296">
        <f t="shared" si="18"/>
        <v>9.999999999999998E-4</v>
      </c>
      <c r="R174" s="1296">
        <f t="shared" si="19"/>
        <v>3.1399999999999996E-3</v>
      </c>
      <c r="S174" s="1296">
        <f t="shared" si="20"/>
        <v>71.906021732407737</v>
      </c>
      <c r="T174" s="1296">
        <f t="shared" si="21"/>
        <v>133.28899127536513</v>
      </c>
      <c r="V174" s="1305">
        <f t="shared" si="22"/>
        <v>0</v>
      </c>
      <c r="W174" s="1296">
        <f t="shared" si="23"/>
        <v>0</v>
      </c>
      <c r="X174" s="1296">
        <f t="shared" si="24"/>
        <v>0</v>
      </c>
      <c r="Y174" s="1296" t="b">
        <f>IFERROR(IF(D174="x",IF(OR(G174/H174&gt;1.03,G174/H174&lt;0.97),TRUE,FALSE),FALSE),FALSE)</f>
        <v>0</v>
      </c>
      <c r="Z174" s="1296">
        <f ca="1">IFERROR(J174*100,)</f>
        <v>1.0538858288561139</v>
      </c>
      <c r="AA174" s="1296"/>
      <c r="AB174" s="1296">
        <f ca="1">RANK(Z174,$Z$170:$Z$217,0)</f>
        <v>7</v>
      </c>
      <c r="AC174" s="1296">
        <f ca="1">AB174+COUNTIF($AB$170:$AB173,AB174)</f>
        <v>7</v>
      </c>
      <c r="AD174" s="1296" t="str">
        <f>B174</f>
        <v>Space heating</v>
      </c>
      <c r="AE174" s="15"/>
      <c r="AF174" s="2827"/>
      <c r="AG174" s="2827"/>
      <c r="AH174" s="1066"/>
      <c r="AI174" s="788"/>
      <c r="AJ174" s="788"/>
      <c r="AK174" s="1195"/>
      <c r="AO174" s="535"/>
      <c r="BC174" s="1906"/>
      <c r="BF174" s="1957" t="str">
        <f t="shared" si="27"/>
        <v>BA</v>
      </c>
      <c r="BG174" s="1957" t="str">
        <f t="shared" si="27"/>
        <v>Space Heating</v>
      </c>
      <c r="BH174" s="1957" t="str">
        <f t="shared" si="27"/>
        <v>Gas</v>
      </c>
      <c r="BI174" s="1957">
        <f>IF(BG174&lt;&gt;"",IFERROR(MATCH(BG174&amp;BH174,'Results from Trace'!$L$1:$L$21,0),""),"")</f>
        <v>9</v>
      </c>
    </row>
    <row r="175" spans="1:61" ht="16.2" customHeight="1" x14ac:dyDescent="0.3">
      <c r="A175" s="1063" t="s">
        <v>1299</v>
      </c>
      <c r="B175" s="2794"/>
      <c r="C175" s="2794"/>
      <c r="D175" s="2819"/>
      <c r="E175" s="2820"/>
      <c r="F175" s="1132" t="str">
        <f>IFERROR(IF(ISBLANK(E174),"","Demand (" &amp; VLOOKUP($E174,PO_Enrgy_1_Table,MATCH($E$16,PO_Enrgy_1_Hdr,0),FALSE) &amp; ")"),"")</f>
        <v>Demand (kW)</v>
      </c>
      <c r="G175" s="1218">
        <f>INDEX(PO_baseline_table,6, 10)</f>
        <v>468.88499999999999</v>
      </c>
      <c r="H175" s="1160">
        <v>204.02</v>
      </c>
      <c r="I175" s="1219">
        <f t="shared" si="26"/>
        <v>0.56488264713095959</v>
      </c>
      <c r="J175" s="2822"/>
      <c r="K175" s="2823"/>
      <c r="L175" s="2823"/>
      <c r="M175" s="2825"/>
      <c r="Q175" s="1296" t="str">
        <f t="shared" si="18"/>
        <v/>
      </c>
      <c r="R175" s="1296" t="str">
        <f t="shared" si="19"/>
        <v/>
      </c>
      <c r="S175" s="1296" t="str">
        <f t="shared" si="20"/>
        <v/>
      </c>
      <c r="T175" s="1296" t="str">
        <f t="shared" si="21"/>
        <v/>
      </c>
      <c r="V175" s="1305">
        <f t="shared" si="22"/>
        <v>0</v>
      </c>
      <c r="W175" s="1296">
        <f t="shared" si="23"/>
        <v>0</v>
      </c>
      <c r="X175" s="1296">
        <f t="shared" si="24"/>
        <v>0</v>
      </c>
      <c r="Y175" s="1296"/>
      <c r="Z175" s="1296"/>
      <c r="AA175" s="1296"/>
      <c r="AB175" s="1296"/>
      <c r="AC175" s="1296"/>
      <c r="AD175" s="1296"/>
      <c r="AE175" s="15"/>
      <c r="AF175" s="2827"/>
      <c r="AG175" s="2827"/>
      <c r="AH175" s="1066"/>
      <c r="AI175" s="788"/>
      <c r="AJ175" s="788"/>
      <c r="AK175" s="1196"/>
      <c r="AO175" s="535"/>
      <c r="BC175" s="1906"/>
      <c r="BF175" s="1957">
        <f t="shared" si="27"/>
        <v>0</v>
      </c>
      <c r="BG175" s="1957">
        <f t="shared" si="27"/>
        <v>0</v>
      </c>
      <c r="BH175" s="1957">
        <f t="shared" si="27"/>
        <v>0</v>
      </c>
      <c r="BI175" s="1957" t="str">
        <f>IF(BG175&lt;&gt;"",IFERROR(MATCH(BG175&amp;BH175,'Results from Trace'!$L$1:$L$21,0),""),"")</f>
        <v/>
      </c>
    </row>
    <row r="176" spans="1:61" ht="16.2" customHeight="1" x14ac:dyDescent="0.3">
      <c r="A176" s="1063" t="s">
        <v>1299</v>
      </c>
      <c r="B176" s="2794" t="s">
        <v>479</v>
      </c>
      <c r="C176" s="2794"/>
      <c r="D176" s="2819">
        <f>INDEX(PO_baseline_table,7, 3)</f>
        <v>0</v>
      </c>
      <c r="E176" s="2820" t="str">
        <f>INDEX(PO_baseline_table,7, 4)</f>
        <v>Electricity</v>
      </c>
      <c r="F176" s="1132" t="str">
        <f>IFERROR(IF(ISBLANK(E176),"","Consumption (" &amp; VLOOKUP($E176,PO_Enrgy_1_Table,MATCH($C$16,PO_Enrgy_1_Hdr,0),FALSE) &amp; ")"),"")</f>
        <v>Consumption (kWh)</v>
      </c>
      <c r="G176" s="1217">
        <f>INDEX(PO_baseline_table,7, 10)</f>
        <v>1040921.8400000001</v>
      </c>
      <c r="H176" s="1160">
        <v>1477743.8</v>
      </c>
      <c r="I176" s="1359">
        <f t="shared" si="26"/>
        <v>-0.41964914483877092</v>
      </c>
      <c r="J176" s="2821">
        <f ca="1">IFERROR(IF($E$326-$H$326&lt;0,"",($G176-$H176)*VLOOKUP($E176,PO_Enrgy_1_Table,MATCH($K$16,PO_Enrgy_1_Hdr,0),FALSE)/($E$326-$H$326)),"")</f>
        <v>-0.70585403693349114</v>
      </c>
      <c r="K176" s="2823">
        <f ca="1">IFERROR(IF($G$326-$J$326&lt;0,"",($G176*VLOOKUP($E176,PO_Enrgy_8_Table,MATCH($E$231,PO_Enrgy_8_Hdr,0),FALSE)-($H176*VLOOKUP($E176,PO_Enrgy_8_Table,MATCH($H$231,PO_Enrgy_8_Hdr,0),FALSE)))/($G$326-$J$326)),"")</f>
        <v>-0.70585403693349147</v>
      </c>
      <c r="L176" s="2823"/>
      <c r="M176" s="2824">
        <f ca="1">IFERROR(H176*VLOOKUP($E176,PO_Enrgy_1_Table,MATCH($K$16,PO_Enrgy_1_Hdr,0))/$H$226,"")</f>
        <v>0.35585923343609255</v>
      </c>
      <c r="Q176" s="1296">
        <f t="shared" si="18"/>
        <v>9.999999999999998E-4</v>
      </c>
      <c r="R176" s="1296">
        <f t="shared" si="19"/>
        <v>3.1399999999999996E-3</v>
      </c>
      <c r="S176" s="1296">
        <f t="shared" si="20"/>
        <v>1541.6781856891607</v>
      </c>
      <c r="T176" s="1296">
        <f t="shared" si="21"/>
        <v>1495.722383044191</v>
      </c>
      <c r="V176" s="1305">
        <f t="shared" si="22"/>
        <v>0</v>
      </c>
      <c r="W176" s="1296">
        <f t="shared" si="23"/>
        <v>0</v>
      </c>
      <c r="X176" s="1296">
        <f t="shared" si="24"/>
        <v>0</v>
      </c>
      <c r="Y176" s="1296" t="b">
        <f>IFERROR(IF(D176="x",IF(OR(G176/H176&gt;1.03,G176/H176&lt;0.97),TRUE,FALSE),FALSE),FALSE)</f>
        <v>0</v>
      </c>
      <c r="Z176" s="1296">
        <f ca="1">IFERROR(J176*100,)</f>
        <v>-70.585403693349107</v>
      </c>
      <c r="AA176" s="1296"/>
      <c r="AB176" s="1296">
        <f ca="1">RANK(Z176,$Z$170:$Z$217,0)</f>
        <v>24</v>
      </c>
      <c r="AC176" s="1296">
        <f ca="1">AB176+COUNTIF($AB$170:$AB175,AB176)</f>
        <v>24</v>
      </c>
      <c r="AD176" s="1296" t="str">
        <f>B176</f>
        <v>Space cooling</v>
      </c>
      <c r="AE176" s="15"/>
      <c r="AF176" s="2827"/>
      <c r="AG176" s="2827"/>
      <c r="AH176" s="1066"/>
      <c r="AI176" s="788"/>
      <c r="AJ176" s="788"/>
      <c r="AK176" s="1195"/>
      <c r="AO176" s="535"/>
      <c r="BC176" s="1906"/>
      <c r="BF176" s="1957" t="str">
        <f t="shared" si="27"/>
        <v>P</v>
      </c>
      <c r="BG176" s="1957" t="str">
        <f t="shared" si="27"/>
        <v>Space Cooling</v>
      </c>
      <c r="BH176" s="1957" t="str">
        <f t="shared" si="27"/>
        <v>Electricity</v>
      </c>
      <c r="BI176" s="1957">
        <f>IF(BG176&lt;&gt;"",IFERROR(MATCH(BG176&amp;BH176,'Results from Trace'!$L$1:$L$21,0),""),"")</f>
        <v>10</v>
      </c>
    </row>
    <row r="177" spans="1:61" ht="16.2" customHeight="1" x14ac:dyDescent="0.3">
      <c r="A177" s="1063" t="s">
        <v>1299</v>
      </c>
      <c r="B177" s="2794"/>
      <c r="C177" s="2794"/>
      <c r="D177" s="2819"/>
      <c r="E177" s="2820"/>
      <c r="F177" s="1132" t="str">
        <f>IFERROR(IF(ISBLANK(E176),"","Demand (" &amp; VLOOKUP($E176,PO_Enrgy_1_Table,MATCH($E$16,PO_Enrgy_1_Hdr,0),FALSE) &amp; ")"),"")</f>
        <v>Demand (kW)</v>
      </c>
      <c r="G177" s="1218">
        <f>INDEX(PO_baseline_table,8, 10)</f>
        <v>675.1875</v>
      </c>
      <c r="H177" s="1160">
        <v>987.98</v>
      </c>
      <c r="I177" s="1219">
        <f t="shared" si="26"/>
        <v>-0.46326761084883827</v>
      </c>
      <c r="J177" s="2822"/>
      <c r="K177" s="2823"/>
      <c r="L177" s="2823"/>
      <c r="M177" s="2825"/>
      <c r="Q177" s="1296" t="str">
        <f t="shared" si="18"/>
        <v/>
      </c>
      <c r="R177" s="1296" t="str">
        <f t="shared" si="19"/>
        <v/>
      </c>
      <c r="S177" s="1296" t="str">
        <f t="shared" si="20"/>
        <v/>
      </c>
      <c r="T177" s="1296" t="str">
        <f t="shared" si="21"/>
        <v/>
      </c>
      <c r="V177" s="1305">
        <f t="shared" si="22"/>
        <v>0</v>
      </c>
      <c r="W177" s="1296">
        <f t="shared" si="23"/>
        <v>0</v>
      </c>
      <c r="X177" s="1296">
        <f t="shared" si="24"/>
        <v>0</v>
      </c>
      <c r="Y177" s="1296"/>
      <c r="Z177" s="1296"/>
      <c r="AA177" s="1296"/>
      <c r="AB177" s="1296"/>
      <c r="AC177" s="1296"/>
      <c r="AD177" s="1296"/>
      <c r="AE177" s="15"/>
      <c r="AF177" s="2827"/>
      <c r="AG177" s="2827"/>
      <c r="AH177" s="1066"/>
      <c r="AI177" s="788"/>
      <c r="AJ177" s="788"/>
      <c r="AK177" s="1196"/>
      <c r="AO177" s="535"/>
      <c r="BC177" s="1906"/>
      <c r="BF177" s="1957" t="str">
        <f t="shared" si="27"/>
        <v>AC</v>
      </c>
      <c r="BG177" s="1957">
        <f t="shared" si="27"/>
        <v>0</v>
      </c>
      <c r="BH177" s="1957">
        <f t="shared" si="27"/>
        <v>0</v>
      </c>
      <c r="BI177" s="1957" t="str">
        <f>IF(BG177&lt;&gt;"",IFERROR(MATCH(BG177&amp;BH177,'Results from Trace'!$L$1:$L$21,0),""),"")</f>
        <v/>
      </c>
    </row>
    <row r="178" spans="1:61" ht="16.2" customHeight="1" x14ac:dyDescent="0.3">
      <c r="A178" s="1063" t="s">
        <v>1299</v>
      </c>
      <c r="B178" s="2794" t="s">
        <v>477</v>
      </c>
      <c r="C178" s="2794"/>
      <c r="D178" s="2819">
        <f>INDEX(PO_baseline_table,9, 3)</f>
        <v>0</v>
      </c>
      <c r="E178" s="2820" t="str">
        <f>INDEX(PO_baseline_table,9, 4)</f>
        <v>Electricity</v>
      </c>
      <c r="F178" s="1132" t="str">
        <f>IFERROR(IF(ISBLANK(E178),"","Consumption (" &amp; VLOOKUP($E178,PO_Enrgy_1_Table,MATCH($C$16,PO_Enrgy_1_Hdr,0),FALSE) &amp; ")"),"")</f>
        <v>Consumption (kWh)</v>
      </c>
      <c r="G178" s="1217">
        <f>INDEX(PO_baseline_table,9, 10)</f>
        <v>310644.88750000001</v>
      </c>
      <c r="H178" s="1160">
        <v>233963.63</v>
      </c>
      <c r="I178" s="1359">
        <f t="shared" si="26"/>
        <v>0.2468453870820585</v>
      </c>
      <c r="J178" s="2821">
        <f ca="1">IFERROR(IF($E$326-$H$326&lt;0,"",($G178-$H178)*VLOOKUP($E178,PO_Enrgy_1_Table,MATCH($K$16,PO_Enrgy_1_Hdr,0),FALSE)/($E$326-$H$326)),"")</f>
        <v>0.12390809098405114</v>
      </c>
      <c r="K178" s="2823">
        <f ca="1">IFERROR(IF($G$326-$J$326&lt;0,"",($G178*VLOOKUP($E178,PO_Enrgy_8_Table,MATCH($E$231,PO_Enrgy_8_Hdr,0),FALSE)-($H178*VLOOKUP($E178,PO_Enrgy_8_Table,MATCH($H$231,PO_Enrgy_8_Hdr,0),FALSE)))/($G$326-$J$326)),"")</f>
        <v>0.12390809098405112</v>
      </c>
      <c r="L178" s="2823"/>
      <c r="M178" s="2824">
        <f ca="1">IFERROR(H178*VLOOKUP($E178,PO_Enrgy_1_Table,MATCH($K$16,PO_Enrgy_1_Hdr,0))/$H$226,"")</f>
        <v>5.6341375293691362E-2</v>
      </c>
      <c r="Q178" s="1296">
        <f t="shared" si="18"/>
        <v>9.999999999999998E-4</v>
      </c>
      <c r="R178" s="1296">
        <f t="shared" si="19"/>
        <v>3.1399999999999996E-3</v>
      </c>
      <c r="S178" s="1296">
        <f t="shared" si="20"/>
        <v>3194.5382677327302</v>
      </c>
      <c r="T178" s="1296">
        <f t="shared" si="21"/>
        <v>2613.2428236345359</v>
      </c>
      <c r="V178" s="1305">
        <f t="shared" si="22"/>
        <v>0</v>
      </c>
      <c r="W178" s="1296">
        <f t="shared" si="23"/>
        <v>0</v>
      </c>
      <c r="X178" s="1296">
        <f t="shared" si="24"/>
        <v>0</v>
      </c>
      <c r="Y178" s="1296" t="b">
        <f>IFERROR(IF(D178="x",IF(OR(G178/H178&gt;1.03,G178/H178&lt;0.97),TRUE,FALSE),FALSE),FALSE)</f>
        <v>0</v>
      </c>
      <c r="Z178" s="1296">
        <f ca="1">IFERROR(J178*100,)</f>
        <v>12.390809098405114</v>
      </c>
      <c r="AA178" s="1296"/>
      <c r="AB178" s="1296">
        <f ca="1">RANK(Z178,$Z$170:$Z$217,0)</f>
        <v>6</v>
      </c>
      <c r="AC178" s="1296">
        <f ca="1">AB178+COUNTIF($AB$170:$AB177,AB178)</f>
        <v>6</v>
      </c>
      <c r="AD178" s="1296" t="str">
        <f>B178</f>
        <v>Pumps</v>
      </c>
      <c r="AE178" s="15"/>
      <c r="AF178" s="2827"/>
      <c r="AG178" s="2827"/>
      <c r="AH178" s="1066"/>
      <c r="AI178" s="788"/>
      <c r="AJ178" s="788"/>
      <c r="AK178" s="1195"/>
      <c r="AO178" s="535"/>
      <c r="BC178" s="1906"/>
      <c r="BF178" s="1957" t="str">
        <f t="shared" si="27"/>
        <v>R</v>
      </c>
      <c r="BG178" s="1957" t="str">
        <f t="shared" si="27"/>
        <v>Pumps</v>
      </c>
      <c r="BH178" s="1957" t="str">
        <f t="shared" si="27"/>
        <v>Electricity</v>
      </c>
      <c r="BI178" s="1957">
        <f>IF(BG178&lt;&gt;"",IFERROR(MATCH(BG178&amp;BH178,'Results from Trace'!$L$1:$L$21,0),""),"")</f>
        <v>11</v>
      </c>
    </row>
    <row r="179" spans="1:61" ht="16.2" customHeight="1" x14ac:dyDescent="0.3">
      <c r="A179" s="1063" t="s">
        <v>1299</v>
      </c>
      <c r="B179" s="2794"/>
      <c r="C179" s="2794"/>
      <c r="D179" s="2819"/>
      <c r="E179" s="2820"/>
      <c r="F179" s="1132" t="str">
        <f>IFERROR(IF(ISBLANK(E178),"","Demand (" &amp; VLOOKUP($E178,PO_Enrgy_1_Table,MATCH($E$16,PO_Enrgy_1_Hdr,0),FALSE) &amp; ")"),"")</f>
        <v>Demand (kW)</v>
      </c>
      <c r="G179" s="1218">
        <f>INDEX(PO_baseline_table,10, 10)</f>
        <v>97.242500000000007</v>
      </c>
      <c r="H179" s="1160">
        <v>89.53</v>
      </c>
      <c r="I179" s="1219">
        <f t="shared" si="26"/>
        <v>7.9312029205337198E-2</v>
      </c>
      <c r="J179" s="2822"/>
      <c r="K179" s="2823"/>
      <c r="L179" s="2823"/>
      <c r="M179" s="2825"/>
      <c r="Q179" s="1296" t="str">
        <f t="shared" si="18"/>
        <v/>
      </c>
      <c r="R179" s="1296" t="str">
        <f t="shared" si="19"/>
        <v/>
      </c>
      <c r="S179" s="1296" t="str">
        <f t="shared" si="20"/>
        <v/>
      </c>
      <c r="T179" s="1296" t="str">
        <f t="shared" si="21"/>
        <v/>
      </c>
      <c r="V179" s="1305">
        <f t="shared" si="22"/>
        <v>0</v>
      </c>
      <c r="W179" s="1296">
        <f t="shared" si="23"/>
        <v>0</v>
      </c>
      <c r="X179" s="1296">
        <f t="shared" si="24"/>
        <v>0</v>
      </c>
      <c r="Y179" s="1296"/>
      <c r="Z179" s="1296"/>
      <c r="AA179" s="1296"/>
      <c r="AB179" s="1296"/>
      <c r="AC179" s="1296"/>
      <c r="AD179" s="1296"/>
      <c r="AE179" s="15"/>
      <c r="AF179" s="2827"/>
      <c r="AG179" s="2827"/>
      <c r="AH179" s="1066"/>
      <c r="AI179" s="788"/>
      <c r="AJ179" s="788"/>
      <c r="AK179" s="1196"/>
      <c r="AO179" s="535"/>
      <c r="BC179" s="1906"/>
      <c r="BF179" s="1957" t="str">
        <f t="shared" si="27"/>
        <v>AE</v>
      </c>
      <c r="BG179" s="1957">
        <f t="shared" si="27"/>
        <v>0</v>
      </c>
      <c r="BH179" s="1957">
        <f t="shared" si="27"/>
        <v>0</v>
      </c>
      <c r="BI179" s="1957" t="str">
        <f>IF(BG179&lt;&gt;"",IFERROR(MATCH(BG179&amp;BH179,'Results from Trace'!$L$1:$L$21,0),""),"")</f>
        <v/>
      </c>
    </row>
    <row r="180" spans="1:61" ht="16.2" customHeight="1" x14ac:dyDescent="0.3">
      <c r="A180" s="1063" t="s">
        <v>1299</v>
      </c>
      <c r="B180" s="2794" t="s">
        <v>476</v>
      </c>
      <c r="C180" s="2794"/>
      <c r="D180" s="2819">
        <f>INDEX(PO_baseline_table,11, 3)</f>
        <v>0</v>
      </c>
      <c r="E180" s="2820" t="str">
        <f>INDEX(PO_baseline_table,11, 4)</f>
        <v>Electricity</v>
      </c>
      <c r="F180" s="1132" t="str">
        <f>IFERROR(IF(ISBLANK(E180),"","Consumption (" &amp; VLOOKUP($E180,PO_Enrgy_1_Table,MATCH($C$16,PO_Enrgy_1_Hdr,0),FALSE) &amp; ")"),"")</f>
        <v>Consumption (kWh)</v>
      </c>
      <c r="G180" s="1217">
        <f>INDEX(PO_baseline_table,11, 10)</f>
        <v>124729.35500000001</v>
      </c>
      <c r="H180" s="1160">
        <v>0</v>
      </c>
      <c r="I180" s="1359">
        <f t="shared" si="26"/>
        <v>1</v>
      </c>
      <c r="J180" s="2821">
        <f ca="1">IFERROR(IF($E$326-$H$326&lt;0,"",($G180-$H180)*VLOOKUP($E180,PO_Enrgy_1_Table,MATCH($K$16,PO_Enrgy_1_Hdr,0),FALSE)/($E$326-$H$326)),"")</f>
        <v>0.20154828926380106</v>
      </c>
      <c r="K180" s="2823">
        <f ca="1">IFERROR(IF($G$326-$J$326&lt;0,"",($G180*VLOOKUP($E180,PO_Enrgy_8_Table,MATCH($E$231,PO_Enrgy_8_Hdr,0),FALSE)-($H180*VLOOKUP($E180,PO_Enrgy_8_Table,MATCH($H$231,PO_Enrgy_8_Hdr,0),FALSE)))/($G$326-$J$326)),"")</f>
        <v>0.20154828926380108</v>
      </c>
      <c r="L180" s="2823"/>
      <c r="M180" s="2824">
        <f ca="1">IFERROR(H180*VLOOKUP($E180,PO_Enrgy_1_Table,MATCH($K$16,PO_Enrgy_1_Hdr,0))/$H$226,"")</f>
        <v>0</v>
      </c>
      <c r="Q180" s="1296">
        <f t="shared" si="18"/>
        <v>9.999999999999998E-4</v>
      </c>
      <c r="R180" s="1296">
        <f t="shared" si="19"/>
        <v>3.1399999999999996E-3</v>
      </c>
      <c r="S180" s="1296">
        <f t="shared" si="20"/>
        <v>2280.5776896072553</v>
      </c>
      <c r="T180" s="1296" t="str">
        <f t="shared" si="21"/>
        <v/>
      </c>
      <c r="V180" s="1305">
        <f t="shared" si="22"/>
        <v>0</v>
      </c>
      <c r="W180" s="1296">
        <f t="shared" si="23"/>
        <v>0</v>
      </c>
      <c r="X180" s="1296">
        <f t="shared" si="24"/>
        <v>0</v>
      </c>
      <c r="Y180" s="1296" t="b">
        <f>IFERROR(IF(D180="x",IF(OR(G180/H180&gt;1.03,G180/H180&lt;0.97),TRUE,FALSE),FALSE),FALSE)</f>
        <v>0</v>
      </c>
      <c r="Z180" s="1296">
        <f ca="1">IFERROR(J180*100,)</f>
        <v>20.154828926380105</v>
      </c>
      <c r="AA180" s="1296"/>
      <c r="AB180" s="1296">
        <f ca="1">RANK(Z180,$Z$170:$Z$217,0)</f>
        <v>4</v>
      </c>
      <c r="AC180" s="1296">
        <f ca="1">AB180+COUNTIF($AB$170:$AB179,AB180)</f>
        <v>4</v>
      </c>
      <c r="AD180" s="1296" t="str">
        <f>B180</f>
        <v>Heat rejection</v>
      </c>
      <c r="AE180" s="15"/>
      <c r="AF180" s="2827"/>
      <c r="AG180" s="2827"/>
      <c r="AH180" s="1066"/>
      <c r="AI180" s="788"/>
      <c r="AJ180" s="788"/>
      <c r="AK180" s="1195"/>
      <c r="AO180" s="535"/>
      <c r="BC180" s="1906"/>
      <c r="BF180" s="1957" t="str">
        <f t="shared" si="27"/>
        <v>Q</v>
      </c>
      <c r="BG180" s="1957" t="str">
        <f t="shared" si="27"/>
        <v>Heat Rejection</v>
      </c>
      <c r="BH180" s="1957" t="str">
        <f t="shared" si="27"/>
        <v>Electricity</v>
      </c>
      <c r="BI180" s="1957">
        <f>IF(BG180&lt;&gt;"",IFERROR(MATCH(BG180&amp;BH180,'Results from Trace'!$L$1:$L$21,0),""),"")</f>
        <v>12</v>
      </c>
    </row>
    <row r="181" spans="1:61" ht="16.2" customHeight="1" x14ac:dyDescent="0.3">
      <c r="A181" s="1063" t="s">
        <v>1299</v>
      </c>
      <c r="B181" s="2794"/>
      <c r="C181" s="2794"/>
      <c r="D181" s="2819"/>
      <c r="E181" s="2820"/>
      <c r="F181" s="1132" t="str">
        <f>IFERROR(IF(ISBLANK(E180),"","Demand (" &amp; VLOOKUP($E180,PO_Enrgy_1_Table,MATCH($E$16,PO_Enrgy_1_Hdr,0),FALSE) &amp; ")"),"")</f>
        <v>Demand (kW)</v>
      </c>
      <c r="G181" s="1218">
        <f>INDEX(PO_baseline_table,12, 10)</f>
        <v>54.692</v>
      </c>
      <c r="H181" s="1160">
        <v>0</v>
      </c>
      <c r="I181" s="1219">
        <f t="shared" si="26"/>
        <v>1</v>
      </c>
      <c r="J181" s="2822"/>
      <c r="K181" s="2823"/>
      <c r="L181" s="2823"/>
      <c r="M181" s="2825"/>
      <c r="Q181" s="1296" t="str">
        <f t="shared" si="18"/>
        <v/>
      </c>
      <c r="R181" s="1296" t="str">
        <f t="shared" si="19"/>
        <v/>
      </c>
      <c r="S181" s="1296" t="str">
        <f t="shared" si="20"/>
        <v/>
      </c>
      <c r="T181" s="1296" t="str">
        <f t="shared" si="21"/>
        <v/>
      </c>
      <c r="V181" s="1305">
        <f t="shared" si="22"/>
        <v>0</v>
      </c>
      <c r="W181" s="1296">
        <f t="shared" si="23"/>
        <v>0</v>
      </c>
      <c r="X181" s="1296">
        <f t="shared" si="24"/>
        <v>0</v>
      </c>
      <c r="Y181" s="1296"/>
      <c r="Z181" s="1296"/>
      <c r="AA181" s="1296"/>
      <c r="AB181" s="1296"/>
      <c r="AC181" s="1296"/>
      <c r="AD181" s="1296"/>
      <c r="AE181" s="15"/>
      <c r="AF181" s="2827"/>
      <c r="AG181" s="2827"/>
      <c r="AH181" s="1066"/>
      <c r="AI181" s="788"/>
      <c r="AJ181" s="788"/>
      <c r="AK181" s="1196"/>
      <c r="AO181" s="535"/>
      <c r="BC181" s="1906"/>
      <c r="BF181" s="1957" t="str">
        <f t="shared" si="27"/>
        <v>AD</v>
      </c>
      <c r="BG181" s="1957">
        <f t="shared" si="27"/>
        <v>0</v>
      </c>
      <c r="BH181" s="1957">
        <f t="shared" si="27"/>
        <v>0</v>
      </c>
      <c r="BI181" s="1957" t="str">
        <f>IF(BG181&lt;&gt;"",IFERROR(MATCH(BG181&amp;BH181,'Results from Trace'!$L$1:$L$21,0),""),"")</f>
        <v/>
      </c>
    </row>
    <row r="182" spans="1:61" ht="16.2" customHeight="1" x14ac:dyDescent="0.3">
      <c r="A182" s="1063" t="s">
        <v>1299</v>
      </c>
      <c r="B182" s="2794" t="s">
        <v>475</v>
      </c>
      <c r="C182" s="2794"/>
      <c r="D182" s="2819">
        <f>INDEX(PO_baseline_table,13, 3)</f>
        <v>0</v>
      </c>
      <c r="E182" s="2820" t="str">
        <f>INDEX(PO_baseline_table,13, 4)</f>
        <v>Electricity</v>
      </c>
      <c r="F182" s="1132" t="str">
        <f>IFERROR(IF(ISBLANK(E182),"","Consumption (" &amp; VLOOKUP($E182,PO_Enrgy_1_Table,MATCH($C$16,PO_Enrgy_1_Hdr,0),FALSE) &amp; ")"),"")</f>
        <v>Consumption (kWh)</v>
      </c>
      <c r="G182" s="1217">
        <f>INDEX(PO_baseline_table,13, 10)</f>
        <v>641006.87249999994</v>
      </c>
      <c r="H182" s="1160">
        <v>418880.37</v>
      </c>
      <c r="I182" s="1359">
        <f t="shared" si="26"/>
        <v>0.34652748984372228</v>
      </c>
      <c r="J182" s="2821">
        <f ca="1">IFERROR(IF($E$326-$H$326&lt;0,"",($G182-$H182)*VLOOKUP($E182,PO_Enrgy_1_Table,MATCH($K$16,PO_Enrgy_1_Hdr,0),FALSE)/($E$326-$H$326)),"")</f>
        <v>0.35893087540640628</v>
      </c>
      <c r="K182" s="2823">
        <f ca="1">IFERROR(IF($G$326-$J$326&lt;0,"",($G182*VLOOKUP($E182,PO_Enrgy_8_Table,MATCH($E$231,PO_Enrgy_8_Hdr,0),FALSE)-($H182*VLOOKUP($E182,PO_Enrgy_8_Table,MATCH($H$231,PO_Enrgy_8_Hdr,0),FALSE)))/($G$326-$J$326)),"")</f>
        <v>0.35893087540640611</v>
      </c>
      <c r="L182" s="2823"/>
      <c r="M182" s="2824">
        <f ca="1">IFERROR(H182*VLOOKUP($E182,PO_Enrgy_1_Table,MATCH($K$16,PO_Enrgy_1_Hdr,0))/$H$226,"")</f>
        <v>0.10087164457710925</v>
      </c>
      <c r="Q182" s="1296">
        <f t="shared" si="18"/>
        <v>9.999999999999998E-4</v>
      </c>
      <c r="R182" s="1296">
        <f t="shared" si="19"/>
        <v>3.1399999999999996E-3</v>
      </c>
      <c r="S182" s="1296">
        <f t="shared" si="20"/>
        <v>2243.7344038503606</v>
      </c>
      <c r="T182" s="1296">
        <f t="shared" si="21"/>
        <v>2148.4349899984613</v>
      </c>
      <c r="V182" s="1305">
        <f t="shared" si="22"/>
        <v>0</v>
      </c>
      <c r="W182" s="1296">
        <f t="shared" si="23"/>
        <v>0</v>
      </c>
      <c r="X182" s="1296">
        <f t="shared" si="24"/>
        <v>0</v>
      </c>
      <c r="Y182" s="1296" t="b">
        <f>IFERROR(IF(D182="x",IF(OR(G182/H182&gt;1.03,G182/H182&lt;0.97),TRUE,FALSE),FALSE),FALSE)</f>
        <v>0</v>
      </c>
      <c r="Z182" s="1296">
        <f ca="1">IFERROR(J182*100,)</f>
        <v>35.893087540640629</v>
      </c>
      <c r="AA182" s="1296"/>
      <c r="AB182" s="1296">
        <f ca="1">RANK(Z182,$Z$170:$Z$217,0)</f>
        <v>2</v>
      </c>
      <c r="AC182" s="1296">
        <f ca="1">AB182+COUNTIF($AB$170:$AB181,AB182)</f>
        <v>2</v>
      </c>
      <c r="AD182" s="1296" t="str">
        <f>B182</f>
        <v>Fans - interior ventilation</v>
      </c>
      <c r="AE182" s="15"/>
      <c r="AF182" s="2827"/>
      <c r="AG182" s="2827"/>
      <c r="AH182" s="1066"/>
      <c r="AI182" s="788"/>
      <c r="AJ182" s="788"/>
      <c r="AK182" s="1195"/>
      <c r="AO182" s="535"/>
      <c r="BC182" s="1906"/>
      <c r="BF182" s="1957" t="str">
        <f t="shared" si="27"/>
        <v>S</v>
      </c>
      <c r="BG182" s="1957" t="str">
        <f t="shared" si="27"/>
        <v>Fans - Conditioned</v>
      </c>
      <c r="BH182" s="1957" t="str">
        <f t="shared" si="27"/>
        <v>Electricity</v>
      </c>
      <c r="BI182" s="1957">
        <f>IF(BG182&lt;&gt;"",IFERROR(MATCH(BG182&amp;BH182,'Results from Trace'!$L$1:$L$21,0),""),"")</f>
        <v>13</v>
      </c>
    </row>
    <row r="183" spans="1:61" ht="16.2" customHeight="1" x14ac:dyDescent="0.3">
      <c r="A183" s="1063" t="s">
        <v>1299</v>
      </c>
      <c r="B183" s="2794"/>
      <c r="C183" s="2794"/>
      <c r="D183" s="2819"/>
      <c r="E183" s="2820"/>
      <c r="F183" s="1132" t="str">
        <f>IFERROR(IF(ISBLANK(E182),"","Demand (" &amp; VLOOKUP($E182,PO_Enrgy_1_Table,MATCH($E$16,PO_Enrgy_1_Hdr,0),FALSE) &amp; ")"),"")</f>
        <v>Demand (kW)</v>
      </c>
      <c r="G183" s="1218">
        <f>INDEX(PO_baseline_table,14, 10)</f>
        <v>285.6875</v>
      </c>
      <c r="H183" s="1160">
        <v>194.97</v>
      </c>
      <c r="I183" s="1219">
        <f t="shared" si="26"/>
        <v>0.31754101947057534</v>
      </c>
      <c r="J183" s="2822"/>
      <c r="K183" s="2823"/>
      <c r="L183" s="2823"/>
      <c r="M183" s="2825"/>
      <c r="Q183" s="1296" t="str">
        <f t="shared" si="18"/>
        <v/>
      </c>
      <c r="R183" s="1296" t="str">
        <f t="shared" si="19"/>
        <v/>
      </c>
      <c r="S183" s="1296" t="str">
        <f t="shared" si="20"/>
        <v/>
      </c>
      <c r="T183" s="1296" t="str">
        <f t="shared" si="21"/>
        <v/>
      </c>
      <c r="V183" s="1305">
        <f t="shared" si="22"/>
        <v>0</v>
      </c>
      <c r="W183" s="1296">
        <f t="shared" si="23"/>
        <v>0</v>
      </c>
      <c r="X183" s="1296">
        <f t="shared" si="24"/>
        <v>0</v>
      </c>
      <c r="Y183" s="1296"/>
      <c r="Z183" s="1296"/>
      <c r="AA183" s="1296"/>
      <c r="AB183" s="1296"/>
      <c r="AC183" s="1296"/>
      <c r="AD183" s="1296"/>
      <c r="AE183" s="15"/>
      <c r="AF183" s="2827"/>
      <c r="AG183" s="2827"/>
      <c r="AH183" s="1066"/>
      <c r="AI183" s="788"/>
      <c r="AJ183" s="788"/>
      <c r="AK183" s="1196"/>
      <c r="AO183" s="535"/>
      <c r="BC183" s="1906"/>
      <c r="BF183" s="1957" t="str">
        <f t="shared" si="27"/>
        <v>AF</v>
      </c>
      <c r="BG183" s="1957">
        <f t="shared" si="27"/>
        <v>0</v>
      </c>
      <c r="BH183" s="1957">
        <f t="shared" si="27"/>
        <v>0</v>
      </c>
      <c r="BI183" s="1957" t="str">
        <f>IF(BG183&lt;&gt;"",IFERROR(MATCH(BG183&amp;BH183,'Results from Trace'!$L$1:$L$21,0),""),"")</f>
        <v/>
      </c>
    </row>
    <row r="184" spans="1:61" ht="16.2" customHeight="1" x14ac:dyDescent="0.3">
      <c r="A184" s="1063" t="s">
        <v>1299</v>
      </c>
      <c r="B184" s="2794" t="s">
        <v>474</v>
      </c>
      <c r="C184" s="2794"/>
      <c r="D184" s="2819" t="str">
        <f>INDEX(PO_baseline_table,15, 3)</f>
        <v>x</v>
      </c>
      <c r="E184" s="2820" t="str">
        <f>INDEX(PO_baseline_table,15, 4)</f>
        <v>Electricity</v>
      </c>
      <c r="F184" s="1132" t="str">
        <f>IFERROR(IF(ISBLANK(E184),"","Consumption (" &amp; VLOOKUP($E184,PO_Enrgy_1_Table,MATCH($C$16,PO_Enrgy_1_Hdr,0),FALSE) &amp; ")"),"")</f>
        <v>Consumption (kWh)</v>
      </c>
      <c r="G184" s="1217" t="str">
        <f ca="1">INDEX(PO_baseline_table,15, 10)</f>
        <v/>
      </c>
      <c r="H184" s="1160" t="str">
        <f t="shared" ref="H184:H217" ca="1" si="28">IFERROR(IF(SimTool="eQUEST",INDIRECT("'Results from eQuest'!"&amp;$BF184&amp;"13"),IF(SimTool="Trace",INDIRECT("'Results from Trace'!H"&amp;$BI184)/$Q184,"")),"")</f>
        <v/>
      </c>
      <c r="I184" s="1359" t="str">
        <f t="shared" ca="1" si="26"/>
        <v/>
      </c>
      <c r="J184" s="2821" t="str">
        <f ca="1">IFERROR(IF($E$326-$H$326&lt;0,"",($G184-$H184)*VLOOKUP($E184,PO_Enrgy_1_Table,MATCH($K$16,PO_Enrgy_1_Hdr,0),FALSE)/($E$326-$H$326)),"")</f>
        <v/>
      </c>
      <c r="K184" s="2823" t="str">
        <f ca="1">IFERROR(IF($G$326-$J$326&lt;0,"",($G184*VLOOKUP($E184,PO_Enrgy_8_Table,MATCH($E$231,PO_Enrgy_8_Hdr,0),FALSE)-($H184*VLOOKUP($E184,PO_Enrgy_8_Table,MATCH($H$231,PO_Enrgy_8_Hdr,0),FALSE)))/($G$326-$J$326)),"")</f>
        <v/>
      </c>
      <c r="L184" s="2823"/>
      <c r="M184" s="2824" t="str">
        <f ca="1">IFERROR(H184*VLOOKUP($E184,PO_Enrgy_1_Table,MATCH($K$16,PO_Enrgy_1_Hdr,0))/$H$226,"")</f>
        <v/>
      </c>
      <c r="Q184" s="1296">
        <f t="shared" si="18"/>
        <v>9.999999999999998E-4</v>
      </c>
      <c r="R184" s="1296">
        <f t="shared" si="19"/>
        <v>3.1399999999999996E-3</v>
      </c>
      <c r="S184" s="1296" t="str">
        <f t="shared" ca="1" si="20"/>
        <v/>
      </c>
      <c r="T184" s="1296" t="str">
        <f t="shared" ca="1" si="21"/>
        <v/>
      </c>
      <c r="V184" s="1305">
        <f t="shared" ca="1" si="22"/>
        <v>0</v>
      </c>
      <c r="W184" s="1296">
        <f t="shared" ca="1" si="23"/>
        <v>0</v>
      </c>
      <c r="X184" s="1296">
        <f t="shared" ca="1" si="24"/>
        <v>0</v>
      </c>
      <c r="Y184" s="1296" t="b">
        <f ca="1">IFERROR(IF(D184="x",IF(OR(G184/H184&gt;1.03,G184/H184&lt;0.97),TRUE,FALSE),FALSE),FALSE)</f>
        <v>0</v>
      </c>
      <c r="Z184" s="1296">
        <f ca="1">IFERROR(J184*100,)</f>
        <v>0</v>
      </c>
      <c r="AA184" s="1296"/>
      <c r="AB184" s="1296">
        <f ca="1">RANK(Z184,$Z$170:$Z$217,0)</f>
        <v>8</v>
      </c>
      <c r="AC184" s="1296">
        <f ca="1">AB184+COUNTIF($AB$170:$AB183,AB184)</f>
        <v>8</v>
      </c>
      <c r="AD184" s="1296" t="str">
        <f>B184</f>
        <v>Fans - parking garage</v>
      </c>
      <c r="AE184" s="15"/>
      <c r="AF184" s="2827"/>
      <c r="AG184" s="2827"/>
      <c r="AH184" s="1066"/>
      <c r="AI184" s="788"/>
      <c r="AJ184" s="788"/>
      <c r="AK184" s="1195"/>
      <c r="AO184" s="535"/>
      <c r="BC184" s="1906"/>
      <c r="BF184" s="1957">
        <f t="shared" si="27"/>
        <v>0</v>
      </c>
      <c r="BG184" s="1957">
        <f t="shared" si="27"/>
        <v>0</v>
      </c>
      <c r="BH184" s="1957">
        <f t="shared" si="27"/>
        <v>0</v>
      </c>
      <c r="BI184" s="1957" t="str">
        <f>IF(BG184&lt;&gt;"",IFERROR(MATCH(BG184&amp;BH184,'Results from Trace'!$L$1:$L$21,0),""),"")</f>
        <v/>
      </c>
    </row>
    <row r="185" spans="1:61" ht="16.2" customHeight="1" x14ac:dyDescent="0.3">
      <c r="A185" s="1063" t="s">
        <v>1299</v>
      </c>
      <c r="B185" s="2794"/>
      <c r="C185" s="2794"/>
      <c r="D185" s="2819"/>
      <c r="E185" s="2820"/>
      <c r="F185" s="1132" t="str">
        <f>IFERROR(IF(ISBLANK(E184),"","Demand (" &amp; VLOOKUP($E184,PO_Enrgy_1_Table,MATCH($E$16,PO_Enrgy_1_Hdr,0),FALSE) &amp; ")"),"")</f>
        <v>Demand (kW)</v>
      </c>
      <c r="G185" s="1218" t="str">
        <f ca="1">INDEX(PO_baseline_table,16, 10)</f>
        <v/>
      </c>
      <c r="H185" s="1160" t="str">
        <f t="shared" ca="1" si="28"/>
        <v/>
      </c>
      <c r="I185" s="1219" t="str">
        <f t="shared" ca="1" si="26"/>
        <v/>
      </c>
      <c r="J185" s="2822"/>
      <c r="K185" s="2823"/>
      <c r="L185" s="2823"/>
      <c r="M185" s="2825"/>
      <c r="Q185" s="1296" t="str">
        <f t="shared" si="18"/>
        <v/>
      </c>
      <c r="R185" s="1296" t="str">
        <f t="shared" si="19"/>
        <v/>
      </c>
      <c r="S185" s="1296" t="str">
        <f t="shared" si="20"/>
        <v/>
      </c>
      <c r="T185" s="1296" t="str">
        <f t="shared" si="21"/>
        <v/>
      </c>
      <c r="V185" s="1305">
        <f t="shared" ca="1" si="22"/>
        <v>0</v>
      </c>
      <c r="W185" s="1296">
        <f t="shared" ca="1" si="23"/>
        <v>0</v>
      </c>
      <c r="X185" s="1296">
        <f t="shared" ca="1" si="24"/>
        <v>0</v>
      </c>
      <c r="Y185" s="1296"/>
      <c r="Z185" s="1296"/>
      <c r="AA185" s="1296"/>
      <c r="AB185" s="1296"/>
      <c r="AC185" s="1296"/>
      <c r="AD185" s="1296"/>
      <c r="AE185" s="15"/>
      <c r="AF185" s="2827"/>
      <c r="AG185" s="2827"/>
      <c r="AH185" s="1066"/>
      <c r="AI185" s="788"/>
      <c r="AJ185" s="788"/>
      <c r="AK185" s="1196"/>
      <c r="AO185" s="535"/>
      <c r="BC185" s="1906"/>
      <c r="BF185" s="1957">
        <f t="shared" si="27"/>
        <v>0</v>
      </c>
      <c r="BG185" s="1957">
        <f t="shared" si="27"/>
        <v>0</v>
      </c>
      <c r="BH185" s="1957">
        <f t="shared" si="27"/>
        <v>0</v>
      </c>
      <c r="BI185" s="1957" t="str">
        <f>IF(BG185&lt;&gt;"",IFERROR(MATCH(BG185&amp;BH185,'Results from Trace'!$L$1:$L$21,0),""),"")</f>
        <v/>
      </c>
    </row>
    <row r="186" spans="1:61" ht="16.2" customHeight="1" x14ac:dyDescent="0.3">
      <c r="A186" s="1063" t="s">
        <v>1299</v>
      </c>
      <c r="B186" s="2794" t="s">
        <v>473</v>
      </c>
      <c r="C186" s="2794"/>
      <c r="D186" s="2819">
        <f>INDEX(PO_baseline_table,17, 3)</f>
        <v>0</v>
      </c>
      <c r="E186" s="2820" t="str">
        <f>INDEX(PO_baseline_table,17, 4)</f>
        <v>Electricity</v>
      </c>
      <c r="F186" s="1132" t="str">
        <f>IFERROR(IF(ISBLANK(E186),"","Consumption (" &amp; VLOOKUP($E186,PO_Enrgy_1_Table,MATCH($C$16,PO_Enrgy_1_Hdr,0),FALSE) &amp; ")"),"")</f>
        <v>Consumption (kWh)</v>
      </c>
      <c r="G186" s="1217">
        <f>INDEX(PO_baseline_table,17, 10)</f>
        <v>502977.29249999998</v>
      </c>
      <c r="H186" s="1160">
        <v>243104.64000000001</v>
      </c>
      <c r="I186" s="1359">
        <f t="shared" si="26"/>
        <v>0.51666875696977899</v>
      </c>
      <c r="J186" s="2821">
        <f ca="1">IFERROR(IF($E$326-$H$326&lt;0,"",($G186-$H186)*VLOOKUP($E186,PO_Enrgy_1_Table,MATCH($K$16,PO_Enrgy_1_Hdr,0),FALSE)/($E$326-$H$326)),"")</f>
        <v>0.41992431162512817</v>
      </c>
      <c r="K186" s="2823">
        <f ca="1">IFERROR(IF($G$326-$J$326&lt;0,"",($G186*VLOOKUP($E186,PO_Enrgy_8_Table,MATCH($E$231,PO_Enrgy_8_Hdr,0),FALSE)-($H186*VLOOKUP($E186,PO_Enrgy_8_Table,MATCH($H$231,PO_Enrgy_8_Hdr,0),FALSE)))/($G$326-$J$326)),"")</f>
        <v>0.41992431162512822</v>
      </c>
      <c r="L186" s="2823"/>
      <c r="M186" s="2824">
        <f ca="1">IFERROR(H186*VLOOKUP($E186,PO_Enrgy_1_Table,MATCH($K$16,PO_Enrgy_1_Hdr,0))/$H$226,"")</f>
        <v>5.8542645102051684E-2</v>
      </c>
      <c r="Q186" s="1296">
        <f t="shared" si="18"/>
        <v>9.999999999999998E-4</v>
      </c>
      <c r="R186" s="1296">
        <f t="shared" si="19"/>
        <v>3.1399999999999996E-3</v>
      </c>
      <c r="S186" s="1296">
        <f t="shared" si="20"/>
        <v>2683.6190076030416</v>
      </c>
      <c r="T186" s="1296">
        <f t="shared" si="21"/>
        <v>2407.7633286123191</v>
      </c>
      <c r="V186" s="1305">
        <f t="shared" si="22"/>
        <v>0</v>
      </c>
      <c r="W186" s="1296">
        <f t="shared" si="23"/>
        <v>0</v>
      </c>
      <c r="X186" s="1296">
        <f t="shared" si="24"/>
        <v>0</v>
      </c>
      <c r="Y186" s="1296" t="b">
        <f>IFERROR(IF(D186="x",IF(OR(G186/H186&gt;1.03,G186/H186&lt;0.97),TRUE,FALSE),FALSE),FALSE)</f>
        <v>0</v>
      </c>
      <c r="Z186" s="1296">
        <f ca="1">IFERROR(J186*100,)</f>
        <v>41.992431162512815</v>
      </c>
      <c r="AA186" s="1296"/>
      <c r="AB186" s="1296">
        <f ca="1">RANK(Z186,$Z$170:$Z$217,0)</f>
        <v>1</v>
      </c>
      <c r="AC186" s="1296">
        <f ca="1">AB186+COUNTIF($AB$170:$AB185,AB186)</f>
        <v>1</v>
      </c>
      <c r="AD186" s="1296" t="str">
        <f>B186</f>
        <v>Service water heating</v>
      </c>
      <c r="AE186" s="15"/>
      <c r="AF186" s="2827"/>
      <c r="AG186" s="2827"/>
      <c r="AH186" s="1066"/>
      <c r="AI186" s="788"/>
      <c r="AJ186" s="788"/>
      <c r="AK186" s="1195"/>
      <c r="AO186" s="535"/>
      <c r="BC186" s="1906"/>
      <c r="BF186" s="1957" t="str">
        <f t="shared" si="27"/>
        <v>BH</v>
      </c>
      <c r="BG186" s="1957" t="str">
        <f t="shared" si="27"/>
        <v>Stand-alone Base Utilities</v>
      </c>
      <c r="BH186" s="1957" t="str">
        <f t="shared" si="27"/>
        <v>Gas</v>
      </c>
      <c r="BI186" s="1957">
        <f>IF(BG186&lt;&gt;"",IFERROR(MATCH(BG186&amp;BH186,'Results from Trace'!$L$1:$L$21,0),""),"")</f>
        <v>16</v>
      </c>
    </row>
    <row r="187" spans="1:61" ht="16.2" customHeight="1" x14ac:dyDescent="0.3">
      <c r="A187" s="1063" t="s">
        <v>1299</v>
      </c>
      <c r="B187" s="2794"/>
      <c r="C187" s="2794"/>
      <c r="D187" s="2819"/>
      <c r="E187" s="2820"/>
      <c r="F187" s="1132" t="str">
        <f>IFERROR(IF(ISBLANK(E186),"","Demand (" &amp; VLOOKUP($E186,PO_Enrgy_1_Table,MATCH($E$16,PO_Enrgy_1_Hdr,0),FALSE) &amp; ")"),"")</f>
        <v>Demand (kW)</v>
      </c>
      <c r="G187" s="1218">
        <f>INDEX(PO_baseline_table,18, 10)</f>
        <v>187.42499999999998</v>
      </c>
      <c r="H187" s="1160">
        <v>100.967</v>
      </c>
      <c r="I187" s="1219">
        <f t="shared" si="26"/>
        <v>0.4612938508736828</v>
      </c>
      <c r="J187" s="2822"/>
      <c r="K187" s="2823"/>
      <c r="L187" s="2823"/>
      <c r="M187" s="2825"/>
      <c r="Q187" s="1296" t="str">
        <f t="shared" si="18"/>
        <v/>
      </c>
      <c r="R187" s="1296" t="str">
        <f t="shared" si="19"/>
        <v/>
      </c>
      <c r="S187" s="1296" t="str">
        <f t="shared" si="20"/>
        <v/>
      </c>
      <c r="T187" s="1296" t="str">
        <f t="shared" si="21"/>
        <v/>
      </c>
      <c r="V187" s="1305">
        <f t="shared" si="22"/>
        <v>0</v>
      </c>
      <c r="W187" s="1296">
        <f t="shared" si="23"/>
        <v>0</v>
      </c>
      <c r="X187" s="1296">
        <f t="shared" si="24"/>
        <v>0</v>
      </c>
      <c r="Y187" s="1296"/>
      <c r="Z187" s="1296"/>
      <c r="AA187" s="1296"/>
      <c r="AB187" s="1296"/>
      <c r="AC187" s="1296"/>
      <c r="AD187" s="1296"/>
      <c r="AE187" s="15"/>
      <c r="AF187" s="2827"/>
      <c r="AG187" s="2827"/>
      <c r="AH187" s="1066"/>
      <c r="AI187" s="788"/>
      <c r="AJ187" s="788"/>
      <c r="AK187" s="1196"/>
      <c r="AO187" s="535"/>
      <c r="BC187" s="1906"/>
      <c r="BF187" s="1957">
        <f t="shared" ref="BF187:BH202" si="29">BF113</f>
        <v>0</v>
      </c>
      <c r="BG187" s="1957">
        <f t="shared" si="29"/>
        <v>0</v>
      </c>
      <c r="BH187" s="1957">
        <f t="shared" si="29"/>
        <v>0</v>
      </c>
      <c r="BI187" s="1957" t="str">
        <f>IF(BG187&lt;&gt;"",IFERROR(MATCH(BG187&amp;BH187,'Results from Trace'!$L$1:$L$21,0),""),"")</f>
        <v/>
      </c>
    </row>
    <row r="188" spans="1:61" ht="16.2" customHeight="1" x14ac:dyDescent="0.3">
      <c r="A188" s="1063" t="s">
        <v>1299</v>
      </c>
      <c r="B188" s="2794" t="s">
        <v>472</v>
      </c>
      <c r="C188" s="2794"/>
      <c r="D188" s="2819" t="str">
        <f>INDEX(PO_baseline_table,19, 3)</f>
        <v>x</v>
      </c>
      <c r="E188" s="2820" t="str">
        <f>INDEX(PO_baseline_table,19, 4)</f>
        <v>Electricity</v>
      </c>
      <c r="F188" s="1132" t="str">
        <f>IFERROR(IF(ISBLANK(E188),"","Consumption (" &amp; VLOOKUP($E188,PO_Enrgy_1_Table,MATCH($C$16,PO_Enrgy_1_Hdr,0),FALSE) &amp; ")"),"")</f>
        <v>Consumption (kWh)</v>
      </c>
      <c r="G188" s="1217">
        <f>INDEX(PO_baseline_table,19, 10)</f>
        <v>1172039.8700000001</v>
      </c>
      <c r="H188" s="1160">
        <v>1172039.8700000001</v>
      </c>
      <c r="I188" s="1359">
        <f t="shared" si="26"/>
        <v>0</v>
      </c>
      <c r="J188" s="2821">
        <f ca="1">IFERROR(IF($E$326-$H$326&lt;0,"",($G188-$H188)*VLOOKUP($E188,PO_Enrgy_1_Table,MATCH($K$16,PO_Enrgy_1_Hdr,0),FALSE)/($E$326-$H$326)),"")</f>
        <v>0</v>
      </c>
      <c r="K188" s="2823">
        <f ca="1">IFERROR(IF($G$326-$J$326&lt;0,"",($G188*VLOOKUP($E188,PO_Enrgy_8_Table,MATCH($E$231,PO_Enrgy_8_Hdr,0),FALSE)-($H188*VLOOKUP($E188,PO_Enrgy_8_Table,MATCH($H$231,PO_Enrgy_8_Hdr,0),FALSE)))/($G$326-$J$326)),"")</f>
        <v>-5.5327578844878969E-16</v>
      </c>
      <c r="L188" s="2823"/>
      <c r="M188" s="2824">
        <f ca="1">IFERROR(H188*VLOOKUP($E188,PO_Enrgy_1_Table,MATCH($K$16,PO_Enrgy_1_Hdr,0))/$H$226,"")</f>
        <v>0.28224189449804327</v>
      </c>
      <c r="Q188" s="1296">
        <f t="shared" si="18"/>
        <v>9.999999999999998E-4</v>
      </c>
      <c r="R188" s="1296">
        <f t="shared" si="19"/>
        <v>3.1399999999999996E-3</v>
      </c>
      <c r="S188" s="1296">
        <f t="shared" si="20"/>
        <v>3049.9632299365053</v>
      </c>
      <c r="T188" s="1296">
        <f t="shared" si="21"/>
        <v>3049.8838637487315</v>
      </c>
      <c r="V188" s="1305">
        <f t="shared" si="22"/>
        <v>0</v>
      </c>
      <c r="W188" s="1296">
        <f t="shared" si="23"/>
        <v>0</v>
      </c>
      <c r="X188" s="1296">
        <f t="shared" si="24"/>
        <v>0</v>
      </c>
      <c r="Y188" s="1296" t="b">
        <f>IFERROR(IF(D188="x",IF(OR(G188/H188&gt;1.03,G188/H188&lt;0.97),TRUE,FALSE),FALSE),FALSE)</f>
        <v>0</v>
      </c>
      <c r="Z188" s="1296">
        <f ca="1">IFERROR(J188*100,)</f>
        <v>0</v>
      </c>
      <c r="AA188" s="1296"/>
      <c r="AB188" s="1296">
        <f ca="1">RANK(Z188,$Z$170:$Z$217,0)</f>
        <v>8</v>
      </c>
      <c r="AC188" s="1296">
        <f ca="1">AB188+COUNTIF($AB$170:$AB187,AB188)</f>
        <v>9</v>
      </c>
      <c r="AD188" s="1296" t="str">
        <f>B188</f>
        <v>Receptacle equipment</v>
      </c>
      <c r="AE188" s="15"/>
      <c r="AF188" s="2827"/>
      <c r="AG188" s="2827"/>
      <c r="AH188" s="1066"/>
      <c r="AI188" s="788"/>
      <c r="AJ188" s="788"/>
      <c r="AK188" s="1195"/>
      <c r="AO188" s="535"/>
      <c r="BC188" s="1906"/>
      <c r="BF188" s="1957" t="str">
        <f t="shared" si="29"/>
        <v>N</v>
      </c>
      <c r="BG188" s="1957" t="str">
        <f t="shared" si="29"/>
        <v>Receptacles - Conditioned</v>
      </c>
      <c r="BH188" s="1957" t="str">
        <f t="shared" si="29"/>
        <v>Electricity</v>
      </c>
      <c r="BI188" s="1957">
        <f>IF(BG188&lt;&gt;"",IFERROR(MATCH(BG188&amp;BH188,'Results from Trace'!$L$1:$L$21,0),""),"")</f>
        <v>14</v>
      </c>
    </row>
    <row r="189" spans="1:61" ht="16.2" customHeight="1" x14ac:dyDescent="0.3">
      <c r="A189" s="1063" t="s">
        <v>1299</v>
      </c>
      <c r="B189" s="2794"/>
      <c r="C189" s="2794"/>
      <c r="D189" s="2819"/>
      <c r="E189" s="2820"/>
      <c r="F189" s="1132" t="str">
        <f>IFERROR(IF(ISBLANK(E188),"","Demand (" &amp; VLOOKUP($E188,PO_Enrgy_1_Table,MATCH($E$16,PO_Enrgy_1_Hdr,0),FALSE) &amp; ")"),"")</f>
        <v>Demand (kW)</v>
      </c>
      <c r="G189" s="1218">
        <f>INDEX(PO_baseline_table,20, 10)</f>
        <v>384.28</v>
      </c>
      <c r="H189" s="1160">
        <v>384.29</v>
      </c>
      <c r="I189" s="1219">
        <f t="shared" si="26"/>
        <v>-2.6022691787419561E-5</v>
      </c>
      <c r="J189" s="2822"/>
      <c r="K189" s="2823"/>
      <c r="L189" s="2823"/>
      <c r="M189" s="2825"/>
      <c r="Q189" s="1296" t="str">
        <f t="shared" si="18"/>
        <v/>
      </c>
      <c r="R189" s="1296" t="str">
        <f t="shared" si="19"/>
        <v/>
      </c>
      <c r="S189" s="1296" t="str">
        <f t="shared" si="20"/>
        <v/>
      </c>
      <c r="T189" s="1296" t="str">
        <f t="shared" si="21"/>
        <v/>
      </c>
      <c r="V189" s="1305">
        <f t="shared" si="22"/>
        <v>0</v>
      </c>
      <c r="W189" s="1296">
        <f t="shared" si="23"/>
        <v>0</v>
      </c>
      <c r="X189" s="1296">
        <f t="shared" si="24"/>
        <v>0</v>
      </c>
      <c r="Y189" s="1296"/>
      <c r="Z189" s="1296"/>
      <c r="AA189" s="1296"/>
      <c r="AB189" s="1296"/>
      <c r="AC189" s="1296"/>
      <c r="AD189" s="1296"/>
      <c r="AE189" s="15"/>
      <c r="AF189" s="2827"/>
      <c r="AG189" s="2827"/>
      <c r="AH189" s="1066"/>
      <c r="AI189" s="788"/>
      <c r="AJ189" s="788"/>
      <c r="AK189" s="1196"/>
      <c r="AO189" s="535"/>
      <c r="BC189" s="1906"/>
      <c r="BF189" s="1957" t="str">
        <f t="shared" si="29"/>
        <v>AA</v>
      </c>
      <c r="BG189" s="1957">
        <f t="shared" si="29"/>
        <v>0</v>
      </c>
      <c r="BH189" s="1957">
        <f t="shared" si="29"/>
        <v>0</v>
      </c>
      <c r="BI189" s="1957" t="str">
        <f>IF(BG189&lt;&gt;"",IFERROR(MATCH(BG189&amp;BH189,'Results from Trace'!$L$1:$L$21,0),""),"")</f>
        <v/>
      </c>
    </row>
    <row r="190" spans="1:61" ht="16.2" customHeight="1" x14ac:dyDescent="0.3">
      <c r="A190" s="1063" t="s">
        <v>1299</v>
      </c>
      <c r="B190" s="2794" t="s">
        <v>471</v>
      </c>
      <c r="C190" s="2794"/>
      <c r="D190" s="2819" t="str">
        <f>INDEX(PO_baseline_table,21, 3)</f>
        <v>x</v>
      </c>
      <c r="E190" s="2820" t="str">
        <f>INDEX(PO_baseline_table,21, 4)</f>
        <v>Electricity</v>
      </c>
      <c r="F190" s="1132" t="str">
        <f>IFERROR(IF(ISBLANK(E190),"","Consumption (" &amp; VLOOKUP($E190,PO_Enrgy_1_Table,MATCH($C$16,PO_Enrgy_1_Hdr,0),FALSE) &amp; ")"),"")</f>
        <v>Consumption (kWh)</v>
      </c>
      <c r="G190" s="1217" t="str">
        <f ca="1">INDEX(PO_baseline_table,21, 10)</f>
        <v/>
      </c>
      <c r="H190" s="1160" t="str">
        <f t="shared" ca="1" si="28"/>
        <v/>
      </c>
      <c r="I190" s="1359" t="str">
        <f t="shared" ca="1" si="26"/>
        <v/>
      </c>
      <c r="J190" s="2821" t="str">
        <f ca="1">IFERROR(IF($E$326-$H$326&lt;0,"",($G190-$H190)*VLOOKUP($E190,PO_Enrgy_1_Table,MATCH($K$16,PO_Enrgy_1_Hdr,0),FALSE)/($E$326-$H$326)),"")</f>
        <v/>
      </c>
      <c r="K190" s="2823" t="str">
        <f ca="1">IFERROR(IF($G$326-$J$326&lt;0,"",($G190*VLOOKUP($E190,PO_Enrgy_8_Table,MATCH($E$231,PO_Enrgy_8_Hdr,0),FALSE)-($H190*VLOOKUP($E190,PO_Enrgy_8_Table,MATCH($H$231,PO_Enrgy_8_Hdr,0),FALSE)))/($G$326-$J$326)),"")</f>
        <v/>
      </c>
      <c r="L190" s="2823"/>
      <c r="M190" s="2824" t="str">
        <f ca="1">IFERROR(H190*VLOOKUP($E190,PO_Enrgy_1_Table,MATCH($K$16,PO_Enrgy_1_Hdr,0))/$H$226,"")</f>
        <v/>
      </c>
      <c r="Q190" s="1296">
        <f t="shared" si="18"/>
        <v>9.999999999999998E-4</v>
      </c>
      <c r="R190" s="1296">
        <f t="shared" si="19"/>
        <v>3.1399999999999996E-3</v>
      </c>
      <c r="S190" s="1296" t="str">
        <f t="shared" ca="1" si="20"/>
        <v/>
      </c>
      <c r="T190" s="1296" t="str">
        <f t="shared" ca="1" si="21"/>
        <v/>
      </c>
      <c r="V190" s="1305">
        <f t="shared" ca="1" si="22"/>
        <v>0</v>
      </c>
      <c r="W190" s="1296">
        <f t="shared" ca="1" si="23"/>
        <v>0</v>
      </c>
      <c r="X190" s="1296">
        <f t="shared" ca="1" si="24"/>
        <v>0</v>
      </c>
      <c r="Y190" s="1296" t="b">
        <f ca="1">IFERROR(IF(D190="x",IF(OR(G190/H190&gt;1.03,G190/H190&lt;0.97),TRUE,FALSE),FALSE),FALSE)</f>
        <v>0</v>
      </c>
      <c r="Z190" s="1296">
        <f ca="1">IFERROR(J190*100,)</f>
        <v>0</v>
      </c>
      <c r="AA190" s="1296"/>
      <c r="AB190" s="1296">
        <f ca="1">RANK(Z190,$Z$170:$Z$217,0)</f>
        <v>8</v>
      </c>
      <c r="AC190" s="1296">
        <f ca="1">AB190+COUNTIF($AB$170:$AB189,AB190)</f>
        <v>10</v>
      </c>
      <c r="AD190" s="1296" t="str">
        <f>B190</f>
        <v>IT equipment</v>
      </c>
      <c r="AE190" s="15"/>
      <c r="AF190" s="2827"/>
      <c r="AG190" s="2827"/>
      <c r="AH190" s="1066"/>
      <c r="AI190" s="788"/>
      <c r="AJ190" s="788"/>
      <c r="AK190" s="1195"/>
      <c r="AO190" s="535"/>
      <c r="BC190" s="1906"/>
      <c r="BF190" s="1957">
        <f t="shared" si="29"/>
        <v>0</v>
      </c>
      <c r="BG190" s="1957">
        <f t="shared" si="29"/>
        <v>0</v>
      </c>
      <c r="BH190" s="1957">
        <f t="shared" si="29"/>
        <v>0</v>
      </c>
      <c r="BI190" s="1957" t="str">
        <f>IF(BG190&lt;&gt;"",IFERROR(MATCH(BG190&amp;BH190,'Results from Trace'!$L$1:$L$21,0),""),"")</f>
        <v/>
      </c>
    </row>
    <row r="191" spans="1:61" ht="16.2" customHeight="1" x14ac:dyDescent="0.3">
      <c r="A191" s="1063" t="s">
        <v>1299</v>
      </c>
      <c r="B191" s="2794"/>
      <c r="C191" s="2794"/>
      <c r="D191" s="2819"/>
      <c r="E191" s="2820"/>
      <c r="F191" s="1132" t="str">
        <f>IFERROR(IF(ISBLANK(E190),"","Demand (" &amp; VLOOKUP($E190,PO_Enrgy_1_Table,MATCH($E$16,PO_Enrgy_1_Hdr,0),FALSE) &amp; ")"),"")</f>
        <v>Demand (kW)</v>
      </c>
      <c r="G191" s="1218" t="str">
        <f ca="1">INDEX(PO_baseline_table,22, 10)</f>
        <v/>
      </c>
      <c r="H191" s="1160" t="str">
        <f t="shared" ca="1" si="28"/>
        <v/>
      </c>
      <c r="I191" s="1219" t="str">
        <f t="shared" ca="1" si="26"/>
        <v/>
      </c>
      <c r="J191" s="2822"/>
      <c r="K191" s="2823"/>
      <c r="L191" s="2823"/>
      <c r="M191" s="2825"/>
      <c r="Q191" s="1296" t="str">
        <f t="shared" si="18"/>
        <v/>
      </c>
      <c r="R191" s="1296" t="str">
        <f t="shared" si="19"/>
        <v/>
      </c>
      <c r="S191" s="1296" t="str">
        <f t="shared" si="20"/>
        <v/>
      </c>
      <c r="T191" s="1296" t="str">
        <f t="shared" si="21"/>
        <v/>
      </c>
      <c r="V191" s="1305">
        <f t="shared" ca="1" si="22"/>
        <v>0</v>
      </c>
      <c r="W191" s="1296">
        <f t="shared" ca="1" si="23"/>
        <v>0</v>
      </c>
      <c r="X191" s="1296">
        <f t="shared" ca="1" si="24"/>
        <v>0</v>
      </c>
      <c r="Y191" s="1296"/>
      <c r="Z191" s="1296"/>
      <c r="AA191" s="1296"/>
      <c r="AB191" s="1296"/>
      <c r="AC191" s="1296"/>
      <c r="AD191" s="1296"/>
      <c r="AE191" s="15"/>
      <c r="AF191" s="2827"/>
      <c r="AG191" s="2827"/>
      <c r="AH191" s="1066"/>
      <c r="AI191" s="788"/>
      <c r="AJ191" s="788"/>
      <c r="AK191" s="1196"/>
      <c r="AO191" s="535"/>
      <c r="BC191" s="1906"/>
      <c r="BF191" s="1957">
        <f t="shared" si="29"/>
        <v>0</v>
      </c>
      <c r="BG191" s="1957">
        <f t="shared" si="29"/>
        <v>0</v>
      </c>
      <c r="BH191" s="1957">
        <f t="shared" si="29"/>
        <v>0</v>
      </c>
      <c r="BI191" s="1957" t="str">
        <f>IF(BG191&lt;&gt;"",IFERROR(MATCH(BG191&amp;BH191,'Results from Trace'!$L$1:$L$21,0),""),"")</f>
        <v/>
      </c>
    </row>
    <row r="192" spans="1:61" ht="16.2" customHeight="1" x14ac:dyDescent="0.3">
      <c r="A192" s="1063" t="s">
        <v>1299</v>
      </c>
      <c r="B192" s="2794" t="s">
        <v>470</v>
      </c>
      <c r="C192" s="2794"/>
      <c r="D192" s="2819" t="str">
        <f>INDEX(PO_baseline_table,23, 3)</f>
        <v>x</v>
      </c>
      <c r="E192" s="2820" t="str">
        <f>INDEX(PO_baseline_table,23, 4)</f>
        <v>Electricity</v>
      </c>
      <c r="F192" s="1132" t="str">
        <f>IFERROR(IF(ISBLANK(E192),"","Consumption (" &amp; VLOOKUP($E192,PO_Enrgy_1_Table,MATCH($C$16,PO_Enrgy_1_Hdr,0),FALSE) &amp; ")"),"")</f>
        <v>Consumption (kWh)</v>
      </c>
      <c r="G192" s="1217" t="str">
        <f ca="1">INDEX(PO_baseline_table,23, 10)</f>
        <v/>
      </c>
      <c r="H192" s="1160" t="str">
        <f t="shared" ca="1" si="28"/>
        <v/>
      </c>
      <c r="I192" s="1359" t="str">
        <f t="shared" ca="1" si="26"/>
        <v/>
      </c>
      <c r="J192" s="2821" t="str">
        <f ca="1">IFERROR(IF($E$326-$H$326&lt;0,"",($G192-$H192)*VLOOKUP($E192,PO_Enrgy_1_Table,MATCH($K$16,PO_Enrgy_1_Hdr,0),FALSE)/($E$326-$H$326)),"")</f>
        <v/>
      </c>
      <c r="K192" s="2823" t="str">
        <f ca="1">IFERROR(IF($G$326-$J$326&lt;0,"",($G192*VLOOKUP($E192,PO_Enrgy_8_Table,MATCH($E$231,PO_Enrgy_8_Hdr,0),FALSE)-($H192*VLOOKUP($E192,PO_Enrgy_8_Table,MATCH($H$231,PO_Enrgy_8_Hdr,0),FALSE)))/($G$326-$J$326)),"")</f>
        <v/>
      </c>
      <c r="L192" s="2823"/>
      <c r="M192" s="2824" t="str">
        <f ca="1">IFERROR(H192*VLOOKUP($E192,PO_Enrgy_1_Table,MATCH($K$16,PO_Enrgy_1_Hdr,0))/$H$226,"")</f>
        <v/>
      </c>
      <c r="Q192" s="1296">
        <f t="shared" si="18"/>
        <v>9.999999999999998E-4</v>
      </c>
      <c r="R192" s="1296">
        <f t="shared" si="19"/>
        <v>3.1399999999999996E-3</v>
      </c>
      <c r="S192" s="1296" t="str">
        <f t="shared" ca="1" si="20"/>
        <v/>
      </c>
      <c r="T192" s="1296" t="str">
        <f t="shared" ca="1" si="21"/>
        <v/>
      </c>
      <c r="V192" s="1305">
        <f t="shared" ca="1" si="22"/>
        <v>0</v>
      </c>
      <c r="W192" s="1296">
        <f t="shared" ca="1" si="23"/>
        <v>0</v>
      </c>
      <c r="X192" s="1296">
        <f t="shared" ca="1" si="24"/>
        <v>0</v>
      </c>
      <c r="Y192" s="1296" t="b">
        <f ca="1">IFERROR(IF(D192="x",IF(OR(G192/H192&gt;1.03,G192/H192&lt;0.97),TRUE,FALSE),FALSE),FALSE)</f>
        <v>0</v>
      </c>
      <c r="Z192" s="1296">
        <f ca="1">IFERROR(J192*100,)</f>
        <v>0</v>
      </c>
      <c r="AA192" s="1296"/>
      <c r="AB192" s="1296">
        <f ca="1">RANK(Z192,$Z$170:$Z$217,0)</f>
        <v>8</v>
      </c>
      <c r="AC192" s="1296">
        <f ca="1">AB192+COUNTIF($AB$170:$AB191,AB192)</f>
        <v>11</v>
      </c>
      <c r="AD192" s="1296" t="str">
        <f>B192</f>
        <v>Interior lighting - process</v>
      </c>
      <c r="AE192" s="15"/>
      <c r="AF192" s="2827"/>
      <c r="AG192" s="2827"/>
      <c r="AH192" s="1066"/>
      <c r="AI192" s="788"/>
      <c r="AJ192" s="788"/>
      <c r="AK192" s="1195"/>
      <c r="AO192" s="535"/>
      <c r="BC192" s="1906"/>
      <c r="BF192" s="1957">
        <f t="shared" si="29"/>
        <v>0</v>
      </c>
      <c r="BG192" s="1957">
        <f t="shared" si="29"/>
        <v>0</v>
      </c>
      <c r="BH192" s="1957">
        <f t="shared" si="29"/>
        <v>0</v>
      </c>
      <c r="BI192" s="1957" t="str">
        <f>IF(BG192&lt;&gt;"",IFERROR(MATCH(BG192&amp;BH192,'Results from Trace'!$L$1:$L$21,0),""),"")</f>
        <v/>
      </c>
    </row>
    <row r="193" spans="1:61" ht="16.2" customHeight="1" x14ac:dyDescent="0.3">
      <c r="A193" s="1063" t="s">
        <v>1299</v>
      </c>
      <c r="B193" s="2794"/>
      <c r="C193" s="2794"/>
      <c r="D193" s="2819"/>
      <c r="E193" s="2820"/>
      <c r="F193" s="1132" t="str">
        <f>IFERROR(IF(ISBLANK(E192),"","Demand (" &amp; VLOOKUP($E192,PO_Enrgy_1_Table,MATCH($E$16,PO_Enrgy_1_Hdr,0),FALSE) &amp; ")"),"")</f>
        <v>Demand (kW)</v>
      </c>
      <c r="G193" s="1218" t="str">
        <f ca="1">INDEX(PO_baseline_table,24, 10)</f>
        <v/>
      </c>
      <c r="H193" s="1160" t="str">
        <f t="shared" ca="1" si="28"/>
        <v/>
      </c>
      <c r="I193" s="1219" t="str">
        <f t="shared" ca="1" si="26"/>
        <v/>
      </c>
      <c r="J193" s="2822"/>
      <c r="K193" s="2823"/>
      <c r="L193" s="2823"/>
      <c r="M193" s="2825"/>
      <c r="Q193" s="1296" t="str">
        <f t="shared" si="18"/>
        <v/>
      </c>
      <c r="R193" s="1296" t="str">
        <f t="shared" si="19"/>
        <v/>
      </c>
      <c r="S193" s="1296" t="str">
        <f t="shared" si="20"/>
        <v/>
      </c>
      <c r="T193" s="1296" t="str">
        <f t="shared" si="21"/>
        <v/>
      </c>
      <c r="V193" s="1305">
        <f t="shared" ca="1" si="22"/>
        <v>0</v>
      </c>
      <c r="W193" s="1296">
        <f t="shared" ca="1" si="23"/>
        <v>0</v>
      </c>
      <c r="X193" s="1296">
        <f t="shared" ca="1" si="24"/>
        <v>0</v>
      </c>
      <c r="Y193" s="1296"/>
      <c r="Z193" s="1296"/>
      <c r="AA193" s="1296"/>
      <c r="AB193" s="1296"/>
      <c r="AC193" s="1296"/>
      <c r="AD193" s="1296"/>
      <c r="AE193" s="15"/>
      <c r="AF193" s="2827"/>
      <c r="AG193" s="2827"/>
      <c r="AH193" s="1066"/>
      <c r="AI193" s="788"/>
      <c r="AJ193" s="788"/>
      <c r="AK193" s="1196"/>
      <c r="AO193" s="535"/>
      <c r="BC193" s="1906"/>
      <c r="BF193" s="1957">
        <f t="shared" si="29"/>
        <v>0</v>
      </c>
      <c r="BG193" s="1957">
        <f t="shared" si="29"/>
        <v>0</v>
      </c>
      <c r="BH193" s="1957">
        <f t="shared" si="29"/>
        <v>0</v>
      </c>
      <c r="BI193" s="1957" t="str">
        <f>IF(BG193&lt;&gt;"",IFERROR(MATCH(BG193&amp;BH193,'Results from Trace'!$L$1:$L$21,0),""),"")</f>
        <v/>
      </c>
    </row>
    <row r="194" spans="1:61" ht="16.2" customHeight="1" x14ac:dyDescent="0.3">
      <c r="A194" s="1063" t="s">
        <v>1299</v>
      </c>
      <c r="B194" s="2794" t="s">
        <v>427</v>
      </c>
      <c r="C194" s="2794"/>
      <c r="D194" s="2819" t="str">
        <f>INDEX(PO_baseline_table,25, 3)</f>
        <v>x</v>
      </c>
      <c r="E194" s="2820" t="str">
        <f>INDEX(PO_baseline_table,25, 4)</f>
        <v>Electricity</v>
      </c>
      <c r="F194" s="1132" t="str">
        <f>IFERROR(IF(ISBLANK(E194),"","Consumption (" &amp; VLOOKUP($E194,PO_Enrgy_1_Table,MATCH($C$16,PO_Enrgy_1_Hdr,0),FALSE) &amp; ")"),"")</f>
        <v>Consumption (kWh)</v>
      </c>
      <c r="G194" s="1217" t="str">
        <f ca="1">INDEX(PO_baseline_table,25, 10)</f>
        <v/>
      </c>
      <c r="H194" s="1160" t="str">
        <f t="shared" ca="1" si="28"/>
        <v/>
      </c>
      <c r="I194" s="1359" t="str">
        <f t="shared" ca="1" si="26"/>
        <v/>
      </c>
      <c r="J194" s="2821" t="str">
        <f ca="1">IFERROR(IF($E$326-$H$326&lt;0,"",($G194-$H194)*VLOOKUP($E194,PO_Enrgy_1_Table,MATCH($K$16,PO_Enrgy_1_Hdr,0),FALSE)/($E$326-$H$326)),"")</f>
        <v/>
      </c>
      <c r="K194" s="2823" t="str">
        <f ca="1">IFERROR(IF($G$326-$J$326&lt;0,"",($G194*VLOOKUP($E194,PO_Enrgy_8_Table,MATCH($E$231,PO_Enrgy_8_Hdr,0),FALSE)-($H194*VLOOKUP($E194,PO_Enrgy_8_Table,MATCH($H$231,PO_Enrgy_8_Hdr,0),FALSE)))/($G$326-$J$326)),"")</f>
        <v/>
      </c>
      <c r="L194" s="2823"/>
      <c r="M194" s="2824" t="str">
        <f ca="1">IFERROR(H194*VLOOKUP($E194,PO_Enrgy_1_Table,MATCH($K$16,PO_Enrgy_1_Hdr,0))/$H$226,"")</f>
        <v/>
      </c>
      <c r="Q194" s="1296">
        <f t="shared" si="18"/>
        <v>9.999999999999998E-4</v>
      </c>
      <c r="R194" s="1296">
        <f t="shared" si="19"/>
        <v>3.1399999999999996E-3</v>
      </c>
      <c r="S194" s="1296" t="str">
        <f t="shared" ca="1" si="20"/>
        <v/>
      </c>
      <c r="T194" s="1296" t="str">
        <f t="shared" ca="1" si="21"/>
        <v/>
      </c>
      <c r="V194" s="1305">
        <f t="shared" ca="1" si="22"/>
        <v>0</v>
      </c>
      <c r="W194" s="1296">
        <f t="shared" ca="1" si="23"/>
        <v>0</v>
      </c>
      <c r="X194" s="1296">
        <f t="shared" ca="1" si="24"/>
        <v>0</v>
      </c>
      <c r="Y194" s="1296" t="b">
        <f ca="1">IFERROR(IF(D194="x",IF(OR(G194/H194&gt;1.03,G194/H194&lt;0.97),TRUE,FALSE),FALSE),FALSE)</f>
        <v>0</v>
      </c>
      <c r="Z194" s="1296">
        <f ca="1">IFERROR(J194*100,)</f>
        <v>0</v>
      </c>
      <c r="AA194" s="1296"/>
      <c r="AB194" s="1296">
        <f ca="1">RANK(Z194,$Z$170:$Z$217,0)</f>
        <v>8</v>
      </c>
      <c r="AC194" s="1296">
        <f ca="1">AB194+COUNTIF($AB$170:$AB193,AB194)</f>
        <v>12</v>
      </c>
      <c r="AD194" s="1296" t="str">
        <f>B194</f>
        <v>Refrigeration equipment</v>
      </c>
      <c r="AE194" s="15"/>
      <c r="AF194" s="2827"/>
      <c r="AG194" s="2827"/>
      <c r="AH194" s="1066"/>
      <c r="AI194" s="788"/>
      <c r="AJ194" s="788"/>
      <c r="AK194" s="1195"/>
      <c r="AO194" s="535"/>
      <c r="BC194" s="1906"/>
      <c r="BF194" s="1957">
        <f t="shared" si="29"/>
        <v>0</v>
      </c>
      <c r="BG194" s="1957">
        <f t="shared" si="29"/>
        <v>0</v>
      </c>
      <c r="BH194" s="1957">
        <f t="shared" si="29"/>
        <v>0</v>
      </c>
      <c r="BI194" s="1957" t="str">
        <f>IF(BG194&lt;&gt;"",IFERROR(MATCH(BG194&amp;BH194,'Results from Trace'!$L$1:$L$21,0),""),"")</f>
        <v/>
      </c>
    </row>
    <row r="195" spans="1:61" ht="16.2" customHeight="1" x14ac:dyDescent="0.3">
      <c r="A195" s="1063" t="s">
        <v>1299</v>
      </c>
      <c r="B195" s="2794"/>
      <c r="C195" s="2794"/>
      <c r="D195" s="2819"/>
      <c r="E195" s="2820"/>
      <c r="F195" s="1132" t="str">
        <f>IFERROR(IF(ISBLANK(E194),"","Demand (" &amp; VLOOKUP($E194,PO_Enrgy_1_Table,MATCH($E$16,PO_Enrgy_1_Hdr,0),FALSE) &amp; ")"),"")</f>
        <v>Demand (kW)</v>
      </c>
      <c r="G195" s="1218" t="str">
        <f ca="1">INDEX(PO_baseline_table,26, 10)</f>
        <v/>
      </c>
      <c r="H195" s="1160" t="str">
        <f t="shared" ca="1" si="28"/>
        <v/>
      </c>
      <c r="I195" s="1219" t="str">
        <f t="shared" ca="1" si="26"/>
        <v/>
      </c>
      <c r="J195" s="2822"/>
      <c r="K195" s="2823"/>
      <c r="L195" s="2823"/>
      <c r="M195" s="2825"/>
      <c r="Q195" s="1296" t="str">
        <f t="shared" si="18"/>
        <v/>
      </c>
      <c r="R195" s="1296" t="str">
        <f t="shared" si="19"/>
        <v/>
      </c>
      <c r="S195" s="1296" t="str">
        <f t="shared" si="20"/>
        <v/>
      </c>
      <c r="T195" s="1296" t="str">
        <f t="shared" si="21"/>
        <v/>
      </c>
      <c r="V195" s="1305">
        <f t="shared" ca="1" si="22"/>
        <v>0</v>
      </c>
      <c r="W195" s="1296">
        <f t="shared" ca="1" si="23"/>
        <v>0</v>
      </c>
      <c r="X195" s="1296">
        <f t="shared" ca="1" si="24"/>
        <v>0</v>
      </c>
      <c r="Y195" s="1296"/>
      <c r="Z195" s="1296"/>
      <c r="AA195" s="1296"/>
      <c r="AB195" s="1296"/>
      <c r="AC195" s="1296"/>
      <c r="AD195" s="1296"/>
      <c r="AE195" s="15"/>
      <c r="AF195" s="2827"/>
      <c r="AG195" s="2827"/>
      <c r="AH195" s="1066"/>
      <c r="AI195" s="788"/>
      <c r="AJ195" s="788"/>
      <c r="AK195" s="1196"/>
      <c r="AO195" s="535"/>
      <c r="BC195" s="1906"/>
      <c r="BF195" s="1957">
        <f t="shared" si="29"/>
        <v>0</v>
      </c>
      <c r="BG195" s="1957">
        <f t="shared" si="29"/>
        <v>0</v>
      </c>
      <c r="BH195" s="1957">
        <f t="shared" si="29"/>
        <v>0</v>
      </c>
      <c r="BI195" s="1957" t="str">
        <f>IF(BG195&lt;&gt;"",IFERROR(MATCH(BG195&amp;BH195,'Results from Trace'!$L$1:$L$21,0),""),"")</f>
        <v/>
      </c>
    </row>
    <row r="196" spans="1:61" ht="16.2" customHeight="1" x14ac:dyDescent="0.3">
      <c r="A196" s="1063" t="s">
        <v>1299</v>
      </c>
      <c r="B196" s="2794" t="s">
        <v>469</v>
      </c>
      <c r="C196" s="2794"/>
      <c r="D196" s="2819" t="str">
        <f>INDEX(PO_baseline_table,27, 3)</f>
        <v>x</v>
      </c>
      <c r="E196" s="2820" t="str">
        <f>INDEX(PO_baseline_table,27, 4)</f>
        <v>Electricity</v>
      </c>
      <c r="F196" s="1132" t="str">
        <f>IFERROR(IF(ISBLANK(E196),"","Consumption (" &amp; VLOOKUP($E196,PO_Enrgy_1_Table,MATCH($C$16,PO_Enrgy_1_Hdr,0),FALSE) &amp; ")"),"")</f>
        <v>Consumption (kWh)</v>
      </c>
      <c r="G196" s="1217" t="str">
        <f ca="1">INDEX(PO_baseline_table,27, 10)</f>
        <v/>
      </c>
      <c r="H196" s="1160" t="str">
        <f t="shared" ca="1" si="28"/>
        <v/>
      </c>
      <c r="I196" s="1359" t="str">
        <f t="shared" ca="1" si="26"/>
        <v/>
      </c>
      <c r="J196" s="2821" t="str">
        <f ca="1">IFERROR(IF($E$326-$H$326&lt;0,"",($G196-$H196)*VLOOKUP($E196,PO_Enrgy_1_Table,MATCH($K$16,PO_Enrgy_1_Hdr,0),FALSE)/($E$326-$H$326)),"")</f>
        <v/>
      </c>
      <c r="K196" s="2823" t="str">
        <f ca="1">IFERROR(IF($G$326-$J$326&lt;0,"",($G196*VLOOKUP($E196,PO_Enrgy_8_Table,MATCH($E$231,PO_Enrgy_8_Hdr,0),FALSE)-($H196*VLOOKUP($E196,PO_Enrgy_8_Table,MATCH($H$231,PO_Enrgy_8_Hdr,0),FALSE)))/($G$326-$J$326)),"")</f>
        <v/>
      </c>
      <c r="L196" s="2823"/>
      <c r="M196" s="2824" t="str">
        <f ca="1">IFERROR(H196*VLOOKUP($E196,PO_Enrgy_1_Table,MATCH($K$16,PO_Enrgy_1_Hdr,0))/$H$226,"")</f>
        <v/>
      </c>
      <c r="Q196" s="1296">
        <f t="shared" si="18"/>
        <v>9.999999999999998E-4</v>
      </c>
      <c r="R196" s="1296">
        <f t="shared" si="19"/>
        <v>3.1399999999999996E-3</v>
      </c>
      <c r="S196" s="1296" t="str">
        <f t="shared" ca="1" si="20"/>
        <v/>
      </c>
      <c r="T196" s="1296" t="str">
        <f t="shared" ca="1" si="21"/>
        <v/>
      </c>
      <c r="V196" s="1305">
        <f t="shared" ca="1" si="22"/>
        <v>0</v>
      </c>
      <c r="W196" s="1296">
        <f t="shared" ca="1" si="23"/>
        <v>0</v>
      </c>
      <c r="X196" s="1296">
        <f t="shared" ca="1" si="24"/>
        <v>0</v>
      </c>
      <c r="Y196" s="1296" t="b">
        <f ca="1">IFERROR(IF(D196="x",IF(OR(G196/H196&gt;1.03,G196/H196&lt;0.97),TRUE,FALSE),FALSE),FALSE)</f>
        <v>0</v>
      </c>
      <c r="Z196" s="1296">
        <f ca="1">IFERROR(J196*100,)</f>
        <v>0</v>
      </c>
      <c r="AA196" s="1296"/>
      <c r="AB196" s="1296">
        <f ca="1">RANK(Z196,$Z$170:$Z$217,0)</f>
        <v>8</v>
      </c>
      <c r="AC196" s="1296">
        <f ca="1">AB196+COUNTIF($AB$170:$AB195,AB196)</f>
        <v>13</v>
      </c>
      <c r="AD196" s="1296" t="str">
        <f>B196</f>
        <v>Fans - Kitchen Ventilation</v>
      </c>
      <c r="AE196" s="15"/>
      <c r="AF196" s="2827"/>
      <c r="AG196" s="2827"/>
      <c r="AH196" s="1066"/>
      <c r="AI196" s="788"/>
      <c r="AJ196" s="788"/>
      <c r="AK196" s="1195"/>
      <c r="AO196" s="535"/>
      <c r="BC196" s="1906"/>
      <c r="BF196" s="1957">
        <f t="shared" si="29"/>
        <v>0</v>
      </c>
      <c r="BG196" s="1957">
        <f t="shared" si="29"/>
        <v>0</v>
      </c>
      <c r="BH196" s="1957">
        <f t="shared" si="29"/>
        <v>0</v>
      </c>
      <c r="BI196" s="1957" t="str">
        <f>IF(BG196&lt;&gt;"",IFERROR(MATCH(BG196&amp;BH196,'Results from Trace'!$L$1:$L$21,0),""),"")</f>
        <v/>
      </c>
    </row>
    <row r="197" spans="1:61" ht="16.2" customHeight="1" x14ac:dyDescent="0.3">
      <c r="A197" s="1063" t="s">
        <v>1299</v>
      </c>
      <c r="B197" s="2794"/>
      <c r="C197" s="2794"/>
      <c r="D197" s="2819"/>
      <c r="E197" s="2820"/>
      <c r="F197" s="1132" t="str">
        <f>IFERROR(IF(ISBLANK(E196),"","Demand (" &amp; VLOOKUP($E196,PO_Enrgy_1_Table,MATCH($E$16,PO_Enrgy_1_Hdr,0),FALSE) &amp; ")"),"")</f>
        <v>Demand (kW)</v>
      </c>
      <c r="G197" s="1218" t="str">
        <f ca="1">INDEX(PO_baseline_table,28, 10)</f>
        <v/>
      </c>
      <c r="H197" s="1160" t="str">
        <f t="shared" ca="1" si="28"/>
        <v/>
      </c>
      <c r="I197" s="1219" t="str">
        <f t="shared" ca="1" si="26"/>
        <v/>
      </c>
      <c r="J197" s="2822"/>
      <c r="K197" s="2823"/>
      <c r="L197" s="2823"/>
      <c r="M197" s="2825"/>
      <c r="Q197" s="1296" t="str">
        <f t="shared" si="18"/>
        <v/>
      </c>
      <c r="R197" s="1296" t="str">
        <f t="shared" si="19"/>
        <v/>
      </c>
      <c r="S197" s="1296" t="str">
        <f t="shared" si="20"/>
        <v/>
      </c>
      <c r="T197" s="1296" t="str">
        <f t="shared" si="21"/>
        <v/>
      </c>
      <c r="V197" s="1305">
        <f t="shared" ca="1" si="22"/>
        <v>0</v>
      </c>
      <c r="W197" s="1296">
        <f t="shared" ca="1" si="23"/>
        <v>0</v>
      </c>
      <c r="X197" s="1296">
        <f t="shared" ca="1" si="24"/>
        <v>0</v>
      </c>
      <c r="Y197" s="1296"/>
      <c r="Z197" s="1296"/>
      <c r="AA197" s="1296"/>
      <c r="AB197" s="1296"/>
      <c r="AC197" s="1296"/>
      <c r="AD197" s="1296"/>
      <c r="AE197" s="15"/>
      <c r="AF197" s="2827"/>
      <c r="AG197" s="2827"/>
      <c r="AH197" s="1066"/>
      <c r="AI197" s="788"/>
      <c r="AJ197" s="788"/>
      <c r="AK197" s="1196"/>
      <c r="AO197" s="535"/>
      <c r="BC197" s="1906"/>
      <c r="BF197" s="1957">
        <f t="shared" si="29"/>
        <v>0</v>
      </c>
      <c r="BG197" s="1957">
        <f t="shared" si="29"/>
        <v>0</v>
      </c>
      <c r="BH197" s="1957">
        <f t="shared" si="29"/>
        <v>0</v>
      </c>
      <c r="BI197" s="1957" t="str">
        <f>IF(BG197&lt;&gt;"",IFERROR(MATCH(BG197&amp;BH197,'Results from Trace'!$L$1:$L$21,0),""),"")</f>
        <v/>
      </c>
    </row>
    <row r="198" spans="1:61" ht="16.2" customHeight="1" x14ac:dyDescent="0.3">
      <c r="A198" s="1063" t="s">
        <v>1299</v>
      </c>
      <c r="B198" s="2794" t="s">
        <v>468</v>
      </c>
      <c r="C198" s="2794"/>
      <c r="D198" s="2819" t="str">
        <f>INDEX(PO_baseline_table,29, 3)</f>
        <v>x</v>
      </c>
      <c r="E198" s="2820" t="str">
        <f>INDEX(PO_baseline_table,29, 4)</f>
        <v>Electricity</v>
      </c>
      <c r="F198" s="1132" t="str">
        <f>IFERROR(IF(ISBLANK(E198),"","Consumption (" &amp; VLOOKUP($E198,PO_Enrgy_1_Table,MATCH($C$16,PO_Enrgy_1_Hdr,0),FALSE) &amp; ")"),"")</f>
        <v>Consumption (kWh)</v>
      </c>
      <c r="G198" s="1217" t="str">
        <f ca="1">INDEX(PO_baseline_table,29, 10)</f>
        <v/>
      </c>
      <c r="H198" s="1160" t="str">
        <f t="shared" ca="1" si="28"/>
        <v/>
      </c>
      <c r="I198" s="1359" t="str">
        <f t="shared" ca="1" si="26"/>
        <v/>
      </c>
      <c r="J198" s="2821" t="str">
        <f ca="1">IFERROR(IF($E$326-$H$326&lt;0,"",($G198-$H198)*VLOOKUP($E198,PO_Enrgy_1_Table,MATCH($K$16,PO_Enrgy_1_Hdr,0),FALSE)/($E$326-$H$326)),"")</f>
        <v/>
      </c>
      <c r="K198" s="2823" t="str">
        <f ca="1">IFERROR(IF($G$326-$J$326&lt;0,"",($G198*VLOOKUP($E198,PO_Enrgy_8_Table,MATCH($E$231,PO_Enrgy_8_Hdr,0),FALSE)-($H198*VLOOKUP($E198,PO_Enrgy_8_Table,MATCH($H$231,PO_Enrgy_8_Hdr,0),FALSE)))/($G$326-$J$326)),"")</f>
        <v/>
      </c>
      <c r="L198" s="2823"/>
      <c r="M198" s="2824" t="str">
        <f ca="1">IFERROR(H198*VLOOKUP($E198,PO_Enrgy_1_Table,MATCH($K$16,PO_Enrgy_1_Hdr,0))/$H$226,"")</f>
        <v/>
      </c>
      <c r="Q198" s="1296">
        <f t="shared" si="18"/>
        <v>9.999999999999998E-4</v>
      </c>
      <c r="R198" s="1296">
        <f t="shared" si="19"/>
        <v>3.1399999999999996E-3</v>
      </c>
      <c r="S198" s="1296" t="str">
        <f t="shared" ca="1" si="20"/>
        <v/>
      </c>
      <c r="T198" s="1296" t="str">
        <f t="shared" ca="1" si="21"/>
        <v/>
      </c>
      <c r="V198" s="1305">
        <f t="shared" ca="1" si="22"/>
        <v>0</v>
      </c>
      <c r="W198" s="1296">
        <f t="shared" ca="1" si="23"/>
        <v>0</v>
      </c>
      <c r="X198" s="1296">
        <f t="shared" ca="1" si="24"/>
        <v>0</v>
      </c>
      <c r="Y198" s="1296" t="b">
        <f ca="1">IFERROR(IF(D198="x",IF(OR(G198/H198&gt;1.03,G198/H198&lt;0.97),TRUE,FALSE),FALSE),FALSE)</f>
        <v>0</v>
      </c>
      <c r="Z198" s="1296">
        <f ca="1">IFERROR(J198*100,)</f>
        <v>0</v>
      </c>
      <c r="AA198" s="1296"/>
      <c r="AB198" s="1296">
        <f ca="1">RANK(Z198,$Z$170:$Z$217,0)</f>
        <v>8</v>
      </c>
      <c r="AC198" s="1296">
        <f ca="1">AB198+COUNTIF($AB$170:$AB197,AB198)</f>
        <v>14</v>
      </c>
      <c r="AD198" s="1296" t="str">
        <f>B198</f>
        <v>Cooking</v>
      </c>
      <c r="AE198" s="15"/>
      <c r="AF198" s="2827"/>
      <c r="AG198" s="2827"/>
      <c r="AH198" s="1066"/>
      <c r="AI198" s="788"/>
      <c r="AJ198" s="788"/>
      <c r="AK198" s="1195"/>
      <c r="AO198" s="535"/>
      <c r="BC198" s="1906"/>
      <c r="BF198" s="1957">
        <f t="shared" si="29"/>
        <v>0</v>
      </c>
      <c r="BG198" s="1957">
        <f t="shared" si="29"/>
        <v>0</v>
      </c>
      <c r="BH198" s="1957">
        <f t="shared" si="29"/>
        <v>0</v>
      </c>
      <c r="BI198" s="1957" t="str">
        <f>IF(BG198&lt;&gt;"",IFERROR(MATCH(BG198&amp;BH198,'Results from Trace'!$L$1:$L$21,0),""),"")</f>
        <v/>
      </c>
    </row>
    <row r="199" spans="1:61" ht="16.2" customHeight="1" x14ac:dyDescent="0.3">
      <c r="A199" s="1063" t="s">
        <v>1299</v>
      </c>
      <c r="B199" s="2794"/>
      <c r="C199" s="2794"/>
      <c r="D199" s="2819"/>
      <c r="E199" s="2820"/>
      <c r="F199" s="1132" t="str">
        <f>IFERROR(IF(ISBLANK(E198),"","Demand (" &amp; VLOOKUP($E198,PO_Enrgy_1_Table,MATCH($E$16,PO_Enrgy_1_Hdr,0),FALSE) &amp; ")"),"")</f>
        <v>Demand (kW)</v>
      </c>
      <c r="G199" s="1218" t="str">
        <f ca="1">INDEX(PO_baseline_table,30, 10)</f>
        <v/>
      </c>
      <c r="H199" s="1160" t="str">
        <f t="shared" ca="1" si="28"/>
        <v/>
      </c>
      <c r="I199" s="1219" t="str">
        <f t="shared" ca="1" si="26"/>
        <v/>
      </c>
      <c r="J199" s="2822"/>
      <c r="K199" s="2823"/>
      <c r="L199" s="2823"/>
      <c r="M199" s="2825"/>
      <c r="Q199" s="1296" t="str">
        <f t="shared" si="18"/>
        <v/>
      </c>
      <c r="R199" s="1296" t="str">
        <f t="shared" si="19"/>
        <v/>
      </c>
      <c r="S199" s="1296" t="str">
        <f t="shared" si="20"/>
        <v/>
      </c>
      <c r="T199" s="1296" t="str">
        <f t="shared" si="21"/>
        <v/>
      </c>
      <c r="V199" s="1305">
        <f t="shared" ca="1" si="22"/>
        <v>0</v>
      </c>
      <c r="W199" s="1296">
        <f t="shared" ca="1" si="23"/>
        <v>0</v>
      </c>
      <c r="X199" s="1296">
        <f t="shared" ca="1" si="24"/>
        <v>0</v>
      </c>
      <c r="Y199" s="1296"/>
      <c r="Z199" s="1296"/>
      <c r="AA199" s="1296"/>
      <c r="AB199" s="1296"/>
      <c r="AC199" s="1296"/>
      <c r="AD199" s="1296"/>
      <c r="AE199" s="15"/>
      <c r="AF199" s="2827"/>
      <c r="AG199" s="2827"/>
      <c r="AH199" s="1066"/>
      <c r="AI199" s="788"/>
      <c r="AJ199" s="788"/>
      <c r="AK199" s="1196"/>
      <c r="AO199" s="535"/>
      <c r="BC199" s="1906"/>
      <c r="BF199" s="1957">
        <f t="shared" si="29"/>
        <v>0</v>
      </c>
      <c r="BG199" s="1957">
        <f t="shared" si="29"/>
        <v>0</v>
      </c>
      <c r="BH199" s="1957">
        <f t="shared" si="29"/>
        <v>0</v>
      </c>
      <c r="BI199" s="1957" t="str">
        <f>IF(BG199&lt;&gt;"",IFERROR(MATCH(BG199&amp;BH199,'Results from Trace'!$L$1:$L$21,0),""),"")</f>
        <v/>
      </c>
    </row>
    <row r="200" spans="1:61" ht="16.2" customHeight="1" x14ac:dyDescent="0.3">
      <c r="A200" s="1063" t="s">
        <v>1299</v>
      </c>
      <c r="B200" s="2794" t="s">
        <v>467</v>
      </c>
      <c r="C200" s="2794"/>
      <c r="D200" s="2819" t="str">
        <f>INDEX(PO_baseline_table,31, 3)</f>
        <v>x</v>
      </c>
      <c r="E200" s="2820" t="str">
        <f>INDEX(PO_baseline_table,31, 4)</f>
        <v>Electricity</v>
      </c>
      <c r="F200" s="1132" t="str">
        <f>IFERROR(IF(ISBLANK(E200),"","Consumption (" &amp; VLOOKUP($E200,PO_Enrgy_1_Table,MATCH($C$16,PO_Enrgy_1_Hdr,0),FALSE) &amp; ")"),"")</f>
        <v>Consumption (kWh)</v>
      </c>
      <c r="G200" s="1217" t="str">
        <f ca="1">INDEX(PO_baseline_table,31, 10)</f>
        <v/>
      </c>
      <c r="H200" s="1160" t="str">
        <f t="shared" ca="1" si="28"/>
        <v/>
      </c>
      <c r="I200" s="1359" t="str">
        <f t="shared" ca="1" si="26"/>
        <v/>
      </c>
      <c r="J200" s="2821" t="str">
        <f ca="1">IFERROR(IF($E$326-$H$326&lt;0,"",($G200-$H200)*VLOOKUP($E200,PO_Enrgy_1_Table,MATCH($K$16,PO_Enrgy_1_Hdr,0),FALSE)/($E$326-$H$326)),"")</f>
        <v/>
      </c>
      <c r="K200" s="2823" t="str">
        <f ca="1">IFERROR(IF($G$326-$J$326&lt;0,"",($G200*VLOOKUP($E200,PO_Enrgy_8_Table,MATCH($E$231,PO_Enrgy_8_Hdr,0),FALSE)-($H200*VLOOKUP($E200,PO_Enrgy_8_Table,MATCH($H$231,PO_Enrgy_8_Hdr,0),FALSE)))/($G$326-$J$326)),"")</f>
        <v/>
      </c>
      <c r="L200" s="2823"/>
      <c r="M200" s="2824" t="str">
        <f ca="1">IFERROR(H200*VLOOKUP($E200,PO_Enrgy_1_Table,MATCH($K$16,PO_Enrgy_1_Hdr,0))/$H$226,"")</f>
        <v/>
      </c>
      <c r="Q200" s="1296">
        <f t="shared" si="18"/>
        <v>9.999999999999998E-4</v>
      </c>
      <c r="R200" s="1296">
        <f t="shared" si="19"/>
        <v>3.1399999999999996E-3</v>
      </c>
      <c r="S200" s="1296" t="str">
        <f t="shared" ca="1" si="20"/>
        <v/>
      </c>
      <c r="T200" s="1296" t="str">
        <f t="shared" ca="1" si="21"/>
        <v/>
      </c>
      <c r="V200" s="1305">
        <f t="shared" ca="1" si="22"/>
        <v>0</v>
      </c>
      <c r="W200" s="1296">
        <f t="shared" ca="1" si="23"/>
        <v>0</v>
      </c>
      <c r="X200" s="1296">
        <f t="shared" ca="1" si="24"/>
        <v>0</v>
      </c>
      <c r="Y200" s="1296" t="b">
        <f ca="1">IFERROR(IF(D200="x",IF(OR(G200/H200&gt;1.03,G200/H200&lt;0.97),TRUE,FALSE),FALSE),FALSE)</f>
        <v>0</v>
      </c>
      <c r="Z200" s="1296">
        <f ca="1">IFERROR(J200*100,)</f>
        <v>0</v>
      </c>
      <c r="AA200" s="1296"/>
      <c r="AB200" s="1296">
        <f ca="1">RANK(Z200,$Z$170:$Z$217,0)</f>
        <v>8</v>
      </c>
      <c r="AC200" s="1296">
        <f ca="1">AB200+COUNTIF($AB$170:$AB199,AB200)</f>
        <v>15</v>
      </c>
      <c r="AD200" s="1296" t="str">
        <f>B200</f>
        <v>Industrial Process</v>
      </c>
      <c r="AE200" s="15"/>
      <c r="AF200" s="2827"/>
      <c r="AG200" s="2827"/>
      <c r="AH200" s="1066"/>
      <c r="AI200" s="788"/>
      <c r="AJ200" s="788"/>
      <c r="AK200" s="1195"/>
      <c r="AO200" s="535"/>
      <c r="BC200" s="1906"/>
      <c r="BF200" s="1957">
        <f t="shared" si="29"/>
        <v>0</v>
      </c>
      <c r="BG200" s="1957">
        <f t="shared" si="29"/>
        <v>0</v>
      </c>
      <c r="BH200" s="1957">
        <f t="shared" si="29"/>
        <v>0</v>
      </c>
      <c r="BI200" s="1957" t="str">
        <f>IF(BG200&lt;&gt;"",IFERROR(MATCH(BG200&amp;BH200,'Results from Trace'!$L$1:$L$21,0),""),"")</f>
        <v/>
      </c>
    </row>
    <row r="201" spans="1:61" ht="16.2" customHeight="1" x14ac:dyDescent="0.3">
      <c r="A201" s="1063" t="s">
        <v>1299</v>
      </c>
      <c r="B201" s="2794"/>
      <c r="C201" s="2794"/>
      <c r="D201" s="2819"/>
      <c r="E201" s="2820"/>
      <c r="F201" s="1132" t="str">
        <f>IFERROR(IF(ISBLANK(E200),"","Demand (" &amp; VLOOKUP($E200,PO_Enrgy_1_Table,MATCH($E$16,PO_Enrgy_1_Hdr,0),FALSE) &amp; ")"),"")</f>
        <v>Demand (kW)</v>
      </c>
      <c r="G201" s="1218" t="str">
        <f ca="1">INDEX(PO_baseline_table,32, 10)</f>
        <v/>
      </c>
      <c r="H201" s="1160" t="str">
        <f t="shared" ca="1" si="28"/>
        <v/>
      </c>
      <c r="I201" s="1219" t="str">
        <f t="shared" ca="1" si="26"/>
        <v/>
      </c>
      <c r="J201" s="2822"/>
      <c r="K201" s="2823"/>
      <c r="L201" s="2823"/>
      <c r="M201" s="2825"/>
      <c r="Q201" s="1296" t="str">
        <f t="shared" si="18"/>
        <v/>
      </c>
      <c r="R201" s="1296" t="str">
        <f t="shared" si="19"/>
        <v/>
      </c>
      <c r="S201" s="1296" t="str">
        <f t="shared" si="20"/>
        <v/>
      </c>
      <c r="T201" s="1296" t="str">
        <f t="shared" si="21"/>
        <v/>
      </c>
      <c r="V201" s="1305">
        <f t="shared" ca="1" si="22"/>
        <v>0</v>
      </c>
      <c r="W201" s="1296">
        <f t="shared" ca="1" si="23"/>
        <v>0</v>
      </c>
      <c r="X201" s="1296">
        <f t="shared" ca="1" si="24"/>
        <v>0</v>
      </c>
      <c r="Y201" s="1296"/>
      <c r="Z201" s="1296"/>
      <c r="AA201" s="1296"/>
      <c r="AB201" s="1296"/>
      <c r="AC201" s="1296"/>
      <c r="AD201" s="1296"/>
      <c r="AE201" s="15"/>
      <c r="AF201" s="2827"/>
      <c r="AG201" s="2827"/>
      <c r="AH201" s="1066"/>
      <c r="AI201" s="788"/>
      <c r="AJ201" s="788"/>
      <c r="AK201" s="1196"/>
      <c r="AO201" s="535"/>
      <c r="BC201" s="1906"/>
      <c r="BF201" s="1957">
        <f t="shared" si="29"/>
        <v>0</v>
      </c>
      <c r="BG201" s="1957">
        <f t="shared" si="29"/>
        <v>0</v>
      </c>
      <c r="BH201" s="1957">
        <f t="shared" si="29"/>
        <v>0</v>
      </c>
      <c r="BI201" s="1957" t="str">
        <f>IF(BG201&lt;&gt;"",IFERROR(MATCH(BG201&amp;BH201,'Results from Trace'!$L$1:$L$21,0),""),"")</f>
        <v/>
      </c>
    </row>
    <row r="202" spans="1:61" ht="16.2" customHeight="1" x14ac:dyDescent="0.3">
      <c r="A202" s="1063" t="s">
        <v>1299</v>
      </c>
      <c r="B202" s="2794" t="s">
        <v>466</v>
      </c>
      <c r="C202" s="2794"/>
      <c r="D202" s="2819" t="str">
        <f>INDEX(PO_baseline_table,33, 3)</f>
        <v>x</v>
      </c>
      <c r="E202" s="2820" t="str">
        <f>INDEX(PO_baseline_table,33, 4)</f>
        <v>Electricity</v>
      </c>
      <c r="F202" s="1132" t="str">
        <f>IFERROR(IF(ISBLANK(E202),"","Consumption (" &amp; VLOOKUP($E202,PO_Enrgy_1_Table,MATCH($C$16,PO_Enrgy_1_Hdr,0),FALSE) &amp; ")"),"")</f>
        <v>Consumption (kWh)</v>
      </c>
      <c r="G202" s="1217">
        <f>INDEX(PO_baseline_table,33, 10)</f>
        <v>77806.14</v>
      </c>
      <c r="H202" s="1160">
        <v>77806.14</v>
      </c>
      <c r="I202" s="1359">
        <f t="shared" si="26"/>
        <v>0</v>
      </c>
      <c r="J202" s="2821">
        <f ca="1">IFERROR(IF($E$326-$H$326&lt;0,"",($G202-$H202)*VLOOKUP($E202,PO_Enrgy_1_Table,MATCH($K$16,PO_Enrgy_1_Hdr,0),FALSE)/($E$326-$H$326)),"")</f>
        <v>0</v>
      </c>
      <c r="K202" s="2823">
        <f ca="1">IFERROR(IF($G$326-$J$326&lt;0,"",($G202*VLOOKUP($E202,PO_Enrgy_8_Table,MATCH($E$231,PO_Enrgy_8_Hdr,0),FALSE)-($H202*VLOOKUP($E202,PO_Enrgy_8_Table,MATCH($H$231,PO_Enrgy_8_Hdr,0),FALSE)))/($G$326-$J$326)),"")</f>
        <v>-1.7289868389024678E-17</v>
      </c>
      <c r="L202" s="2823"/>
      <c r="M202" s="2824">
        <f ca="1">IFERROR(H202*VLOOKUP($E202,PO_Enrgy_1_Table,MATCH($K$16,PO_Enrgy_1_Hdr,0))/$H$226,"")</f>
        <v>1.8736693963474115E-2</v>
      </c>
      <c r="Q202" s="1296">
        <f t="shared" si="18"/>
        <v>9.999999999999998E-4</v>
      </c>
      <c r="R202" s="1296">
        <f t="shared" si="19"/>
        <v>3.1399999999999996E-3</v>
      </c>
      <c r="S202" s="1296">
        <f t="shared" si="20"/>
        <v>2011.4301225376141</v>
      </c>
      <c r="T202" s="1296">
        <f t="shared" si="21"/>
        <v>2010.4945736434108</v>
      </c>
      <c r="V202" s="1305">
        <f t="shared" si="22"/>
        <v>0</v>
      </c>
      <c r="W202" s="1296">
        <f t="shared" si="23"/>
        <v>0</v>
      </c>
      <c r="X202" s="1296">
        <f t="shared" si="24"/>
        <v>0</v>
      </c>
      <c r="Y202" s="1296" t="b">
        <f>IFERROR(IF(D202="x",IF(OR(G202/H202&gt;1.03,G202/H202&lt;0.97),TRUE,FALSE),FALSE),FALSE)</f>
        <v>0</v>
      </c>
      <c r="Z202" s="1296">
        <f ca="1">IFERROR(J202*100,)</f>
        <v>0</v>
      </c>
      <c r="AA202" s="1296"/>
      <c r="AB202" s="1296">
        <f ca="1">RANK(Z202,$Z$170:$Z$217,0)</f>
        <v>8</v>
      </c>
      <c r="AC202" s="1296">
        <f ca="1">AB202+COUNTIF($AB$170:$AB201,AB202)</f>
        <v>16</v>
      </c>
      <c r="AD202" s="1296" t="str">
        <f>B202</f>
        <v>Elevators and escalators</v>
      </c>
      <c r="AE202" s="15"/>
      <c r="AF202" s="2827"/>
      <c r="AG202" s="2827"/>
      <c r="AH202" s="1066"/>
      <c r="AI202" s="788"/>
      <c r="AJ202" s="788"/>
      <c r="AK202" s="1195"/>
      <c r="AO202" s="535"/>
      <c r="BC202" s="1906"/>
      <c r="BF202" s="1957">
        <f t="shared" si="29"/>
        <v>0</v>
      </c>
      <c r="BG202" s="1957">
        <f t="shared" si="29"/>
        <v>0</v>
      </c>
      <c r="BH202" s="1957">
        <f t="shared" si="29"/>
        <v>0</v>
      </c>
      <c r="BI202" s="1957" t="str">
        <f>IF(BG202&lt;&gt;"",IFERROR(MATCH(BG202&amp;BH202,'Results from Trace'!$L$1:$L$21,0),""),"")</f>
        <v/>
      </c>
    </row>
    <row r="203" spans="1:61" ht="16.2" customHeight="1" x14ac:dyDescent="0.3">
      <c r="A203" s="1063" t="s">
        <v>1299</v>
      </c>
      <c r="B203" s="2794"/>
      <c r="C203" s="2794"/>
      <c r="D203" s="2819"/>
      <c r="E203" s="2820"/>
      <c r="F203" s="1132" t="str">
        <f>IFERROR(IF(ISBLANK(E202),"","Demand (" &amp; VLOOKUP($E202,PO_Enrgy_1_Table,MATCH($E$16,PO_Enrgy_1_Hdr,0),FALSE) &amp; ")"),"")</f>
        <v>Demand (kW)</v>
      </c>
      <c r="G203" s="1218">
        <f>INDEX(PO_baseline_table,34, 10)</f>
        <v>38.682000000000002</v>
      </c>
      <c r="H203" s="1160">
        <v>38.700000000000003</v>
      </c>
      <c r="I203" s="1219">
        <f t="shared" si="26"/>
        <v>-4.6533271288984324E-4</v>
      </c>
      <c r="J203" s="2822"/>
      <c r="K203" s="2823"/>
      <c r="L203" s="2823"/>
      <c r="M203" s="2825"/>
      <c r="Q203" s="1296" t="str">
        <f t="shared" si="18"/>
        <v/>
      </c>
      <c r="R203" s="1296" t="str">
        <f t="shared" si="19"/>
        <v/>
      </c>
      <c r="S203" s="1296" t="str">
        <f t="shared" si="20"/>
        <v/>
      </c>
      <c r="T203" s="1296" t="str">
        <f t="shared" si="21"/>
        <v/>
      </c>
      <c r="V203" s="1305">
        <f t="shared" si="22"/>
        <v>0</v>
      </c>
      <c r="W203" s="1296">
        <f t="shared" si="23"/>
        <v>0</v>
      </c>
      <c r="X203" s="1296">
        <f t="shared" si="24"/>
        <v>0</v>
      </c>
      <c r="Y203" s="1296"/>
      <c r="Z203" s="1296"/>
      <c r="AA203" s="1296"/>
      <c r="AB203" s="1296"/>
      <c r="AC203" s="1296"/>
      <c r="AD203" s="1296"/>
      <c r="AE203" s="15"/>
      <c r="AF203" s="2827"/>
      <c r="AG203" s="2827"/>
      <c r="AH203" s="1066"/>
      <c r="AI203" s="788"/>
      <c r="AJ203" s="788"/>
      <c r="AK203" s="1196"/>
      <c r="AO203" s="535"/>
      <c r="BC203" s="1906"/>
      <c r="BF203" s="1957">
        <f t="shared" ref="BF203:BH218" si="30">BF129</f>
        <v>0</v>
      </c>
      <c r="BG203" s="1957">
        <f t="shared" si="30"/>
        <v>0</v>
      </c>
      <c r="BH203" s="1957">
        <f t="shared" si="30"/>
        <v>0</v>
      </c>
      <c r="BI203" s="1957" t="str">
        <f>IF(BG203&lt;&gt;"",IFERROR(MATCH(BG203&amp;BH203,'Results from Trace'!$L$1:$L$21,0),""),"")</f>
        <v/>
      </c>
    </row>
    <row r="204" spans="1:61" ht="16.2" customHeight="1" x14ac:dyDescent="0.3">
      <c r="A204" s="1063" t="s">
        <v>1299</v>
      </c>
      <c r="B204" s="2794" t="s">
        <v>1090</v>
      </c>
      <c r="C204" s="2794"/>
      <c r="D204" s="2819">
        <f>INDEX(PO_baseline_table,35, 3)</f>
        <v>0</v>
      </c>
      <c r="E204" s="2820" t="str">
        <f>INDEX(PO_baseline_table,35, 4)</f>
        <v>Electricity</v>
      </c>
      <c r="F204" s="1132" t="str">
        <f>IFERROR(IF(ISBLANK(E204),"","Consumption (" &amp; VLOOKUP($E204,PO_Enrgy_1_Table,MATCH($C$16,PO_Enrgy_1_Hdr,0),FALSE) &amp; ")"),"")</f>
        <v>Consumption (kWh)</v>
      </c>
      <c r="G204" s="1217" t="str">
        <f ca="1">INDEX(PO_baseline_table,35, 10)</f>
        <v/>
      </c>
      <c r="H204" s="1160" t="str">
        <f t="shared" ca="1" si="28"/>
        <v/>
      </c>
      <c r="I204" s="1359" t="str">
        <f t="shared" ca="1" si="26"/>
        <v/>
      </c>
      <c r="J204" s="2821" t="str">
        <f ca="1">IFERROR(IF($E$326-$H$326&lt;0,"",($G204-$H204)*VLOOKUP($E204,PO_Enrgy_1_Table,MATCH($K$16,PO_Enrgy_1_Hdr,0),FALSE)/($E$326-$H$326)),"")</f>
        <v/>
      </c>
      <c r="K204" s="2823" t="str">
        <f ca="1">IFERROR(IF($G$326-$J$326&lt;0,"",($G204*VLOOKUP($E204,PO_Enrgy_8_Table,MATCH($E$231,PO_Enrgy_8_Hdr,0),FALSE)-($H204*VLOOKUP($E204,PO_Enrgy_8_Table,MATCH($H$231,PO_Enrgy_8_Hdr,0),FALSE)))/($G$326-$J$326)),"")</f>
        <v/>
      </c>
      <c r="L204" s="2823"/>
      <c r="M204" s="2824" t="str">
        <f ca="1">IFERROR(H204*VLOOKUP($E204,PO_Enrgy_1_Table,MATCH($K$16,PO_Enrgy_1_Hdr,0))/$H$226,"")</f>
        <v/>
      </c>
      <c r="Q204" s="1296">
        <f t="shared" si="18"/>
        <v>9.999999999999998E-4</v>
      </c>
      <c r="R204" s="1296">
        <f t="shared" si="19"/>
        <v>3.1399999999999996E-3</v>
      </c>
      <c r="S204" s="1296" t="str">
        <f t="shared" ca="1" si="20"/>
        <v/>
      </c>
      <c r="T204" s="1296" t="str">
        <f t="shared" ca="1" si="21"/>
        <v/>
      </c>
      <c r="V204" s="1305">
        <f t="shared" ca="1" si="22"/>
        <v>0</v>
      </c>
      <c r="W204" s="1296">
        <f t="shared" ca="1" si="23"/>
        <v>0</v>
      </c>
      <c r="X204" s="1296">
        <f t="shared" ca="1" si="24"/>
        <v>0</v>
      </c>
      <c r="Y204" s="1296" t="b">
        <f>IFERROR(IF(D204="x",IF(OR(G204/H204&gt;1.03,G204/H204&lt;0.97),TRUE,FALSE),FALSE),FALSE)</f>
        <v>0</v>
      </c>
      <c r="Z204" s="1296">
        <f ca="1">IFERROR(J204*100,)</f>
        <v>0</v>
      </c>
      <c r="AA204" s="1296"/>
      <c r="AB204" s="1296">
        <f ca="1">RANK(Z204,$Z$170:$Z$217,0)</f>
        <v>8</v>
      </c>
      <c r="AC204" s="1296">
        <f ca="1">AB204+COUNTIF($AB$170:$AB203,AB204)</f>
        <v>17</v>
      </c>
      <c r="AD204" s="1296" t="str">
        <f>B204</f>
        <v>Heat Pump Supplementary</v>
      </c>
      <c r="AE204" s="15"/>
      <c r="AF204" s="2827"/>
      <c r="AG204" s="2827"/>
      <c r="AH204" s="1066"/>
      <c r="AI204" s="788"/>
      <c r="AJ204" s="788"/>
      <c r="AK204" s="1195"/>
      <c r="AO204" s="535"/>
      <c r="BC204" s="1906"/>
      <c r="BF204" s="1957" t="str">
        <f t="shared" si="30"/>
        <v>U</v>
      </c>
      <c r="BG204" s="1957">
        <f t="shared" si="30"/>
        <v>0</v>
      </c>
      <c r="BH204" s="1957">
        <f t="shared" si="30"/>
        <v>0</v>
      </c>
      <c r="BI204" s="1957" t="str">
        <f>IF(BG204&lt;&gt;"",IFERROR(MATCH(BG204&amp;BH204,'Results from Trace'!$L$1:$L$21,0),""),"")</f>
        <v/>
      </c>
    </row>
    <row r="205" spans="1:61" ht="16.2" customHeight="1" x14ac:dyDescent="0.3">
      <c r="A205" s="1063" t="s">
        <v>1299</v>
      </c>
      <c r="B205" s="2794"/>
      <c r="C205" s="2794"/>
      <c r="D205" s="2819"/>
      <c r="E205" s="2820"/>
      <c r="F205" s="1132" t="str">
        <f>IFERROR(IF(ISBLANK(E204),"","Demand (" &amp; VLOOKUP($E204,PO_Enrgy_1_Table,MATCH($E$16,PO_Enrgy_1_Hdr,0),FALSE) &amp; ")"),"")</f>
        <v>Demand (kW)</v>
      </c>
      <c r="G205" s="1218" t="str">
        <f ca="1">INDEX(PO_baseline_table,36, 10)</f>
        <v/>
      </c>
      <c r="H205" s="1160" t="str">
        <f t="shared" ca="1" si="28"/>
        <v/>
      </c>
      <c r="I205" s="1219" t="str">
        <f t="shared" ca="1" si="26"/>
        <v/>
      </c>
      <c r="J205" s="2822"/>
      <c r="K205" s="2823"/>
      <c r="L205" s="2823"/>
      <c r="M205" s="2825"/>
      <c r="Q205" s="1296" t="str">
        <f t="shared" si="18"/>
        <v/>
      </c>
      <c r="R205" s="1296" t="str">
        <f t="shared" si="19"/>
        <v/>
      </c>
      <c r="S205" s="1296" t="str">
        <f t="shared" si="20"/>
        <v/>
      </c>
      <c r="T205" s="1296" t="str">
        <f t="shared" si="21"/>
        <v/>
      </c>
      <c r="V205" s="1305">
        <f t="shared" ca="1" si="22"/>
        <v>0</v>
      </c>
      <c r="W205" s="1296">
        <f t="shared" ca="1" si="23"/>
        <v>0</v>
      </c>
      <c r="X205" s="1296">
        <f t="shared" ca="1" si="24"/>
        <v>0</v>
      </c>
      <c r="Y205" s="1296"/>
      <c r="Z205" s="1296"/>
      <c r="AA205" s="1296"/>
      <c r="AB205" s="1296"/>
      <c r="AC205" s="1296"/>
      <c r="AD205" s="1296"/>
      <c r="AE205" s="15"/>
      <c r="AF205" s="2827"/>
      <c r="AG205" s="2827"/>
      <c r="AH205" s="1066"/>
      <c r="AI205" s="788"/>
      <c r="AJ205" s="788"/>
      <c r="AK205" s="1196"/>
      <c r="AO205" s="535"/>
      <c r="BC205" s="1906"/>
      <c r="BF205" s="1957" t="str">
        <f t="shared" si="30"/>
        <v>AH</v>
      </c>
      <c r="BG205" s="1957">
        <f t="shared" si="30"/>
        <v>0</v>
      </c>
      <c r="BH205" s="1957">
        <f t="shared" si="30"/>
        <v>0</v>
      </c>
      <c r="BI205" s="1957" t="str">
        <f>IF(BG205&lt;&gt;"",IFERROR(MATCH(BG205&amp;BH205,'Results from Trace'!$L$1:$L$21,0),""),"")</f>
        <v/>
      </c>
    </row>
    <row r="206" spans="1:61" ht="16.2" customHeight="1" x14ac:dyDescent="0.3">
      <c r="A206" s="1063" t="s">
        <v>1299</v>
      </c>
      <c r="B206" s="2820" t="str">
        <f>INDEX(PO_base_Add_EndUses,1, 1)</f>
        <v>Exhaust Fans</v>
      </c>
      <c r="C206" s="2828"/>
      <c r="D206" s="2819" t="str">
        <f>INDEX(PO_baseline_table,37, 3)</f>
        <v>x</v>
      </c>
      <c r="E206" s="2820" t="str">
        <f>INDEX(PO_baseline_table,37, 4)</f>
        <v>Electricity</v>
      </c>
      <c r="F206" s="1132" t="str">
        <f>IFERROR(IF(ISBLANK(E206),"","Consumption (" &amp; VLOOKUP($E206,PO_Enrgy_1_Table,MATCH($C$16,PO_Enrgy_1_Hdr,0),FALSE) &amp; ")"),"")</f>
        <v>Consumption (kWh)</v>
      </c>
      <c r="G206" s="1217">
        <f>INDEX(PO_baseline_table,37, 10)</f>
        <v>94371.92</v>
      </c>
      <c r="H206" s="1160">
        <v>94371.92</v>
      </c>
      <c r="I206" s="1359">
        <f t="shared" si="26"/>
        <v>0</v>
      </c>
      <c r="J206" s="2821">
        <f ca="1">IFERROR(IF($E$326-$H$326&lt;0,"",($G206-$H206)*VLOOKUP($E206,PO_Enrgy_1_Table,MATCH($K$16,PO_Enrgy_1_Hdr,0),FALSE)/($E$326-$H$326)),"")</f>
        <v>0</v>
      </c>
      <c r="K206" s="2823">
        <f ca="1">IFERROR(IF($G$326-$J$326&lt;0,"",($G206*VLOOKUP($E206,PO_Enrgy_8_Table,MATCH($E$231,PO_Enrgy_8_Hdr,0),FALSE)-($H206*VLOOKUP($E206,PO_Enrgy_8_Table,MATCH($H$231,PO_Enrgy_8_Hdr,0),FALSE)))/($G$326-$J$326)),"")</f>
        <v>-3.4579736778049356E-17</v>
      </c>
      <c r="L206" s="2823"/>
      <c r="M206" s="2824">
        <f ca="1">IFERROR(H206*VLOOKUP($E206,PO_Enrgy_1_Table,MATCH($K$16,PO_Enrgy_1_Hdr,0))/$H$226,"")</f>
        <v>2.2725941471784385E-2</v>
      </c>
      <c r="Q206" s="1296">
        <f t="shared" si="18"/>
        <v>9.999999999999998E-4</v>
      </c>
      <c r="R206" s="1296">
        <f t="shared" si="19"/>
        <v>3.1399999999999996E-3</v>
      </c>
      <c r="S206" s="1296">
        <f t="shared" si="20"/>
        <v>4096.0034722222226</v>
      </c>
      <c r="T206" s="1296">
        <f t="shared" si="21"/>
        <v>4096.0034722222226</v>
      </c>
      <c r="V206" s="1305">
        <f t="shared" si="22"/>
        <v>0</v>
      </c>
      <c r="W206" s="1296">
        <f t="shared" si="23"/>
        <v>0</v>
      </c>
      <c r="X206" s="1296">
        <f t="shared" si="24"/>
        <v>0</v>
      </c>
      <c r="Y206" s="1296" t="b">
        <f>IFERROR(IF(D206="x",IF(OR(G206/H206&gt;1.03,G206/H206&lt;0.97),TRUE,FALSE),FALSE),FALSE)</f>
        <v>0</v>
      </c>
      <c r="Z206" s="1296">
        <f ca="1">IFERROR(J206*100,)</f>
        <v>0</v>
      </c>
      <c r="AA206" s="1296"/>
      <c r="AB206" s="1296">
        <f ca="1">RANK(Z206,$Z$170:$Z$217,0)</f>
        <v>8</v>
      </c>
      <c r="AC206" s="1296">
        <f ca="1">AB206+COUNTIF($AB$170:$AB205,AB206)</f>
        <v>18</v>
      </c>
      <c r="AD206" s="1296" t="str">
        <f>B206</f>
        <v>Exhaust Fans</v>
      </c>
      <c r="AE206" s="15"/>
      <c r="AF206" s="2827"/>
      <c r="AG206" s="2827"/>
      <c r="AH206" s="1066"/>
      <c r="AI206" s="788"/>
      <c r="AJ206" s="788"/>
      <c r="AK206" s="1195"/>
      <c r="AO206" s="535"/>
      <c r="BC206" s="1906"/>
      <c r="BF206" s="1957" t="str">
        <f t="shared" si="30"/>
        <v>O</v>
      </c>
      <c r="BG206" s="1957">
        <f t="shared" si="30"/>
        <v>0</v>
      </c>
      <c r="BH206" s="1957">
        <f t="shared" si="30"/>
        <v>0</v>
      </c>
      <c r="BI206" s="1957" t="str">
        <f>IF(BG206&lt;&gt;"",IFERROR(MATCH(BG206&amp;BH206,'Results from Trace'!$L$1:$L$21,0),""),"")</f>
        <v/>
      </c>
    </row>
    <row r="207" spans="1:61" ht="16.2" customHeight="1" x14ac:dyDescent="0.3">
      <c r="A207" s="1063" t="s">
        <v>1299</v>
      </c>
      <c r="B207" s="2820"/>
      <c r="C207" s="2828"/>
      <c r="D207" s="2819"/>
      <c r="E207" s="2820"/>
      <c r="F207" s="1132" t="str">
        <f>IFERROR(IF(ISBLANK(E206),"","Demand (" &amp; VLOOKUP($E206,PO_Enrgy_1_Table,MATCH($E$16,PO_Enrgy_1_Hdr,0),FALSE) &amp; ")"),"")</f>
        <v>Demand (kW)</v>
      </c>
      <c r="G207" s="1218">
        <f>INDEX(PO_baseline_table,38, 10)</f>
        <v>23.04</v>
      </c>
      <c r="H207" s="1160">
        <v>23.04</v>
      </c>
      <c r="I207" s="1219">
        <f t="shared" si="26"/>
        <v>0</v>
      </c>
      <c r="J207" s="2822"/>
      <c r="K207" s="2823"/>
      <c r="L207" s="2823"/>
      <c r="M207" s="2825"/>
      <c r="Q207" s="1296" t="str">
        <f t="shared" si="18"/>
        <v/>
      </c>
      <c r="R207" s="1296" t="str">
        <f t="shared" si="19"/>
        <v/>
      </c>
      <c r="S207" s="1296" t="str">
        <f t="shared" si="20"/>
        <v/>
      </c>
      <c r="T207" s="1296" t="str">
        <f t="shared" si="21"/>
        <v/>
      </c>
      <c r="V207" s="1305">
        <f t="shared" si="22"/>
        <v>0</v>
      </c>
      <c r="W207" s="1296">
        <f t="shared" si="23"/>
        <v>0</v>
      </c>
      <c r="X207" s="1296">
        <f t="shared" si="24"/>
        <v>0</v>
      </c>
      <c r="Y207" s="1296"/>
      <c r="Z207" s="1296"/>
      <c r="AA207" s="1296"/>
      <c r="AB207" s="1296"/>
      <c r="AC207" s="1296"/>
      <c r="AD207" s="1296"/>
      <c r="AE207" s="15"/>
      <c r="AF207" s="2827"/>
      <c r="AG207" s="2827"/>
      <c r="AH207" s="1066"/>
      <c r="AI207" s="788"/>
      <c r="AJ207" s="788"/>
      <c r="AK207" s="1196"/>
      <c r="AO207" s="535"/>
      <c r="BC207" s="1906"/>
      <c r="BF207" s="1957" t="str">
        <f t="shared" si="30"/>
        <v>AB</v>
      </c>
      <c r="BG207" s="1957">
        <f t="shared" si="30"/>
        <v>0</v>
      </c>
      <c r="BH207" s="1957">
        <f t="shared" si="30"/>
        <v>0</v>
      </c>
      <c r="BI207" s="1957" t="str">
        <f>IF(BG207&lt;&gt;"",IFERROR(MATCH(BG207&amp;BH207,'Results from Trace'!$L$1:$L$21,0),""),"")</f>
        <v/>
      </c>
    </row>
    <row r="208" spans="1:61" ht="16.2" customHeight="1" x14ac:dyDescent="0.3">
      <c r="A208" s="1063" t="s">
        <v>1299</v>
      </c>
      <c r="B208" s="2820" t="str">
        <f>INDEX(PO_base_Add_EndUses,3, 1)</f>
        <v>Heat Recovery</v>
      </c>
      <c r="C208" s="2828"/>
      <c r="D208" s="2819">
        <f>INDEX(PO_baseline_table,39, 3)</f>
        <v>0</v>
      </c>
      <c r="E208" s="2820" t="str">
        <f>INDEX(PO_baseline_table,39, 4)</f>
        <v>Electricity</v>
      </c>
      <c r="F208" s="1132" t="str">
        <f>IFERROR(IF(ISBLANK(E208),"","Consumption (" &amp; VLOOKUP($E208,PO_Enrgy_1_Table,MATCH($C$16,PO_Enrgy_1_Hdr,0),FALSE) &amp; ")"),"")</f>
        <v>Consumption (kWh)</v>
      </c>
      <c r="G208" s="1217">
        <f>INDEX(PO_baseline_table,39, 10)</f>
        <v>0</v>
      </c>
      <c r="H208" s="1160">
        <v>7196.01</v>
      </c>
      <c r="I208" s="1359" t="str">
        <f t="shared" si="26"/>
        <v/>
      </c>
      <c r="J208" s="2821">
        <f ca="1">IFERROR(IF($E$326-$H$326&lt;0,"",($G208-$H208)*VLOOKUP($E208,PO_Enrgy_1_Table,MATCH($K$16,PO_Enrgy_1_Hdr,0),FALSE)/($E$326-$H$326)),"")</f>
        <v>-1.162792435690223E-2</v>
      </c>
      <c r="K208" s="2823">
        <f ca="1">IFERROR(IF($G$326-$J$326&lt;0,"",($G208*VLOOKUP($E208,PO_Enrgy_8_Table,MATCH($E$231,PO_Enrgy_8_Hdr,0),FALSE)-($H208*VLOOKUP($E208,PO_Enrgy_8_Table,MATCH($H$231,PO_Enrgy_8_Hdr,0),FALSE)))/($G$326-$J$326)),"")</f>
        <v>-1.1627924356902235E-2</v>
      </c>
      <c r="L208" s="2823"/>
      <c r="M208" s="2824">
        <f ca="1">IFERROR(H208*VLOOKUP($E208,PO_Enrgy_1_Table,MATCH($K$16,PO_Enrgy_1_Hdr,0))/$H$226,"")</f>
        <v>1.7328894239978922E-3</v>
      </c>
      <c r="Q208" s="1296">
        <f t="shared" si="18"/>
        <v>9.999999999999998E-4</v>
      </c>
      <c r="R208" s="1296">
        <f t="shared" si="19"/>
        <v>3.1399999999999996E-3</v>
      </c>
      <c r="S208" s="1296" t="str">
        <f t="shared" si="20"/>
        <v/>
      </c>
      <c r="T208" s="1296">
        <f t="shared" si="21"/>
        <v>4797.34</v>
      </c>
      <c r="V208" s="1305">
        <f t="shared" si="22"/>
        <v>0</v>
      </c>
      <c r="W208" s="1296">
        <f t="shared" si="23"/>
        <v>0</v>
      </c>
      <c r="X208" s="1296">
        <f t="shared" si="24"/>
        <v>0</v>
      </c>
      <c r="Y208" s="1296" t="b">
        <f>IFERROR(IF(D208="x",IF(OR(G208/H208&gt;1.03,G208/H208&lt;0.97),TRUE,FALSE),FALSE),FALSE)</f>
        <v>0</v>
      </c>
      <c r="Z208" s="1296">
        <f ca="1">IFERROR(J208*100,)</f>
        <v>-1.1627924356902231</v>
      </c>
      <c r="AA208" s="1296"/>
      <c r="AB208" s="1296">
        <f ca="1">RANK(Z208,$Z$170:$Z$217,0)</f>
        <v>23</v>
      </c>
      <c r="AC208" s="1296">
        <f ca="1">AB208+COUNTIF($AB$170:$AB207,AB208)</f>
        <v>23</v>
      </c>
      <c r="AD208" s="1296" t="str">
        <f>B208</f>
        <v>Heat Recovery</v>
      </c>
      <c r="AE208" s="15"/>
      <c r="AF208" s="2827"/>
      <c r="AG208" s="2827"/>
      <c r="AH208" s="1066"/>
      <c r="AI208" s="788"/>
      <c r="AJ208" s="788"/>
      <c r="AK208" s="1195"/>
      <c r="AO208" s="535"/>
      <c r="BC208" s="1906"/>
      <c r="BF208" s="1957" t="str">
        <f t="shared" si="30"/>
        <v>AZ</v>
      </c>
      <c r="BG208" s="1957">
        <f t="shared" si="30"/>
        <v>0</v>
      </c>
      <c r="BH208" s="1957">
        <f t="shared" si="30"/>
        <v>0</v>
      </c>
      <c r="BI208" s="1957" t="str">
        <f>IF(BG208&lt;&gt;"",IFERROR(MATCH(BG208&amp;BH208,'Results from Trace'!$L$1:$L$21,0),""),"")</f>
        <v/>
      </c>
    </row>
    <row r="209" spans="1:61" ht="15.75" customHeight="1" x14ac:dyDescent="0.3">
      <c r="A209" s="1063" t="s">
        <v>1299</v>
      </c>
      <c r="B209" s="2820"/>
      <c r="C209" s="2828"/>
      <c r="D209" s="2819"/>
      <c r="E209" s="2820"/>
      <c r="F209" s="1132" t="str">
        <f>IFERROR(IF(ISBLANK(E208),"","Demand (" &amp; VLOOKUP($E208,PO_Enrgy_1_Table,MATCH($E$16,PO_Enrgy_1_Hdr,0),FALSE) &amp; ")"),"")</f>
        <v>Demand (kW)</v>
      </c>
      <c r="G209" s="1218">
        <f>INDEX(PO_baseline_table,40, 10)</f>
        <v>0</v>
      </c>
      <c r="H209" s="1160">
        <v>1.5</v>
      </c>
      <c r="I209" s="1219" t="str">
        <f t="shared" si="26"/>
        <v/>
      </c>
      <c r="J209" s="2822"/>
      <c r="K209" s="2823"/>
      <c r="L209" s="2823"/>
      <c r="M209" s="2825"/>
      <c r="Q209" s="1296" t="str">
        <f t="shared" si="18"/>
        <v/>
      </c>
      <c r="R209" s="1296" t="str">
        <f t="shared" si="19"/>
        <v/>
      </c>
      <c r="S209" s="1296" t="str">
        <f t="shared" si="20"/>
        <v/>
      </c>
      <c r="T209" s="1296" t="str">
        <f t="shared" si="21"/>
        <v/>
      </c>
      <c r="V209" s="1305">
        <f t="shared" si="22"/>
        <v>0</v>
      </c>
      <c r="W209" s="1296">
        <f t="shared" si="23"/>
        <v>0</v>
      </c>
      <c r="X209" s="1296">
        <f t="shared" si="24"/>
        <v>0</v>
      </c>
      <c r="Y209" s="1296"/>
      <c r="Z209" s="1296"/>
      <c r="AA209" s="1296"/>
      <c r="AB209" s="1296"/>
      <c r="AC209" s="1296"/>
      <c r="AD209" s="1296"/>
      <c r="AE209" s="15"/>
      <c r="AF209" s="2827"/>
      <c r="AG209" s="2827"/>
      <c r="AH209" s="1066"/>
      <c r="AI209" s="788"/>
      <c r="AJ209" s="788"/>
      <c r="AK209" s="1196"/>
      <c r="AO209" s="535"/>
      <c r="BC209" s="1906"/>
      <c r="BF209" s="1957">
        <f t="shared" si="30"/>
        <v>0</v>
      </c>
      <c r="BG209" s="1957">
        <f t="shared" si="30"/>
        <v>0</v>
      </c>
      <c r="BH209" s="1957">
        <f t="shared" si="30"/>
        <v>0</v>
      </c>
      <c r="BI209" s="1957" t="str">
        <f>IF(BG209&lt;&gt;"",IFERROR(MATCH(BG209&amp;BH209,'Results from Trace'!$L$1:$L$21,0),""),"")</f>
        <v/>
      </c>
    </row>
    <row r="210" spans="1:61" ht="16.2" customHeight="1" x14ac:dyDescent="0.3">
      <c r="A210" s="1063" t="s">
        <v>1299</v>
      </c>
      <c r="B210" s="2820">
        <f>INDEX(PO_base_Add_EndUses,5, 1)</f>
        <v>0</v>
      </c>
      <c r="C210" s="2828"/>
      <c r="D210" s="2819">
        <f>INDEX(PO_baseline_table,41, 3)</f>
        <v>0</v>
      </c>
      <c r="E210" s="2820">
        <f>INDEX(PO_baseline_table,41, 4)</f>
        <v>0</v>
      </c>
      <c r="F210" s="1132" t="str">
        <f>IFERROR(IF(ISBLANK(E210),"","Consumption (" &amp; VLOOKUP($E210,PO_Enrgy_1_Table,MATCH($C$16,PO_Enrgy_1_Hdr,0),FALSE) &amp; ")"),"")</f>
        <v/>
      </c>
      <c r="G210" s="1217" t="str">
        <f ca="1">INDEX(PO_baseline_table,41, 10)</f>
        <v/>
      </c>
      <c r="H210" s="1160" t="str">
        <f t="shared" ca="1" si="28"/>
        <v/>
      </c>
      <c r="I210" s="1359" t="str">
        <f t="shared" ca="1" si="26"/>
        <v/>
      </c>
      <c r="J210" s="2821" t="str">
        <f ca="1">IFERROR(IF($E$326-$H$326&lt;0,"",($G210-$H210)*VLOOKUP($E210,PO_Enrgy_1_Table,MATCH($K$16,PO_Enrgy_1_Hdr,0),FALSE)/($E$326-$H$326)),"")</f>
        <v/>
      </c>
      <c r="K210" s="2823" t="str">
        <f ca="1">IFERROR(IF($G$326-$J$326&lt;0,"",($G210*VLOOKUP($E210,PO_Enrgy_8_Table,MATCH($E$231,PO_Enrgy_8_Hdr,0),FALSE)-($H210*VLOOKUP($E210,PO_Enrgy_8_Table,MATCH($H$231,PO_Enrgy_8_Hdr,0),FALSE)))/($G$326-$J$326)),"")</f>
        <v/>
      </c>
      <c r="L210" s="2823"/>
      <c r="M210" s="2824" t="str">
        <f ca="1">IFERROR(H210*VLOOKUP($E210,PO_Enrgy_1_Table,MATCH($K$16,PO_Enrgy_1_Hdr,0))/$H$226,"")</f>
        <v/>
      </c>
      <c r="Q210" s="1296" t="str">
        <f t="shared" si="18"/>
        <v/>
      </c>
      <c r="R210" s="1296" t="str">
        <f t="shared" si="19"/>
        <v/>
      </c>
      <c r="S210" s="1296" t="str">
        <f t="shared" si="20"/>
        <v/>
      </c>
      <c r="T210" s="1296" t="str">
        <f t="shared" si="21"/>
        <v/>
      </c>
      <c r="V210" s="1305">
        <f t="shared" ca="1" si="22"/>
        <v>0</v>
      </c>
      <c r="W210" s="1296">
        <f t="shared" ca="1" si="23"/>
        <v>0</v>
      </c>
      <c r="X210" s="1296">
        <f t="shared" ca="1" si="24"/>
        <v>0</v>
      </c>
      <c r="Y210" s="1296" t="b">
        <f>IFERROR(IF(D210="x",IF(OR(G210/H210&gt;1.03,G210/H210&lt;0.97),TRUE,FALSE),FALSE),FALSE)</f>
        <v>0</v>
      </c>
      <c r="Z210" s="1296">
        <f ca="1">IFERROR(J210*100,)</f>
        <v>0</v>
      </c>
      <c r="AA210" s="1296"/>
      <c r="AB210" s="1296">
        <f ca="1">RANK(Z210,$Z$170:$Z$217,0)</f>
        <v>8</v>
      </c>
      <c r="AC210" s="1296">
        <f ca="1">AB210+COUNTIF($AB$170:$AB209,AB210)</f>
        <v>19</v>
      </c>
      <c r="AD210" s="1296">
        <f>B210</f>
        <v>0</v>
      </c>
      <c r="AE210" s="15"/>
      <c r="AF210" s="2827"/>
      <c r="AG210" s="2827"/>
      <c r="AH210" s="1066"/>
      <c r="AI210" s="788"/>
      <c r="AJ210" s="788"/>
      <c r="AK210" s="1195"/>
      <c r="AO210" s="535"/>
      <c r="BC210" s="1906"/>
      <c r="BF210" s="1957" t="str">
        <f t="shared" si="30"/>
        <v>BD</v>
      </c>
      <c r="BG210" s="1957">
        <f t="shared" si="30"/>
        <v>0</v>
      </c>
      <c r="BH210" s="1957">
        <f t="shared" si="30"/>
        <v>0</v>
      </c>
      <c r="BI210" s="1957" t="str">
        <f>IF(BG210&lt;&gt;"",IFERROR(MATCH(BG210&amp;BH210,'Results from Trace'!$L$1:$L$21,0),""),"")</f>
        <v/>
      </c>
    </row>
    <row r="211" spans="1:61" ht="16.5" customHeight="1" x14ac:dyDescent="0.3">
      <c r="A211" s="1063" t="s">
        <v>1299</v>
      </c>
      <c r="B211" s="2820"/>
      <c r="C211" s="2828"/>
      <c r="D211" s="2819"/>
      <c r="E211" s="2820"/>
      <c r="F211" s="1132" t="str">
        <f>IFERROR(IF(ISBLANK(E210),"","Demand (" &amp; VLOOKUP($E210,PO_Enrgy_1_Table,MATCH($E$16,PO_Enrgy_1_Hdr,0),FALSE) &amp; ")"),"")</f>
        <v/>
      </c>
      <c r="G211" s="1218" t="str">
        <f ca="1">INDEX(PO_baseline_table,42, 10)</f>
        <v/>
      </c>
      <c r="H211" s="1160" t="str">
        <f t="shared" ca="1" si="28"/>
        <v/>
      </c>
      <c r="I211" s="1219" t="str">
        <f t="shared" ca="1" si="26"/>
        <v/>
      </c>
      <c r="J211" s="2822"/>
      <c r="K211" s="2823"/>
      <c r="L211" s="2823"/>
      <c r="M211" s="2825"/>
      <c r="Q211" s="1296" t="str">
        <f t="shared" si="18"/>
        <v/>
      </c>
      <c r="R211" s="1296" t="str">
        <f t="shared" si="19"/>
        <v/>
      </c>
      <c r="S211" s="1296" t="str">
        <f t="shared" si="20"/>
        <v/>
      </c>
      <c r="T211" s="1296" t="str">
        <f t="shared" si="21"/>
        <v/>
      </c>
      <c r="V211" s="1305">
        <f t="shared" ca="1" si="22"/>
        <v>0</v>
      </c>
      <c r="W211" s="1296">
        <f t="shared" ca="1" si="23"/>
        <v>0</v>
      </c>
      <c r="X211" s="1296">
        <f t="shared" ca="1" si="24"/>
        <v>0</v>
      </c>
      <c r="Y211" s="1296"/>
      <c r="Z211" s="1296"/>
      <c r="AA211" s="1296"/>
      <c r="AB211" s="1296"/>
      <c r="AC211" s="1296"/>
      <c r="AD211" s="1296"/>
      <c r="AE211" s="15"/>
      <c r="AF211" s="2827"/>
      <c r="AG211" s="2827"/>
      <c r="AH211" s="1066"/>
      <c r="AI211" s="788"/>
      <c r="AJ211" s="788"/>
      <c r="AK211" s="1196"/>
      <c r="AO211" s="535"/>
      <c r="BC211" s="1906"/>
      <c r="BF211" s="1957">
        <f t="shared" si="30"/>
        <v>0</v>
      </c>
      <c r="BG211" s="1957">
        <f t="shared" si="30"/>
        <v>0</v>
      </c>
      <c r="BH211" s="1957">
        <f t="shared" si="30"/>
        <v>0</v>
      </c>
      <c r="BI211" s="1957" t="str">
        <f>IF(BG211&lt;&gt;"",IFERROR(MATCH(BG211&amp;BH211,'Results from Trace'!$L$1:$L$21,0),""),"")</f>
        <v/>
      </c>
    </row>
    <row r="212" spans="1:61" ht="16.2" customHeight="1" x14ac:dyDescent="0.3">
      <c r="A212" s="1063" t="s">
        <v>1299</v>
      </c>
      <c r="B212" s="2820">
        <f>INDEX(PO_base_Add_EndUses,7, 1)</f>
        <v>0</v>
      </c>
      <c r="C212" s="2828"/>
      <c r="D212" s="2819">
        <f>INDEX(PO_baseline_table,43, 3)</f>
        <v>0</v>
      </c>
      <c r="E212" s="2820">
        <f>INDEX(PO_baseline_table,43, 4)</f>
        <v>0</v>
      </c>
      <c r="F212" s="1132" t="str">
        <f>IFERROR(IF(ISBLANK(E212),"","Consumption (" &amp; VLOOKUP($E212,PO_Enrgy_1_Table,MATCH($C$16,PO_Enrgy_1_Hdr,0),FALSE) &amp; ")"),"")</f>
        <v/>
      </c>
      <c r="G212" s="1217" t="str">
        <f ca="1">INDEX(PO_baseline_table,43, 10)</f>
        <v/>
      </c>
      <c r="H212" s="1160" t="str">
        <f t="shared" ca="1" si="28"/>
        <v/>
      </c>
      <c r="I212" s="1359" t="str">
        <f t="shared" ca="1" si="26"/>
        <v/>
      </c>
      <c r="J212" s="2821" t="str">
        <f ca="1">IFERROR(IF($E$326-$H$326&lt;0,"",($G212-$H212)*VLOOKUP($E212,PO_Enrgy_1_Table,MATCH($K$16,PO_Enrgy_1_Hdr,0),FALSE)/($E$326-$H$326)),"")</f>
        <v/>
      </c>
      <c r="K212" s="2823" t="str">
        <f ca="1">IFERROR(IF($G$326-$J$326&lt;0,"",($G212*VLOOKUP($E212,PO_Enrgy_8_Table,MATCH($E$231,PO_Enrgy_8_Hdr,0),FALSE)-($H212*VLOOKUP($E212,PO_Enrgy_8_Table,MATCH($H$231,PO_Enrgy_8_Hdr,0),FALSE)))/($G$326-$J$326)),"")</f>
        <v/>
      </c>
      <c r="L212" s="2823"/>
      <c r="M212" s="2824" t="str">
        <f ca="1">IFERROR(H212*VLOOKUP($E212,PO_Enrgy_1_Table,MATCH($K$16,PO_Enrgy_1_Hdr,0))/$H$226,"")</f>
        <v/>
      </c>
      <c r="Q212" s="1296" t="str">
        <f t="shared" si="18"/>
        <v/>
      </c>
      <c r="R212" s="1296" t="str">
        <f t="shared" si="19"/>
        <v/>
      </c>
      <c r="S212" s="1296" t="str">
        <f t="shared" si="20"/>
        <v/>
      </c>
      <c r="T212" s="1296" t="str">
        <f t="shared" si="21"/>
        <v/>
      </c>
      <c r="V212" s="1305">
        <f t="shared" ca="1" si="22"/>
        <v>0</v>
      </c>
      <c r="W212" s="1296">
        <f t="shared" ca="1" si="23"/>
        <v>0</v>
      </c>
      <c r="X212" s="1296">
        <f t="shared" ca="1" si="24"/>
        <v>0</v>
      </c>
      <c r="Y212" s="1296" t="b">
        <f>IFERROR(IF(D212="x",IF(OR(G212/H212&gt;1.03,G212/H212&lt;0.97),TRUE,FALSE),FALSE),FALSE)</f>
        <v>0</v>
      </c>
      <c r="Z212" s="1296">
        <f ca="1">IFERROR(J212*100,)</f>
        <v>0</v>
      </c>
      <c r="AA212" s="1296"/>
      <c r="AB212" s="1296">
        <f ca="1">RANK(Z212,$Z$170:$Z$217,0)</f>
        <v>8</v>
      </c>
      <c r="AC212" s="1296">
        <f ca="1">AB212+COUNTIF($AB$170:$AB211,AB212)</f>
        <v>20</v>
      </c>
      <c r="AD212" s="1296">
        <f>B212</f>
        <v>0</v>
      </c>
      <c r="AE212" s="15"/>
      <c r="AF212" s="2827"/>
      <c r="AG212" s="2827"/>
      <c r="AH212" s="1066"/>
      <c r="AI212" s="788"/>
      <c r="AJ212" s="788"/>
      <c r="AK212" s="1195"/>
      <c r="AO212" s="535"/>
      <c r="BC212" s="1906"/>
      <c r="BF212" s="1957" t="str">
        <f t="shared" si="30"/>
        <v>BB</v>
      </c>
      <c r="BG212" s="1957">
        <f t="shared" si="30"/>
        <v>0</v>
      </c>
      <c r="BH212" s="1957">
        <f t="shared" si="30"/>
        <v>0</v>
      </c>
      <c r="BI212" s="1957" t="str">
        <f>IF(BG212&lt;&gt;"",IFERROR(MATCH(BG212&amp;BH212,'Results from Trace'!$L$1:$L$21,0),""),"")</f>
        <v/>
      </c>
    </row>
    <row r="213" spans="1:61" ht="15.75" customHeight="1" x14ac:dyDescent="0.3">
      <c r="A213" s="1063" t="s">
        <v>1299</v>
      </c>
      <c r="B213" s="2820"/>
      <c r="C213" s="2828"/>
      <c r="D213" s="2819"/>
      <c r="E213" s="2820"/>
      <c r="F213" s="1132" t="str">
        <f>IFERROR(IF(ISBLANK(E212),"","Demand (" &amp; VLOOKUP($E212,PO_Enrgy_1_Table,MATCH($E$16,PO_Enrgy_1_Hdr,0),FALSE) &amp; ")"),"")</f>
        <v/>
      </c>
      <c r="G213" s="1218" t="str">
        <f ca="1">INDEX(PO_baseline_table,44, 10)</f>
        <v/>
      </c>
      <c r="H213" s="1160" t="str">
        <f t="shared" ca="1" si="28"/>
        <v/>
      </c>
      <c r="I213" s="1219" t="str">
        <f t="shared" ca="1" si="26"/>
        <v/>
      </c>
      <c r="J213" s="2822"/>
      <c r="K213" s="2823"/>
      <c r="L213" s="2823"/>
      <c r="M213" s="2825"/>
      <c r="Q213" s="1296" t="str">
        <f t="shared" si="18"/>
        <v/>
      </c>
      <c r="R213" s="1296" t="str">
        <f t="shared" si="19"/>
        <v/>
      </c>
      <c r="S213" s="1296" t="str">
        <f t="shared" si="20"/>
        <v/>
      </c>
      <c r="T213" s="1296" t="str">
        <f t="shared" si="21"/>
        <v/>
      </c>
      <c r="V213" s="1305">
        <f t="shared" ca="1" si="22"/>
        <v>0</v>
      </c>
      <c r="W213" s="1296">
        <f t="shared" ca="1" si="23"/>
        <v>0</v>
      </c>
      <c r="X213" s="1296">
        <f t="shared" ca="1" si="24"/>
        <v>0</v>
      </c>
      <c r="Y213" s="1296"/>
      <c r="Z213" s="1296"/>
      <c r="AA213" s="1296"/>
      <c r="AB213" s="1296"/>
      <c r="AC213" s="1296"/>
      <c r="AD213" s="1296"/>
      <c r="AE213" s="15"/>
      <c r="AF213" s="2827"/>
      <c r="AG213" s="2827"/>
      <c r="AH213" s="1066"/>
      <c r="AI213" s="788"/>
      <c r="AJ213" s="788"/>
      <c r="AK213" s="1196"/>
      <c r="AO213" s="535"/>
      <c r="BC213" s="1906"/>
      <c r="BF213" s="1957">
        <f t="shared" si="30"/>
        <v>0</v>
      </c>
      <c r="BG213" s="1957">
        <f t="shared" si="30"/>
        <v>0</v>
      </c>
      <c r="BH213" s="1957">
        <f t="shared" si="30"/>
        <v>0</v>
      </c>
      <c r="BI213" s="1957" t="str">
        <f>IF(BG213&lt;&gt;"",IFERROR(MATCH(BG213&amp;BH213,'Results from Trace'!$L$1:$L$21,0),""),"")</f>
        <v/>
      </c>
    </row>
    <row r="214" spans="1:61" ht="16.2" customHeight="1" x14ac:dyDescent="0.3">
      <c r="A214" s="1063" t="s">
        <v>1299</v>
      </c>
      <c r="B214" s="2820">
        <f>INDEX(PO_base_Add_EndUses,9, 1)</f>
        <v>0</v>
      </c>
      <c r="C214" s="2828"/>
      <c r="D214" s="2819">
        <f>INDEX(PO_baseline_table,45, 3)</f>
        <v>0</v>
      </c>
      <c r="E214" s="2820">
        <f>INDEX(PO_baseline_table,45, 4)</f>
        <v>0</v>
      </c>
      <c r="F214" s="1132" t="str">
        <f>IFERROR(IF(ISBLANK(E214),"","Consumption (" &amp; VLOOKUP($E214,PO_Enrgy_1_Table,MATCH($C$16,PO_Enrgy_1_Hdr,0),FALSE) &amp; ")"),"")</f>
        <v/>
      </c>
      <c r="G214" s="1217" t="str">
        <f ca="1">INDEX(PO_baseline_table,45, 10)</f>
        <v/>
      </c>
      <c r="H214" s="1160" t="str">
        <f t="shared" ca="1" si="28"/>
        <v/>
      </c>
      <c r="I214" s="1359" t="str">
        <f t="shared" ca="1" si="26"/>
        <v/>
      </c>
      <c r="J214" s="2821" t="str">
        <f ca="1">IFERROR(IF($E$326-$H$326&lt;0,"",($G214-$H214)*VLOOKUP($E214,PO_Enrgy_1_Table,MATCH($K$16,PO_Enrgy_1_Hdr,0),FALSE)/($E$326-$H$326)),"")</f>
        <v/>
      </c>
      <c r="K214" s="2823" t="str">
        <f ca="1">IFERROR(IF($G$326-$J$326&lt;0,"",($G214*VLOOKUP($E214,PO_Enrgy_8_Table,MATCH($E$231,PO_Enrgy_8_Hdr,0),FALSE)-($H214*VLOOKUP($E214,PO_Enrgy_8_Table,MATCH($H$231,PO_Enrgy_8_Hdr,0),FALSE)))/($G$326-$J$326)),"")</f>
        <v/>
      </c>
      <c r="L214" s="2823"/>
      <c r="M214" s="2824" t="str">
        <f ca="1">IFERROR(H214*VLOOKUP($E214,PO_Enrgy_1_Table,MATCH($K$16,PO_Enrgy_1_Hdr,0))/$H$226,"")</f>
        <v/>
      </c>
      <c r="Q214" s="1296" t="str">
        <f t="shared" si="18"/>
        <v/>
      </c>
      <c r="R214" s="1296" t="str">
        <f t="shared" si="19"/>
        <v/>
      </c>
      <c r="S214" s="1296" t="str">
        <f t="shared" si="20"/>
        <v/>
      </c>
      <c r="T214" s="1296" t="str">
        <f t="shared" si="21"/>
        <v/>
      </c>
      <c r="V214" s="1305">
        <f t="shared" ca="1" si="22"/>
        <v>0</v>
      </c>
      <c r="W214" s="1296">
        <f t="shared" ca="1" si="23"/>
        <v>0</v>
      </c>
      <c r="X214" s="1296">
        <f t="shared" ca="1" si="24"/>
        <v>0</v>
      </c>
      <c r="Y214" s="1296" t="b">
        <f>IFERROR(IF(D214="x",IF(OR(G214/H214&gt;1.03,G214/H214&lt;0.97),TRUE,FALSE),FALSE),FALSE)</f>
        <v>0</v>
      </c>
      <c r="Z214" s="1296">
        <f ca="1">IFERROR(J214*100,)</f>
        <v>0</v>
      </c>
      <c r="AA214" s="1296"/>
      <c r="AB214" s="1296">
        <f ca="1">RANK(Z214,$Z$170:$Z$217,0)</f>
        <v>8</v>
      </c>
      <c r="AC214" s="1296">
        <f ca="1">AB214+COUNTIF($AB$170:$AB213,AB214)</f>
        <v>21</v>
      </c>
      <c r="AD214" s="1296">
        <f>B214</f>
        <v>0</v>
      </c>
      <c r="AE214" s="15"/>
      <c r="AF214" s="2827"/>
      <c r="AG214" s="2827"/>
      <c r="AH214" s="1066"/>
      <c r="AI214" s="788"/>
      <c r="AJ214" s="788"/>
      <c r="AK214" s="1195"/>
      <c r="AO214" s="535"/>
      <c r="BC214" s="1906"/>
      <c r="BF214" s="1957">
        <f t="shared" si="30"/>
        <v>0</v>
      </c>
      <c r="BG214" s="1957">
        <f t="shared" si="30"/>
        <v>0</v>
      </c>
      <c r="BH214" s="1957">
        <f t="shared" si="30"/>
        <v>0</v>
      </c>
      <c r="BI214" s="1957" t="str">
        <f>IF(BG214&lt;&gt;"",IFERROR(MATCH(BG214&amp;BH214,'Results from Trace'!$L$1:$L$21,0),""),"")</f>
        <v/>
      </c>
    </row>
    <row r="215" spans="1:61" ht="16.5" customHeight="1" x14ac:dyDescent="0.3">
      <c r="A215" s="1063" t="s">
        <v>1299</v>
      </c>
      <c r="B215" s="2820"/>
      <c r="C215" s="2828"/>
      <c r="D215" s="2819"/>
      <c r="E215" s="2820"/>
      <c r="F215" s="1132" t="str">
        <f>IFERROR(IF(ISBLANK(E214),"","Demand (" &amp; VLOOKUP($E214,PO_Enrgy_1_Table,MATCH($E$16,PO_Enrgy_1_Hdr,0),FALSE) &amp; ")"),"")</f>
        <v/>
      </c>
      <c r="G215" s="1218" t="str">
        <f ca="1">INDEX(PO_baseline_table,46, 10)</f>
        <v/>
      </c>
      <c r="H215" s="1160" t="str">
        <f t="shared" ca="1" si="28"/>
        <v/>
      </c>
      <c r="I215" s="1219" t="str">
        <f t="shared" ca="1" si="26"/>
        <v/>
      </c>
      <c r="J215" s="2822"/>
      <c r="K215" s="2823"/>
      <c r="L215" s="2823"/>
      <c r="M215" s="2825"/>
      <c r="Q215" s="1296" t="str">
        <f t="shared" si="18"/>
        <v/>
      </c>
      <c r="R215" s="1296" t="str">
        <f t="shared" si="19"/>
        <v/>
      </c>
      <c r="S215" s="1296" t="str">
        <f t="shared" si="20"/>
        <v/>
      </c>
      <c r="T215" s="1296" t="str">
        <f t="shared" si="21"/>
        <v/>
      </c>
      <c r="V215" s="1305">
        <f t="shared" ca="1" si="22"/>
        <v>0</v>
      </c>
      <c r="W215" s="1296">
        <f t="shared" ca="1" si="23"/>
        <v>0</v>
      </c>
      <c r="X215" s="1296">
        <f t="shared" ca="1" si="24"/>
        <v>0</v>
      </c>
      <c r="Y215" s="1296"/>
      <c r="Z215" s="1296"/>
      <c r="AA215" s="1296"/>
      <c r="AB215" s="1296"/>
      <c r="AC215" s="1296"/>
      <c r="AD215" s="1296"/>
      <c r="AE215" s="15"/>
      <c r="AF215" s="2827"/>
      <c r="AG215" s="2827"/>
      <c r="AH215" s="1066"/>
      <c r="AI215" s="788"/>
      <c r="AJ215" s="788"/>
      <c r="AK215" s="1196"/>
      <c r="AO215" s="535"/>
      <c r="BC215" s="1906"/>
      <c r="BF215" s="1957">
        <f t="shared" si="30"/>
        <v>0</v>
      </c>
      <c r="BG215" s="1957">
        <f t="shared" si="30"/>
        <v>0</v>
      </c>
      <c r="BH215" s="1957">
        <f t="shared" si="30"/>
        <v>0</v>
      </c>
      <c r="BI215" s="1957" t="str">
        <f>IF(BG215&lt;&gt;"",IFERROR(MATCH(BG215&amp;BH215,'Results from Trace'!$L$1:$L$21,0),""),"")</f>
        <v/>
      </c>
    </row>
    <row r="216" spans="1:61" ht="16.2" customHeight="1" x14ac:dyDescent="0.3">
      <c r="A216" s="1063" t="s">
        <v>1299</v>
      </c>
      <c r="B216" s="2820">
        <f>INDEX(PO_base_Add_EndUses,11, 1)</f>
        <v>0</v>
      </c>
      <c r="C216" s="2828"/>
      <c r="D216" s="2819">
        <f>INDEX(PO_baseline_table,47, 3)</f>
        <v>0</v>
      </c>
      <c r="E216" s="2820">
        <f>INDEX(PO_baseline_table,47, 4)</f>
        <v>0</v>
      </c>
      <c r="F216" s="1132" t="str">
        <f>IFERROR(IF(ISBLANK(E216),"","Consumption (" &amp; VLOOKUP($E216,PO_Enrgy_1_Table,MATCH($C$16,PO_Enrgy_1_Hdr,0),FALSE) &amp; ")"),"")</f>
        <v/>
      </c>
      <c r="G216" s="1217" t="str">
        <f ca="1">INDEX(PO_baseline_table,47, 10)</f>
        <v/>
      </c>
      <c r="H216" s="1160" t="str">
        <f t="shared" ca="1" si="28"/>
        <v/>
      </c>
      <c r="I216" s="1359" t="str">
        <f t="shared" ca="1" si="26"/>
        <v/>
      </c>
      <c r="J216" s="2821" t="str">
        <f ca="1">IFERROR(IF($E$326-$H$326&lt;0,"",($G216-$H216)*VLOOKUP($E216,PO_Enrgy_1_Table,MATCH($K$16,PO_Enrgy_1_Hdr,0),FALSE)/($E$326-$H$326)),"")</f>
        <v/>
      </c>
      <c r="K216" s="2823" t="str">
        <f ca="1">IFERROR(IF($G$326-$J$326&lt;0,"",($G216*VLOOKUP($E216,PO_Enrgy_8_Table,MATCH($E$231,PO_Enrgy_8_Hdr,0),FALSE)-($H216*VLOOKUP($E216,PO_Enrgy_8_Table,MATCH($H$231,PO_Enrgy_8_Hdr,0),FALSE)))/($G$326-$J$326)),"")</f>
        <v/>
      </c>
      <c r="L216" s="2823"/>
      <c r="M216" s="2824" t="str">
        <f ca="1">IFERROR(H216*VLOOKUP($E216,PO_Enrgy_1_Table,MATCH($K$16,PO_Enrgy_1_Hdr,0))/$H$226,"")</f>
        <v/>
      </c>
      <c r="Q216" s="1296" t="str">
        <f t="shared" si="18"/>
        <v/>
      </c>
      <c r="R216" s="1296" t="str">
        <f t="shared" si="19"/>
        <v/>
      </c>
      <c r="S216" s="1296" t="str">
        <f t="shared" si="20"/>
        <v/>
      </c>
      <c r="T216" s="1296" t="str">
        <f t="shared" si="21"/>
        <v/>
      </c>
      <c r="V216" s="1305">
        <f t="shared" ca="1" si="22"/>
        <v>0</v>
      </c>
      <c r="W216" s="1296">
        <f t="shared" ca="1" si="23"/>
        <v>0</v>
      </c>
      <c r="X216" s="1296">
        <f t="shared" ca="1" si="24"/>
        <v>0</v>
      </c>
      <c r="Y216" s="1296" t="b">
        <f>IFERROR(IF(D216="x",IF(OR(G216/H216&gt;1.03,G216/H216&lt;0.97),TRUE,FALSE),FALSE),FALSE)</f>
        <v>0</v>
      </c>
      <c r="Z216" s="1296">
        <f ca="1">IFERROR(J216*100,)</f>
        <v>0</v>
      </c>
      <c r="AA216" s="1296"/>
      <c r="AB216" s="1296">
        <f ca="1">RANK(Z216,$Z$170:$Z$217,0)</f>
        <v>8</v>
      </c>
      <c r="AC216" s="1296">
        <f ca="1">AB216+COUNTIF($AB$170:$AB215,AB216)</f>
        <v>22</v>
      </c>
      <c r="AD216" s="1296">
        <f>B216</f>
        <v>0</v>
      </c>
      <c r="AE216" s="15"/>
      <c r="AF216" s="2827"/>
      <c r="AG216" s="2827"/>
      <c r="AH216" s="1066"/>
      <c r="AI216" s="788"/>
      <c r="AJ216" s="788"/>
      <c r="AK216" s="1195"/>
      <c r="AO216" s="535"/>
      <c r="BC216" s="1906"/>
      <c r="BF216" s="1957">
        <f t="shared" si="30"/>
        <v>0</v>
      </c>
      <c r="BG216" s="1957">
        <f t="shared" si="30"/>
        <v>0</v>
      </c>
      <c r="BH216" s="1957">
        <f t="shared" si="30"/>
        <v>0</v>
      </c>
      <c r="BI216" s="1957" t="str">
        <f>IF(BG216&lt;&gt;"",IFERROR(MATCH(BG216&amp;BH216,'Results from Trace'!$L$1:$L$21,0),""),"")</f>
        <v/>
      </c>
    </row>
    <row r="217" spans="1:61" ht="15.75" customHeight="1" x14ac:dyDescent="0.3">
      <c r="A217" s="1063" t="s">
        <v>1299</v>
      </c>
      <c r="B217" s="2820"/>
      <c r="C217" s="2828"/>
      <c r="D217" s="2819"/>
      <c r="E217" s="2820"/>
      <c r="F217" s="1132" t="str">
        <f>IFERROR(IF(ISBLANK(E216),"","Demand (" &amp; VLOOKUP($E216,PO_Enrgy_1_Table,MATCH($E$16,PO_Enrgy_1_Hdr,0),FALSE) &amp; ")"),"")</f>
        <v/>
      </c>
      <c r="G217" s="1218" t="str">
        <f ca="1">INDEX(PO_baseline_table,48, 10)</f>
        <v/>
      </c>
      <c r="H217" s="1160" t="str">
        <f t="shared" ca="1" si="28"/>
        <v/>
      </c>
      <c r="I217" s="1219" t="str">
        <f t="shared" ca="1" si="26"/>
        <v/>
      </c>
      <c r="J217" s="2822"/>
      <c r="K217" s="2823"/>
      <c r="L217" s="2823"/>
      <c r="M217" s="2825"/>
      <c r="Q217" s="1296" t="str">
        <f t="shared" si="18"/>
        <v/>
      </c>
      <c r="R217" s="1296" t="str">
        <f t="shared" si="19"/>
        <v/>
      </c>
      <c r="S217" s="1296" t="str">
        <f t="shared" si="20"/>
        <v/>
      </c>
      <c r="T217" s="1296" t="str">
        <f t="shared" si="21"/>
        <v/>
      </c>
      <c r="V217" s="1305">
        <f t="shared" ca="1" si="22"/>
        <v>0</v>
      </c>
      <c r="W217" s="1296">
        <f t="shared" ca="1" si="23"/>
        <v>0</v>
      </c>
      <c r="X217" s="1296">
        <f t="shared" ca="1" si="24"/>
        <v>0</v>
      </c>
      <c r="Y217" s="1296"/>
      <c r="Z217" s="1296"/>
      <c r="AA217" s="1296"/>
      <c r="AB217" s="1296"/>
      <c r="AC217" s="1296"/>
      <c r="AD217" s="1296"/>
      <c r="AE217" s="15"/>
      <c r="AF217" s="2827"/>
      <c r="AG217" s="2827"/>
      <c r="AH217" s="1066"/>
      <c r="AI217" s="788"/>
      <c r="AJ217" s="788"/>
      <c r="AK217" s="1196"/>
      <c r="AO217" s="535"/>
      <c r="BC217" s="1906"/>
      <c r="BF217" s="1957">
        <f t="shared" si="30"/>
        <v>0</v>
      </c>
      <c r="BG217" s="1957">
        <f t="shared" si="30"/>
        <v>0</v>
      </c>
      <c r="BH217" s="1957">
        <f t="shared" si="30"/>
        <v>0</v>
      </c>
      <c r="BI217" s="1957" t="str">
        <f>IF(BG217&lt;&gt;"",IFERROR(MATCH(BG217&amp;BH217,'Results from Trace'!$L$1:$L$21,0),""),"")</f>
        <v/>
      </c>
    </row>
    <row r="218" spans="1:61" ht="21" customHeight="1" x14ac:dyDescent="0.3">
      <c r="A218" s="1063" t="s">
        <v>1299</v>
      </c>
      <c r="B218" s="526"/>
      <c r="C218" s="526"/>
      <c r="D218" s="960"/>
      <c r="E218" s="548"/>
      <c r="F218" s="526"/>
      <c r="G218" s="560"/>
      <c r="H218" s="560"/>
      <c r="I218" s="561"/>
      <c r="J218" s="560"/>
      <c r="K218" s="560"/>
      <c r="L218" s="562"/>
      <c r="M218" s="562"/>
      <c r="S218" s="1228"/>
      <c r="BF218" s="1957">
        <f t="shared" si="30"/>
        <v>0</v>
      </c>
      <c r="BG218" s="1957">
        <f t="shared" si="30"/>
        <v>0</v>
      </c>
      <c r="BH218" s="1957">
        <f t="shared" si="30"/>
        <v>0</v>
      </c>
      <c r="BI218" s="1957" t="str">
        <f>IF(BG218&lt;&gt;"",IFERROR(MATCH(BG218&amp;BH218,'Results from Trace'!$L$1:$L$21,0),""),"")</f>
        <v/>
      </c>
    </row>
    <row r="219" spans="1:61" ht="24" customHeight="1" x14ac:dyDescent="0.3">
      <c r="A219" s="1063" t="s">
        <v>1299</v>
      </c>
      <c r="B219" s="570" t="s">
        <v>1268</v>
      </c>
      <c r="C219" s="571"/>
      <c r="D219" s="571"/>
      <c r="E219" s="571"/>
      <c r="F219" s="571"/>
      <c r="G219" s="571"/>
      <c r="H219" s="571"/>
      <c r="I219" s="571"/>
      <c r="J219" s="571"/>
      <c r="K219" s="571"/>
      <c r="L219" s="571"/>
      <c r="M219" s="571"/>
      <c r="S219" s="15"/>
      <c r="BF219" s="1957">
        <f t="shared" ref="BF219:BH223" si="31">BF145</f>
        <v>0</v>
      </c>
      <c r="BG219" s="1957">
        <f t="shared" si="31"/>
        <v>0</v>
      </c>
      <c r="BH219" s="1957">
        <f t="shared" si="31"/>
        <v>0</v>
      </c>
      <c r="BI219" s="1957" t="str">
        <f>IF(BG219&lt;&gt;"",IFERROR(MATCH(BG219&amp;BH219,'Results from Trace'!$L$1:$L$21,0),""),"")</f>
        <v/>
      </c>
    </row>
    <row r="220" spans="1:61" ht="21.75" customHeight="1" x14ac:dyDescent="0.3">
      <c r="A220" s="1063" t="s">
        <v>1299</v>
      </c>
      <c r="B220" s="2698" t="s">
        <v>444</v>
      </c>
      <c r="C220" s="2402" t="s">
        <v>1805</v>
      </c>
      <c r="D220" s="2699"/>
      <c r="E220" s="2700" t="s">
        <v>347</v>
      </c>
      <c r="F220" s="2698"/>
      <c r="G220" s="2698"/>
      <c r="H220" s="2700" t="s">
        <v>348</v>
      </c>
      <c r="I220" s="2698"/>
      <c r="J220" s="2698"/>
      <c r="K220" s="2700" t="s">
        <v>448</v>
      </c>
      <c r="L220" s="2698"/>
      <c r="M220" s="2463"/>
      <c r="N220" s="579"/>
      <c r="S220" s="15"/>
      <c r="BF220" s="1957">
        <f t="shared" si="31"/>
        <v>0</v>
      </c>
      <c r="BG220" s="1957">
        <f t="shared" si="31"/>
        <v>0</v>
      </c>
      <c r="BH220" s="1957">
        <f t="shared" si="31"/>
        <v>0</v>
      </c>
      <c r="BI220" s="1957" t="str">
        <f>IF(BG220&lt;&gt;"",IFERROR(MATCH(BG220&amp;BH220,'Results from Trace'!$L$1:$L$21,0),""),"")</f>
        <v/>
      </c>
    </row>
    <row r="221" spans="1:61" ht="63.75" customHeight="1" x14ac:dyDescent="0.3">
      <c r="A221" s="1063" t="s">
        <v>1299</v>
      </c>
      <c r="B221" s="2699"/>
      <c r="C221" s="2699"/>
      <c r="D221" s="2699"/>
      <c r="E221" s="966" t="s">
        <v>1117</v>
      </c>
      <c r="F221" s="1115" t="str">
        <f>"Source Energy Use 
("  &amp; PO_SourceUnits &amp; ")"</f>
        <v>Source Energy Use 
(MWh)</v>
      </c>
      <c r="G221" s="966" t="s">
        <v>446</v>
      </c>
      <c r="H221" s="966" t="s">
        <v>1117</v>
      </c>
      <c r="I221" s="1115" t="str">
        <f>"Source Energy Use 
("  &amp; PO_SourceUnits &amp; ")"</f>
        <v>Source Energy Use 
(MWh)</v>
      </c>
      <c r="J221" s="966" t="s">
        <v>446</v>
      </c>
      <c r="K221" s="2700" t="s">
        <v>447</v>
      </c>
      <c r="L221" s="2829"/>
      <c r="M221" s="966" t="s">
        <v>446</v>
      </c>
      <c r="AD221" s="15"/>
      <c r="AE221" s="15"/>
      <c r="AF221" s="15"/>
      <c r="AG221" s="15"/>
      <c r="AH221" s="15"/>
      <c r="AI221" s="15"/>
      <c r="AJ221" s="15"/>
      <c r="AK221" s="15"/>
      <c r="AL221" s="15"/>
      <c r="AM221" s="15"/>
      <c r="AN221" s="15"/>
      <c r="AO221" s="15"/>
      <c r="BF221" s="1957">
        <f t="shared" si="31"/>
        <v>0</v>
      </c>
      <c r="BG221" s="1957">
        <f t="shared" si="31"/>
        <v>0</v>
      </c>
      <c r="BH221" s="1957">
        <f t="shared" si="31"/>
        <v>0</v>
      </c>
      <c r="BI221" s="1957" t="str">
        <f>IF(BG221&lt;&gt;"",IFERROR(MATCH(BG221&amp;BH221,'Results from Trace'!$L$1:$L$21,0),""),"")</f>
        <v/>
      </c>
    </row>
    <row r="222" spans="1:61" s="1076" customFormat="1" ht="21.75" hidden="1" customHeight="1" x14ac:dyDescent="0.3">
      <c r="A222" s="1063" t="s">
        <v>1299</v>
      </c>
      <c r="B222" s="1092" t="s">
        <v>1765</v>
      </c>
      <c r="C222" s="1092" t="s">
        <v>1793</v>
      </c>
      <c r="D222" s="1092"/>
      <c r="E222" s="1100" t="s">
        <v>1821</v>
      </c>
      <c r="F222" s="1099" t="s">
        <v>1822</v>
      </c>
      <c r="G222" s="1100" t="s">
        <v>1823</v>
      </c>
      <c r="H222" s="1100" t="s">
        <v>1806</v>
      </c>
      <c r="I222" s="1099" t="s">
        <v>1807</v>
      </c>
      <c r="J222" s="1100" t="s">
        <v>1808</v>
      </c>
      <c r="K222" s="1093" t="s">
        <v>1809</v>
      </c>
      <c r="L222" s="1092"/>
      <c r="M222" s="1093" t="s">
        <v>1810</v>
      </c>
      <c r="N222" s="1075"/>
      <c r="Q222" s="1042" t="s">
        <v>1776</v>
      </c>
      <c r="R222" s="1042" t="s">
        <v>1777</v>
      </c>
      <c r="AD222" s="1077"/>
      <c r="AE222" s="1077"/>
      <c r="AF222" s="1077"/>
      <c r="AG222" s="1077"/>
      <c r="AH222" s="1077"/>
      <c r="AI222" s="1077"/>
      <c r="AJ222" s="1077"/>
      <c r="AK222" s="1077"/>
      <c r="AL222" s="1077"/>
      <c r="AM222" s="1077"/>
      <c r="AN222" s="1077"/>
      <c r="AO222" s="1077"/>
      <c r="BF222" s="1957">
        <f t="shared" si="31"/>
        <v>0</v>
      </c>
      <c r="BG222" s="1957">
        <f t="shared" si="31"/>
        <v>0</v>
      </c>
      <c r="BH222" s="1957">
        <f t="shared" si="31"/>
        <v>0</v>
      </c>
      <c r="BI222" s="1957" t="str">
        <f>IF(BG222&lt;&gt;"",IFERROR(MATCH(BG222&amp;BH222,'Results from Trace'!$L$1:$L$21,0),""),"")</f>
        <v/>
      </c>
    </row>
    <row r="223" spans="1:61" ht="18" customHeight="1" x14ac:dyDescent="0.3">
      <c r="A223" s="1063" t="s">
        <v>1299</v>
      </c>
      <c r="B223" s="1082" t="str">
        <f>IFERROR(IF(ISBLANK(B17),"",B17),"")</f>
        <v>Electricity</v>
      </c>
      <c r="C223" s="2688" t="str">
        <f>IFERROR(IF(ISBLANK($B223),"",VLOOKUP($B223,PO_Enrgy_1_Table,MATCH($C$16,PO_Enrgy_1_Hdr,0),FALSE) ),"")</f>
        <v>kWh</v>
      </c>
      <c r="D223" s="2689" t="e">
        <f>IF(C223="","",VLOOKUP(C223,ProjectEnergyTypeTable,3,FALSE))</f>
        <v>#NAME?</v>
      </c>
      <c r="E223" s="1188">
        <f ca="1">IFERROR(SUMIFS(G$170:G$217,$F$170:$F$217,"=Con*",$E$170:$E$217,$B223), 0)</f>
        <v>4665616.6550000003</v>
      </c>
      <c r="F223" s="1188">
        <f ca="1">IFERROR(SUMIFS(G$170:G$217,$F$170:$F$217,"=Con*",$E$170:$E$217,$B223)*VLOOKUP($B223,PO_Enrgy_1_Table,MATCH($M$16,PO_Enrgy_1_Hdr,0),FALSE), 0)</f>
        <v>14650.036296699998</v>
      </c>
      <c r="G223" s="1220">
        <f ca="1">INDEX(PO_Enrgy_6_Table,MATCH($B223,PO_Enrgy_6_Index,0)-1, 10)</f>
        <v>396577.415675</v>
      </c>
      <c r="H223" s="1188">
        <f ca="1">IFERROR(SUMIFS(H$170:H$217,$F$170:$F$217,"=Con*",$E$170:$E$217,$B223), 0)</f>
        <v>4152607.72</v>
      </c>
      <c r="I223" s="1188">
        <f ca="1">IFERROR(SUMIFS(H$170:H$217,$F$170:$F$217,"=Con*",$E$170:$E$217,$B223)*VLOOKUP($B223,PO_Enrgy_1_Table,MATCH($M$16,PO_Enrgy_1_Hdr,0),FALSE), 0)</f>
        <v>13039.188240799998</v>
      </c>
      <c r="J223" s="1162">
        <f ca="1">H223*0.085</f>
        <v>352971.65620000003</v>
      </c>
      <c r="K223" s="2692">
        <f ca="1">IFERROR(1-H223/E223,"")</f>
        <v>0.10995522627222787</v>
      </c>
      <c r="L223" s="2691"/>
      <c r="M223" s="1360">
        <f ca="1">IFERROR(1-J223/G223,"")</f>
        <v>0.10995522627222787</v>
      </c>
      <c r="Q223" s="1296">
        <f>IFERROR(IF(ISBLANK($B223),"",VLOOKUP($B223,PO_Enrgy_1_Table,MATCH($K$16,PO_Enrgy_1_Hdr,0),FALSE)),"")</f>
        <v>9.999999999999998E-4</v>
      </c>
      <c r="R223" s="1296">
        <f>IFERROR(IF(ISBLANK($B223),"",VLOOKUP($B223,PO_Enrgy_1_Table,MATCH($M$16,PO_Enrgy_1_Hdr,0),FALSE)),"")</f>
        <v>3.1399999999999996E-3</v>
      </c>
      <c r="AD223" s="1079"/>
      <c r="AE223" s="1079"/>
      <c r="AF223" s="536"/>
      <c r="AG223" s="536"/>
      <c r="AH223" s="1080"/>
      <c r="AI223" s="1081"/>
      <c r="AJ223" s="15"/>
      <c r="AK223" s="15"/>
      <c r="AL223" s="15"/>
      <c r="AM223" s="15"/>
      <c r="AN223" s="15"/>
      <c r="AO223" s="15"/>
      <c r="BC223" s="1906"/>
      <c r="BF223" s="1957">
        <f t="shared" si="31"/>
        <v>0</v>
      </c>
      <c r="BG223" s="1957">
        <f t="shared" si="31"/>
        <v>0</v>
      </c>
      <c r="BH223" s="1957">
        <f t="shared" si="31"/>
        <v>0</v>
      </c>
      <c r="BI223" s="1957" t="str">
        <f>IF(BG223&lt;&gt;"",IFERROR(MATCH(BG223&amp;BH223,'Results from Trace'!$L$1:$L$21,0),""),"")</f>
        <v/>
      </c>
    </row>
    <row r="224" spans="1:61" ht="18" customHeight="1" x14ac:dyDescent="0.3">
      <c r="A224" s="1063" t="s">
        <v>1299</v>
      </c>
      <c r="B224" s="1082" t="str">
        <f>IFERROR(IF(ISBLANK(B18),"",B18),"")</f>
        <v>Natural Gas</v>
      </c>
      <c r="C224" s="2688" t="str">
        <f>IFERROR(IF(ISBLANK($B224),"",VLOOKUP($B224,PO_Enrgy_1_Table,MATCH($C$16,PO_Enrgy_1_Hdr,0),FALSE) ),"")</f>
        <v>therm</v>
      </c>
      <c r="D224" s="2689" t="e">
        <f>IF(C224="","",VLOOKUP(C224,ProjectEnergyTypeTable,3,FALSE))</f>
        <v>#NAME?</v>
      </c>
      <c r="E224" s="1188">
        <f>IFERROR(SUMIFS(G$170:G$217,$F$170:$F$217,"=Con*",$E$170:$E$217,$B224), 0)</f>
        <v>0</v>
      </c>
      <c r="F224" s="1188">
        <f>IFERROR(SUMIFS(G$170:G$217,$F$170:$F$217,"=Con*",$E$170:$E$217,$B224)*VLOOKUP($B224,PO_Enrgy_1_Table,MATCH($M$16,PO_Enrgy_1_Hdr,0),FALSE), 0)</f>
        <v>0</v>
      </c>
      <c r="G224" s="1220" t="str">
        <f>INDEX(PO_Enrgy_6_Table,MATCH($B224,PO_Enrgy_6_Index,0)-1, 10)</f>
        <v/>
      </c>
      <c r="H224" s="1188">
        <f>IFERROR(SUMIFS(H$170:H$217,$F$170:$F$217,"=Con*",$E$170:$E$217,$B224), 0)</f>
        <v>0</v>
      </c>
      <c r="I224" s="1188">
        <f>IFERROR(SUMIFS(H$170:H$217,$F$170:$F$217,"=Con*",$E$170:$E$217,$B224)*VLOOKUP($B224,PO_Enrgy_1_Table,MATCH($M$16,PO_Enrgy_1_Hdr,0),FALSE), 0)</f>
        <v>0</v>
      </c>
      <c r="J224" s="1162"/>
      <c r="K224" s="2692" t="str">
        <f>IFERROR(1-H224/E224,"")</f>
        <v/>
      </c>
      <c r="L224" s="2691"/>
      <c r="M224" s="1360" t="str">
        <f>IFERROR(1-J224/G224,"")</f>
        <v/>
      </c>
      <c r="Q224" s="1296">
        <f>IFERROR(IF(ISBLANK($B224),"",VLOOKUP($B224,PO_Enrgy_1_Table,MATCH($K$16,PO_Enrgy_1_Hdr,0),FALSE)),"")</f>
        <v>2.9308323563892142E-2</v>
      </c>
      <c r="R224" s="1296">
        <f>IFERROR(IF(ISBLANK($B224),"",VLOOKUP($B224,PO_Enrgy_1_Table,MATCH($M$16,PO_Enrgy_1_Hdr,0),FALSE)),"")</f>
        <v>3.0773739742086751E-2</v>
      </c>
      <c r="AD224" s="1079"/>
      <c r="AE224" s="1079"/>
      <c r="AF224" s="536"/>
      <c r="AG224" s="536"/>
      <c r="AH224" s="1080"/>
      <c r="AI224" s="1081"/>
      <c r="AJ224" s="15"/>
      <c r="AK224" s="15"/>
      <c r="AL224" s="15"/>
      <c r="AM224" s="15"/>
      <c r="AN224" s="15"/>
      <c r="AO224" s="15"/>
      <c r="BC224" s="1906"/>
    </row>
    <row r="225" spans="1:55" ht="18" customHeight="1" x14ac:dyDescent="0.3">
      <c r="A225" s="1063" t="s">
        <v>1299</v>
      </c>
      <c r="B225" s="1082" t="str">
        <f>IFERROR(IF(ISBLANK(B19),"",B19),"")</f>
        <v>District Cooling</v>
      </c>
      <c r="C225" s="2688" t="str">
        <f>IFERROR(IF(ISBLANK($B225),"",VLOOKUP($B225,PO_Enrgy_1_Table,MATCH($C$16,PO_Enrgy_1_Hdr,0),FALSE) ),"")</f>
        <v>MWh</v>
      </c>
      <c r="D225" s="2689" t="e">
        <f>IF(C225="","",VLOOKUP(C225,ProjectEnergyTypeTable,3,FALSE))</f>
        <v>#NAME?</v>
      </c>
      <c r="E225" s="1188">
        <f>IFERROR(SUMIFS(G$170:G$217,$F$170:$F$217,"=Con*",$E$170:$E$217,$B225), 0)</f>
        <v>0</v>
      </c>
      <c r="F225" s="1188">
        <f>IFERROR(SUMIFS(G$170:G$217,$F$170:$F$217,"=Con*",$E$170:$E$217,$B225)*VLOOKUP($B225,PO_Enrgy_1_Table,MATCH($M$16,PO_Enrgy_1_Hdr,0),FALSE), 0)</f>
        <v>0</v>
      </c>
      <c r="G225" s="1220" t="str">
        <f>INDEX(PO_Enrgy_6_Table,MATCH($B225,PO_Enrgy_6_Index,0)-1, 10)</f>
        <v/>
      </c>
      <c r="H225" s="1188">
        <f>IFERROR(SUMIFS(H$170:H$217,$F$170:$F$217,"=Con*",$E$170:$E$217,$B225), 0)</f>
        <v>0</v>
      </c>
      <c r="I225" s="1188">
        <f>IFERROR(SUMIFS(H$170:H$217,$F$170:$F$217,"=Con*",$E$170:$E$217,$B225)*VLOOKUP($B225,PO_Enrgy_1_Table,MATCH($M$16,PO_Enrgy_1_Hdr,0),FALSE), 0)</f>
        <v>0</v>
      </c>
      <c r="J225" s="1162"/>
      <c r="K225" s="2692" t="str">
        <f>IFERROR(1-H225/E225,"")</f>
        <v/>
      </c>
      <c r="L225" s="2691"/>
      <c r="M225" s="1360" t="str">
        <f>IFERROR(1-J225/G225,"")</f>
        <v/>
      </c>
      <c r="Q225" s="1296">
        <f>IFERROR(IF(ISBLANK($B225),"",VLOOKUP($B225,PO_Enrgy_1_Table,MATCH($K$16,PO_Enrgy_1_Hdr,0),FALSE)),"")</f>
        <v>0.99999999999999989</v>
      </c>
      <c r="R225" s="1296">
        <f>IFERROR(IF(ISBLANK($B225),"",VLOOKUP($B225,PO_Enrgy_1_Table,MATCH($M$16,PO_Enrgy_1_Hdr,0),FALSE)),"")</f>
        <v>0.99999999999999989</v>
      </c>
      <c r="AD225" s="1079"/>
      <c r="AE225" s="1079"/>
      <c r="AF225" s="536"/>
      <c r="AG225" s="536"/>
      <c r="AH225" s="1080"/>
      <c r="AI225" s="1081"/>
      <c r="AJ225" s="15"/>
      <c r="AK225" s="15"/>
      <c r="AL225" s="15"/>
      <c r="AM225" s="15"/>
      <c r="AN225" s="15"/>
      <c r="AO225" s="15"/>
      <c r="BC225" s="1906"/>
    </row>
    <row r="226" spans="1:55" s="528" customFormat="1" ht="21" customHeight="1" x14ac:dyDescent="0.3">
      <c r="A226" s="1063" t="s">
        <v>1299</v>
      </c>
      <c r="B226" s="2693" t="str">
        <f>"Energy model subtotal (" &amp; PO_SiteUnits &amp; ")"</f>
        <v>Energy model subtotal (MWh)</v>
      </c>
      <c r="C226" s="2693"/>
      <c r="D226" s="2693"/>
      <c r="E226" s="1161">
        <f ca="1">IFERROR(SUMPRODUCT(INDEX(PO_Enrgy_7_Table,0,MATCH(E$222,PO_Enrgy_7_Hdr,0)),INDEX(PO_Enrgy_7_Table,0,MATCH($Q$222,PO_Enrgy_7_Hdr,0))),"")</f>
        <v>4665.6166549999989</v>
      </c>
      <c r="F226" s="1161">
        <f ca="1">IFERROR(SUM(INDEX(PO_Enrgy_7_Table,0,MATCH(F$222,PO_Enrgy_7_Hdr,0))),"")</f>
        <v>14650.036296699998</v>
      </c>
      <c r="G226" s="1164">
        <f ca="1">IFERROR(SUM(INDEX(PO_Enrgy_7_Table,0,MATCH(G$222,PO_Enrgy_7_Hdr,0))),"")</f>
        <v>396577.415675</v>
      </c>
      <c r="H226" s="1161">
        <f ca="1">IFERROR(SUMPRODUCT(INDEX(PO_Enrgy_7_Table,0,MATCH(H$222,PO_Enrgy_7_Hdr,0)),INDEX(PO_Enrgy_7_Table,0,MATCH($Q$222,PO_Enrgy_7_Hdr,0))),"")</f>
        <v>4152.6077199999991</v>
      </c>
      <c r="I226" s="1161">
        <f ca="1">IFERROR(SUM(INDEX(PO_Enrgy_7_Table,0,MATCH(I$222,PO_Enrgy_7_Hdr,0))),"")</f>
        <v>13039.188240799998</v>
      </c>
      <c r="J226" s="1164">
        <f ca="1">IFERROR(SUM(INDEX(PO_Enrgy_7_Table,0,MATCH(J$222,PO_Enrgy_7_Hdr,0))),"")</f>
        <v>352971.65620000003</v>
      </c>
      <c r="K226" s="2690">
        <f ca="1">IFERROR(1-H226/E226,"")</f>
        <v>0.10995522627222787</v>
      </c>
      <c r="L226" s="2691"/>
      <c r="M226" s="1163">
        <f ca="1">IFERROR(1-J226/G226,"")</f>
        <v>0.10995522627222787</v>
      </c>
      <c r="N226" s="502"/>
      <c r="O226" s="502"/>
      <c r="P226" s="502"/>
      <c r="AD226" s="15"/>
      <c r="AE226" s="15"/>
      <c r="AF226" s="15"/>
      <c r="AG226" s="15"/>
      <c r="AH226" s="1080"/>
      <c r="AI226" s="1081"/>
      <c r="AJ226" s="15"/>
      <c r="AK226" s="15"/>
      <c r="AL226" s="15"/>
      <c r="AM226" s="15"/>
      <c r="AN226" s="15"/>
      <c r="AO226" s="15"/>
      <c r="BC226" s="1906"/>
    </row>
    <row r="227" spans="1:55" s="528" customFormat="1" ht="5.25" customHeight="1" x14ac:dyDescent="0.3">
      <c r="A227" s="1063" t="s">
        <v>1299</v>
      </c>
      <c r="B227" s="532"/>
      <c r="C227" s="532"/>
      <c r="D227" s="532"/>
      <c r="E227" s="533"/>
      <c r="F227" s="533"/>
      <c r="G227" s="577"/>
      <c r="H227" s="533"/>
      <c r="I227" s="533"/>
      <c r="J227" s="577"/>
      <c r="K227" s="720"/>
      <c r="L227" s="720"/>
      <c r="M227" s="720"/>
      <c r="N227" s="502"/>
      <c r="O227" s="502"/>
      <c r="P227" s="502"/>
      <c r="AD227" s="15"/>
      <c r="AE227" s="15"/>
      <c r="AF227" s="15"/>
      <c r="AG227" s="15"/>
      <c r="AH227" s="1080"/>
      <c r="AI227" s="1081"/>
      <c r="AJ227" s="15"/>
      <c r="AK227" s="15"/>
      <c r="AL227" s="15"/>
      <c r="AM227" s="15"/>
      <c r="AN227" s="15"/>
      <c r="AO227" s="15"/>
    </row>
    <row r="228" spans="1:55" s="528" customFormat="1" ht="33" customHeight="1" x14ac:dyDescent="0.3">
      <c r="A228" s="1063" t="s">
        <v>1299</v>
      </c>
      <c r="B228" s="532"/>
      <c r="C228" s="532"/>
      <c r="D228" s="532"/>
      <c r="E228" s="533"/>
      <c r="F228" s="533"/>
      <c r="G228" s="577"/>
      <c r="H228" s="533"/>
      <c r="I228" s="533"/>
      <c r="J228" s="577"/>
      <c r="K228" s="720"/>
      <c r="L228" s="720"/>
      <c r="M228" s="720"/>
      <c r="N228" s="502"/>
      <c r="O228" s="502"/>
      <c r="P228" s="502"/>
      <c r="AD228" s="15"/>
      <c r="AE228" s="15"/>
      <c r="AF228" s="15"/>
      <c r="AG228" s="15"/>
      <c r="AH228" s="1080"/>
      <c r="AI228" s="1081"/>
      <c r="AJ228" s="15"/>
      <c r="AK228" s="15"/>
      <c r="AL228" s="15"/>
      <c r="AM228" s="15"/>
      <c r="AN228" s="15"/>
      <c r="AO228" s="15"/>
    </row>
    <row r="229" spans="1:55" s="528" customFormat="1" ht="21" customHeight="1" x14ac:dyDescent="0.3">
      <c r="A229" s="1063" t="s">
        <v>1299</v>
      </c>
      <c r="B229" s="2694" t="s">
        <v>1269</v>
      </c>
      <c r="C229" s="2695"/>
      <c r="D229" s="2695"/>
      <c r="E229" s="2695"/>
      <c r="F229" s="2695"/>
      <c r="G229" s="2695"/>
      <c r="H229" s="2695"/>
      <c r="I229" s="2695"/>
      <c r="J229" s="2695"/>
      <c r="K229" s="2695"/>
      <c r="L229" s="2695"/>
      <c r="M229" s="720"/>
      <c r="Z229" s="550"/>
      <c r="AA229" s="551"/>
      <c r="AD229" s="15"/>
      <c r="AE229" s="15"/>
      <c r="AF229" s="15"/>
      <c r="AG229" s="15"/>
      <c r="AH229" s="15"/>
      <c r="AI229" s="15"/>
      <c r="AJ229" s="15"/>
      <c r="AK229" s="15"/>
      <c r="AL229" s="15"/>
      <c r="AM229" s="15"/>
      <c r="AN229" s="15"/>
      <c r="AO229" s="15"/>
    </row>
    <row r="230" spans="1:55" ht="33.75" customHeight="1" x14ac:dyDescent="0.3">
      <c r="A230" s="1063" t="s">
        <v>1299</v>
      </c>
      <c r="B230" s="2698" t="s">
        <v>444</v>
      </c>
      <c r="C230" s="2451"/>
      <c r="D230" s="2451"/>
      <c r="E230" s="2700" t="s">
        <v>347</v>
      </c>
      <c r="F230" s="2698"/>
      <c r="G230" s="2698"/>
      <c r="H230" s="2700" t="s">
        <v>348</v>
      </c>
      <c r="I230" s="2698"/>
      <c r="J230" s="2698"/>
      <c r="K230" s="2700" t="s">
        <v>455</v>
      </c>
      <c r="L230" s="2698"/>
      <c r="M230" s="2451"/>
      <c r="AD230" s="15"/>
      <c r="AE230" s="15"/>
      <c r="AF230" s="15"/>
      <c r="AG230" s="15"/>
      <c r="AH230" s="15"/>
      <c r="AI230" s="15"/>
      <c r="AJ230" s="15"/>
      <c r="AK230" s="15"/>
      <c r="AL230" s="15"/>
      <c r="AM230" s="15"/>
      <c r="AN230" s="15"/>
      <c r="AO230" s="15"/>
    </row>
    <row r="231" spans="1:55" s="1076" customFormat="1" ht="39.6" hidden="1" x14ac:dyDescent="0.3">
      <c r="A231" s="1063" t="s">
        <v>1299</v>
      </c>
      <c r="B231" s="1092" t="s">
        <v>1765</v>
      </c>
      <c r="C231" s="1165" t="s">
        <v>173</v>
      </c>
      <c r="D231" s="1165"/>
      <c r="E231" s="1093" t="s">
        <v>1811</v>
      </c>
      <c r="F231" s="1092"/>
      <c r="G231" s="1092"/>
      <c r="H231" s="1093" t="s">
        <v>1812</v>
      </c>
      <c r="I231" s="1092"/>
      <c r="J231" s="1092"/>
      <c r="K231" s="1093" t="s">
        <v>1813</v>
      </c>
      <c r="L231" s="1092"/>
      <c r="M231" s="1165"/>
      <c r="Q231" s="1042" t="s">
        <v>1776</v>
      </c>
      <c r="R231" s="1042" t="s">
        <v>1777</v>
      </c>
      <c r="T231" s="1357" t="s">
        <v>1998</v>
      </c>
      <c r="U231" s="1357" t="s">
        <v>1999</v>
      </c>
      <c r="AD231" s="1077"/>
      <c r="AE231" s="1077"/>
      <c r="AF231" s="1077"/>
      <c r="AG231" s="1077"/>
      <c r="AH231" s="1077"/>
      <c r="AI231" s="1077"/>
      <c r="AJ231" s="1077"/>
      <c r="AK231" s="1077"/>
      <c r="AL231" s="1077"/>
      <c r="AM231" s="1077"/>
      <c r="AN231" s="1077"/>
      <c r="AO231" s="1077"/>
    </row>
    <row r="232" spans="1:55" ht="18" customHeight="1" x14ac:dyDescent="0.3">
      <c r="A232" s="1063" t="s">
        <v>1299</v>
      </c>
      <c r="B232" s="1082" t="str">
        <f>IFERROR(IF(ISBLANK(B17),"",B17),"")</f>
        <v>Electricity</v>
      </c>
      <c r="C232" s="2688" t="str">
        <f>IFERROR(CONCATENATE("$ / ",VLOOKUP($B232,PO_Enrgy_1_Table,MATCH($C$16,PO_Enrgy_1_Hdr,0),FALSE)),"")</f>
        <v>$ / kWh</v>
      </c>
      <c r="D232" s="2689" t="e">
        <f>IF(C232="","",VLOOKUP(C232,ProjectEnergyTypeTable,3,FALSE))</f>
        <v>#NAME?</v>
      </c>
      <c r="E232" s="2830">
        <f t="shared" ref="E232:G234" ca="1" si="32">IFERROR(IF(AND(DESPath=3,OR($B232="District Cooling",$B232="District Steam",$B232="District Hot Water")),IF($B232="District Cooling",$V$250,$W$250),VLOOKUP($B232,PO_Enrgy_7_Table,MATCH($G$222,PO_Enrgy_7_Hdr,0),FALSE)/VLOOKUP($B232,PO_Enrgy_7_Table,MATCH($E$222,PO_Enrgy_7_Hdr,0),FALSE)),"")</f>
        <v>8.4999999999999992E-2</v>
      </c>
      <c r="F232" s="2831">
        <f t="shared" ca="1" si="32"/>
        <v>8.4999999999999992E-2</v>
      </c>
      <c r="G232" s="2831">
        <f t="shared" ca="1" si="32"/>
        <v>8.4999999999999992E-2</v>
      </c>
      <c r="H232" s="2830">
        <f t="shared" ref="H232:J234" ca="1" si="33">IFERROR(IF(AND(DESPath=3,OR($B232="District Cooling",$B232="District Steam",$B232="District Hot Water")),IF($B232="District Cooling",$V$254,$W$254),VLOOKUP($B232,PO_Enrgy_7_Table,MATCH($J$222,PO_Enrgy_7_Hdr,0),FALSE)/VLOOKUP($B232,PO_Enrgy_7_Table,MATCH($H$222,PO_Enrgy_7_Hdr,0),FALSE)),"")</f>
        <v>8.5000000000000006E-2</v>
      </c>
      <c r="I232" s="2831">
        <f t="shared" ca="1" si="33"/>
        <v>8.5000000000000006E-2</v>
      </c>
      <c r="J232" s="2831">
        <f t="shared" ca="1" si="33"/>
        <v>8.5000000000000006E-2</v>
      </c>
      <c r="K232" s="2692">
        <f ca="1">IFERROR(ABS(1-H232/E232),"")</f>
        <v>2.2204460492503131E-16</v>
      </c>
      <c r="L232" s="2825"/>
      <c r="M232" s="2721"/>
      <c r="Q232" s="1296">
        <f>IFERROR(IF(ISBLANK($B232),"",VLOOKUP($B232,PO_Enrgy_1_Table,MATCH($K$16,PO_Enrgy_1_Hdr,0),FALSE)),"")</f>
        <v>9.999999999999998E-4</v>
      </c>
      <c r="R232" s="1296">
        <f>IFERROR(IF(ISBLANK($B232),"",VLOOKUP($B232,PO_Enrgy_1_Table,MATCH($M$16,PO_Enrgy_1_Hdr,0),FALSE)),"")</f>
        <v>3.1399999999999996E-3</v>
      </c>
      <c r="T232" s="1296">
        <f ca="1">IFERROR(IF(AND(DESPath=3,OR($B232="District Cooling",$B232="District Steam",$B232="District Hot Water")),IF($B232="District Cooling",$V$250,$W$250),VLOOKUP($B232,PO_Enrgy_7_Table,MATCH($G$222,PO_Enrgy_7_Hdr,0),FALSE)/VLOOKUP($B232,PO_Enrgy_7_Table,MATCH($E$222,PO_Enrgy_7_Hdr,0),FALSE)),"")</f>
        <v>8.4999999999999992E-2</v>
      </c>
      <c r="U232" s="1296">
        <f ca="1">IFERROR(IF(AND(DESPath=3,OR($B232="District Cooling",$B232="District Steam",$B232="District Hot Water")),IF($B232="District Cooling",$V$254,$W$254),VLOOKUP($B232,PO_Enrgy_7_Table,MATCH($J$222,PO_Enrgy_7_Hdr,0),FALSE)/VLOOKUP($B232,PO_Enrgy_7_Table,MATCH($H$222,PO_Enrgy_7_Hdr,0),FALSE)),"")</f>
        <v>8.5000000000000006E-2</v>
      </c>
      <c r="AD232" s="1079"/>
      <c r="AE232" s="1079"/>
      <c r="AF232" s="536"/>
      <c r="AG232" s="15"/>
      <c r="AH232" s="1080"/>
      <c r="AI232" s="1081"/>
      <c r="AJ232" s="1083"/>
      <c r="AK232" s="15"/>
      <c r="AL232" s="15"/>
      <c r="AM232" s="15"/>
      <c r="AN232" s="15"/>
      <c r="AO232" s="15"/>
      <c r="BC232" s="1906"/>
    </row>
    <row r="233" spans="1:55" ht="18" customHeight="1" x14ac:dyDescent="0.3">
      <c r="A233" s="1063" t="s">
        <v>1299</v>
      </c>
      <c r="B233" s="1082" t="str">
        <f>IFERROR(IF(ISBLANK(B18),"",B18),"")</f>
        <v>Natural Gas</v>
      </c>
      <c r="C233" s="2688" t="str">
        <f>IFERROR(CONCATENATE("$ / ",VLOOKUP($B233,PO_Enrgy_1_Table,MATCH($C$16,PO_Enrgy_1_Hdr,0),FALSE)),"")</f>
        <v>$ / therm</v>
      </c>
      <c r="D233" s="2689" t="e">
        <f>IF(C233="","",VLOOKUP(C233,ProjectEnergyTypeTable,3,FALSE))</f>
        <v>#NAME?</v>
      </c>
      <c r="E233" s="2830" t="str">
        <f>IFERROR(IF(AND(DESPath=3,OR($B233="District Cooling",$B233="District Steam",$B233="District Hot Water")),IF($B233="District Cooling",$V$250,$W$250),VLOOKUP($B233,PO_Enrgy_7_Table,MATCH($G$222,PO_Enrgy_7_Hdr,0),FALSE)/VLOOKUP($B233,PO_Enrgy_7_Table,MATCH($E$222,PO_Enrgy_7_Hdr,0),FALSE)),"")</f>
        <v/>
      </c>
      <c r="F233" s="2831" t="str">
        <f t="shared" si="32"/>
        <v/>
      </c>
      <c r="G233" s="2831" t="str">
        <f t="shared" si="32"/>
        <v/>
      </c>
      <c r="H233" s="2830" t="str">
        <f t="shared" si="33"/>
        <v/>
      </c>
      <c r="I233" s="2831" t="str">
        <f t="shared" si="33"/>
        <v/>
      </c>
      <c r="J233" s="2831" t="str">
        <f t="shared" si="33"/>
        <v/>
      </c>
      <c r="K233" s="2692" t="str">
        <f>IFERROR(ABS(1-H233/E233),"")</f>
        <v/>
      </c>
      <c r="L233" s="2825"/>
      <c r="M233" s="2721"/>
      <c r="Q233" s="1296">
        <f>IFERROR(IF(ISBLANK($B233),"",VLOOKUP($B233,PO_Enrgy_1_Table,MATCH($K$16,PO_Enrgy_1_Hdr,0),FALSE)),"")</f>
        <v>2.9308323563892142E-2</v>
      </c>
      <c r="R233" s="1296">
        <f>IFERROR(IF(ISBLANK($B233),"",VLOOKUP($B233,PO_Enrgy_1_Table,MATCH($M$16,PO_Enrgy_1_Hdr,0),FALSE)),"")</f>
        <v>3.0773739742086751E-2</v>
      </c>
      <c r="T233" s="1296" t="str">
        <f>IFERROR(IF(AND(DESPath=3,OR($B233="District Cooling",$B233="District Steam",$B233="District Hot Water")),IF($B233="District Cooling",$V$250,$W$250),VLOOKUP($B233,PO_Enrgy_7_Table,MATCH($G$222,PO_Enrgy_7_Hdr,0),FALSE)/VLOOKUP($B233,PO_Enrgy_7_Table,MATCH($E$222,PO_Enrgy_7_Hdr,0),FALSE)),"")</f>
        <v/>
      </c>
      <c r="U233" s="1296" t="str">
        <f>IFERROR(IF(AND(DESPath=3,OR($B233="District Cooling",$B233="District Steam",$B233="District Hot Water")),IF($B233="District Cooling",$V$254,$W$254),VLOOKUP($B233,PO_Enrgy_7_Table,MATCH($J$222,PO_Enrgy_7_Hdr,0),FALSE)/VLOOKUP($B233,PO_Enrgy_7_Table,MATCH($H$222,PO_Enrgy_7_Hdr,0),FALSE)),"")</f>
        <v/>
      </c>
      <c r="AD233" s="1079"/>
      <c r="AE233" s="1079"/>
      <c r="AF233" s="536"/>
      <c r="AG233" s="15"/>
      <c r="AH233" s="1080"/>
      <c r="AI233" s="1081"/>
      <c r="AJ233" s="1083"/>
      <c r="AK233" s="15"/>
      <c r="AL233" s="15"/>
      <c r="AM233" s="15"/>
      <c r="AN233" s="15"/>
      <c r="AO233" s="15"/>
      <c r="BC233" s="1906"/>
    </row>
    <row r="234" spans="1:55" ht="18" customHeight="1" x14ac:dyDescent="0.3">
      <c r="A234" s="1063" t="s">
        <v>1299</v>
      </c>
      <c r="B234" s="1082" t="str">
        <f>IFERROR(IF(ISBLANK(B19),"",B19),"")</f>
        <v>District Cooling</v>
      </c>
      <c r="C234" s="2688" t="str">
        <f>IFERROR(CONCATENATE("$ / ",VLOOKUP($B234,PO_Enrgy_1_Table,MATCH($C$16,PO_Enrgy_1_Hdr,0),FALSE)),"")</f>
        <v>$ / MWh</v>
      </c>
      <c r="D234" s="2689" t="e">
        <f>IF(C234="","",VLOOKUP(C234,ProjectEnergyTypeTable,3,FALSE))</f>
        <v>#NAME?</v>
      </c>
      <c r="E234" s="2830" t="str">
        <f t="shared" si="32"/>
        <v/>
      </c>
      <c r="F234" s="2831" t="str">
        <f t="shared" si="32"/>
        <v/>
      </c>
      <c r="G234" s="2831" t="str">
        <f t="shared" si="32"/>
        <v/>
      </c>
      <c r="H234" s="2830" t="str">
        <f t="shared" si="33"/>
        <v/>
      </c>
      <c r="I234" s="2831" t="str">
        <f t="shared" si="33"/>
        <v/>
      </c>
      <c r="J234" s="2831" t="str">
        <f t="shared" si="33"/>
        <v/>
      </c>
      <c r="K234" s="2692" t="str">
        <f>IFERROR(ABS(1-H234/E234),"")</f>
        <v/>
      </c>
      <c r="L234" s="2825"/>
      <c r="M234" s="2721"/>
      <c r="Q234" s="1296">
        <f>IFERROR(IF(ISBLANK($B234),"",VLOOKUP($B234,PO_Enrgy_1_Table,MATCH($K$16,PO_Enrgy_1_Hdr,0),FALSE)),"")</f>
        <v>0.99999999999999989</v>
      </c>
      <c r="R234" s="1296">
        <f>IFERROR(IF(ISBLANK($B234),"",VLOOKUP($B234,PO_Enrgy_1_Table,MATCH($M$16,PO_Enrgy_1_Hdr,0),FALSE)),"")</f>
        <v>0.99999999999999989</v>
      </c>
      <c r="T234" s="1296" t="str">
        <f>IFERROR(IF(AND(DESPath=3,OR($B234="District Cooling",$B234="District Steam",$B234="District Hot Water")),IF($B234="District Cooling",$V$250,$W$250),VLOOKUP($B234,PO_Enrgy_7_Table,MATCH($G$222,PO_Enrgy_7_Hdr,0),FALSE)/VLOOKUP($B234,PO_Enrgy_7_Table,MATCH($E$222,PO_Enrgy_7_Hdr,0),FALSE)),"")</f>
        <v/>
      </c>
      <c r="U234" s="1296" t="str">
        <f>IFERROR(IF(AND(DESPath=3,OR($B234="District Cooling",$B234="District Steam",$B234="District Hot Water")),IF($B234="District Cooling",$V$254,$W$254),VLOOKUP($B234,PO_Enrgy_7_Table,MATCH($J$222,PO_Enrgy_7_Hdr,0),FALSE)/VLOOKUP($B234,PO_Enrgy_7_Table,MATCH($H$222,PO_Enrgy_7_Hdr,0),FALSE)),"")</f>
        <v/>
      </c>
      <c r="AD234" s="1079"/>
      <c r="AE234" s="1079"/>
      <c r="AF234" s="536"/>
      <c r="AG234" s="15"/>
      <c r="AH234" s="1080"/>
      <c r="AI234" s="1081"/>
      <c r="AJ234" s="1083"/>
      <c r="AK234" s="15"/>
      <c r="AL234" s="15"/>
      <c r="AM234" s="15"/>
      <c r="AN234" s="15"/>
      <c r="AO234" s="15"/>
      <c r="BC234" s="1906"/>
    </row>
    <row r="235" spans="1:55" s="528" customFormat="1" ht="31.5" customHeight="1" x14ac:dyDescent="0.3">
      <c r="A235" s="1063" t="s">
        <v>1299</v>
      </c>
      <c r="B235" s="532"/>
      <c r="C235" s="532"/>
      <c r="D235" s="532"/>
      <c r="E235" s="533"/>
      <c r="F235" s="533"/>
      <c r="G235" s="577"/>
      <c r="H235" s="533"/>
      <c r="I235" s="533"/>
      <c r="J235" s="577"/>
      <c r="K235" s="729"/>
      <c r="L235" s="720"/>
      <c r="M235" s="720"/>
      <c r="N235" s="502"/>
      <c r="O235" s="502"/>
      <c r="P235" s="502"/>
      <c r="AD235" s="15"/>
      <c r="AE235" s="15"/>
      <c r="AF235" s="15"/>
      <c r="AG235" s="15"/>
      <c r="AH235" s="1080"/>
      <c r="AI235" s="1081"/>
      <c r="AJ235" s="15"/>
      <c r="AK235" s="15"/>
      <c r="AL235" s="15"/>
      <c r="AM235" s="15"/>
      <c r="AN235" s="15"/>
      <c r="AO235" s="15"/>
    </row>
    <row r="236" spans="1:55" ht="21" customHeight="1" x14ac:dyDescent="0.3">
      <c r="A236" s="1063" t="s">
        <v>1299</v>
      </c>
      <c r="B236" s="2694" t="s">
        <v>1270</v>
      </c>
      <c r="C236" s="2695"/>
      <c r="D236" s="2695"/>
      <c r="E236" s="2695"/>
      <c r="F236" s="2695"/>
      <c r="G236" s="2695"/>
      <c r="H236" s="2695"/>
      <c r="I236" s="2695"/>
      <c r="J236" s="2695"/>
      <c r="K236" s="2695"/>
      <c r="L236" s="2695"/>
      <c r="Z236" s="550"/>
      <c r="AA236" s="551"/>
      <c r="AD236" s="15"/>
      <c r="AE236" s="15"/>
      <c r="AF236" s="15"/>
      <c r="AG236" s="15"/>
      <c r="AH236" s="15"/>
      <c r="AI236" s="15"/>
      <c r="AJ236" s="15"/>
      <c r="AK236" s="15"/>
      <c r="AL236" s="15"/>
      <c r="AM236" s="15"/>
      <c r="AN236" s="15"/>
      <c r="AO236" s="15"/>
    </row>
    <row r="237" spans="1:55" ht="41.25" customHeight="1" x14ac:dyDescent="0.3">
      <c r="A237" s="1063" t="s">
        <v>1299</v>
      </c>
      <c r="B237" s="2698" t="s">
        <v>444</v>
      </c>
      <c r="C237" s="2402" t="s">
        <v>1805</v>
      </c>
      <c r="D237" s="2699"/>
      <c r="E237" s="2767" t="s">
        <v>1271</v>
      </c>
      <c r="F237" s="2767"/>
      <c r="G237" s="2767"/>
      <c r="H237" s="2722" t="s">
        <v>1172</v>
      </c>
      <c r="I237" s="2722"/>
      <c r="J237" s="2722"/>
      <c r="K237" s="2833" t="s">
        <v>448</v>
      </c>
      <c r="L237" s="2818"/>
      <c r="M237" s="2834"/>
      <c r="N237" s="2832"/>
      <c r="O237" s="2832"/>
      <c r="P237" s="2832"/>
      <c r="AD237" s="15"/>
      <c r="AE237" s="15"/>
      <c r="AF237" s="15"/>
      <c r="AG237" s="15"/>
      <c r="AH237" s="1080"/>
      <c r="AI237" s="1081"/>
      <c r="AJ237" s="15"/>
      <c r="AK237" s="15"/>
      <c r="AL237" s="15"/>
      <c r="AM237" s="15"/>
      <c r="AN237" s="15"/>
      <c r="AO237" s="15"/>
    </row>
    <row r="238" spans="1:55" ht="63" customHeight="1" x14ac:dyDescent="0.3">
      <c r="A238" s="1063" t="s">
        <v>1299</v>
      </c>
      <c r="B238" s="2699"/>
      <c r="C238" s="2699"/>
      <c r="D238" s="2699"/>
      <c r="E238" s="1048" t="s">
        <v>1117</v>
      </c>
      <c r="F238" s="1049" t="str">
        <f>"Source Energy Use 
("  &amp; PO_SourceUnits &amp; ")"</f>
        <v>Source Energy Use 
(MWh)</v>
      </c>
      <c r="G238" s="1048" t="s">
        <v>446</v>
      </c>
      <c r="H238" s="1048" t="s">
        <v>1117</v>
      </c>
      <c r="I238" s="1049" t="str">
        <f>"Source Energy Use 
("  &amp; PO_SourceUnits &amp; ")"</f>
        <v>Source Energy Use 
(MWh)</v>
      </c>
      <c r="J238" s="1048" t="s">
        <v>446</v>
      </c>
      <c r="K238" s="2833" t="s">
        <v>447</v>
      </c>
      <c r="L238" s="2834"/>
      <c r="M238" s="1048" t="s">
        <v>446</v>
      </c>
      <c r="N238" s="578"/>
      <c r="O238" s="578"/>
      <c r="P238" s="578"/>
      <c r="AD238" s="15"/>
      <c r="AE238" s="15"/>
      <c r="AF238" s="15"/>
      <c r="AG238" s="15"/>
      <c r="AH238" s="15"/>
      <c r="AI238" s="15"/>
      <c r="AJ238" s="15"/>
      <c r="AK238" s="15"/>
      <c r="AL238" s="15"/>
      <c r="AM238" s="15"/>
      <c r="AN238" s="15"/>
      <c r="AO238" s="15"/>
    </row>
    <row r="239" spans="1:55" s="1076" customFormat="1" ht="21.75" hidden="1" customHeight="1" x14ac:dyDescent="0.3">
      <c r="A239" s="1063" t="s">
        <v>1299</v>
      </c>
      <c r="B239" s="1092" t="s">
        <v>1765</v>
      </c>
      <c r="C239" s="1092" t="s">
        <v>1793</v>
      </c>
      <c r="D239" s="1092"/>
      <c r="E239" s="1100" t="s">
        <v>1821</v>
      </c>
      <c r="F239" s="1099" t="s">
        <v>1822</v>
      </c>
      <c r="G239" s="1100" t="s">
        <v>1823</v>
      </c>
      <c r="H239" s="1100" t="s">
        <v>1806</v>
      </c>
      <c r="I239" s="1099" t="s">
        <v>1807</v>
      </c>
      <c r="J239" s="1100" t="s">
        <v>1808</v>
      </c>
      <c r="K239" s="1093" t="s">
        <v>1809</v>
      </c>
      <c r="L239" s="1092"/>
      <c r="M239" s="1093" t="s">
        <v>1810</v>
      </c>
      <c r="N239" s="1075"/>
      <c r="Q239" s="1042" t="s">
        <v>1776</v>
      </c>
      <c r="R239" s="1042" t="s">
        <v>1777</v>
      </c>
      <c r="AD239" s="1077"/>
      <c r="AE239" s="1077"/>
      <c r="AF239" s="1077"/>
      <c r="AG239" s="1077"/>
      <c r="AH239" s="1077"/>
      <c r="AI239" s="1077"/>
      <c r="AJ239" s="1077"/>
      <c r="AK239" s="1077"/>
      <c r="AL239" s="1077"/>
      <c r="AM239" s="1077"/>
      <c r="AN239" s="1077"/>
      <c r="AO239" s="1077"/>
    </row>
    <row r="240" spans="1:55" ht="15" customHeight="1" x14ac:dyDescent="0.3">
      <c r="A240" s="1063" t="s">
        <v>1299</v>
      </c>
      <c r="B240" s="1082" t="str">
        <f>IFERROR(IF(ISBLANK(B17),"",B17),"")</f>
        <v>Electricity</v>
      </c>
      <c r="C240" s="2688" t="str">
        <f>IFERROR(IF(ISBLANK($B240),"",VLOOKUP($B240,PO_Enrgy_1_Table,MATCH($C$16,PO_Enrgy_1_Hdr,0),FALSE) ),"")</f>
        <v>kWh</v>
      </c>
      <c r="D240" s="2689" t="e">
        <f>IF(C240="","",VLOOKUP(C240,ProjectEnergyTypeTable,3,FALSE))</f>
        <v>#NAME?</v>
      </c>
      <c r="E240" s="1161">
        <f ca="1">IFERROR(VLOOKUP($B240,PO_Enrgy_7_Table,MATCH($E$222,PO_Enrgy_7_Hdr,0),FALSE)+IF(PO_ShowExCalc=TRUE,VLOOKUP($B240,PO_Enrgy_3_Table,MATCH($G$61,PO_Enrgy_3_Hdr,0),FALSE),0),0)</f>
        <v>4665616.6550000003</v>
      </c>
      <c r="F240" s="1161">
        <f ca="1">IFERROR(VLOOKUP($B240,PO_Enrgy_7_Table,MATCH($F$222,PO_Enrgy_7_Hdr,0),FALSE)+IF(PO_ShowExCalc=TRUE,VLOOKUP($B240,PO_Enrgy_3_Table,MATCH($J$61,PO_Enrgy_3_Hdr,0),FALSE),0),0)</f>
        <v>14650.036296699998</v>
      </c>
      <c r="G240" s="1164">
        <f ca="1">IFERROR(VLOOKUP($B240,PO_Enrgy_7_Table,MATCH($G$222,PO_Enrgy_7_Hdr,0),FALSE)+IF(PO_ShowExCalc=TRUE,VLOOKUP($B240,PO_Enrgy_3_Table,MATCH($L$61,PO_Enrgy_3_Hdr,0),FALSE),0),0)</f>
        <v>396577.415675</v>
      </c>
      <c r="H240" s="1161">
        <f ca="1">IFERROR(VLOOKUP($B240,PO_Enrgy_7_Table,MATCH($H$222,PO_Enrgy_7_Hdr,0),FALSE)-IF(PO_ShowExCalc=TRUE,VLOOKUP($B240,PO_Enrgy_4_Table,MATCH($G$61,PO_Enrgy_3_Hdr,0),FALSE),0),0)</f>
        <v>4152607.72</v>
      </c>
      <c r="I240" s="1161">
        <f ca="1">IFERROR(VLOOKUP($B240,PO_Enrgy_7_Table,MATCH($I$222,PO_Enrgy_7_Hdr,0),FALSE)-IF(PO_ShowExCalc=TRUE,VLOOKUP($B240,PO_Enrgy_4_Table,MATCH($J$61,PO_Enrgy_3_Hdr,0),FALSE),0),0)</f>
        <v>13039.188240799998</v>
      </c>
      <c r="J240" s="1164">
        <f ca="1">IFERROR(VLOOKUP($B240,PO_Enrgy_7_Table,MATCH($J$222,PO_Enrgy_7_Hdr,0),FALSE)-IF(PO_ShowExCalc=TRUE,VLOOKUP($B240,PO_Enrgy_4_Table,MATCH($L$61,PO_Enrgy_3_Hdr,0),FALSE),0),0)</f>
        <v>352971.65620000003</v>
      </c>
      <c r="K240" s="2690">
        <f ca="1">IFERROR(1-H240/E240,"")</f>
        <v>0.10995522627222787</v>
      </c>
      <c r="L240" s="2691"/>
      <c r="M240" s="1163">
        <f ca="1">IFERROR(1-J240/G240,"")</f>
        <v>0.10995522627222787</v>
      </c>
      <c r="Q240" s="1296">
        <f>IFERROR(IF(ISBLANK($B240),"",VLOOKUP($B240,PO_Enrgy_1_Table,MATCH($K$16,PO_Enrgy_1_Hdr,0),FALSE)),"")</f>
        <v>9.999999999999998E-4</v>
      </c>
      <c r="R240" s="1296">
        <f>IFERROR(IF(ISBLANK($B240),"",VLOOKUP($B240,PO_Enrgy_1_Table,MATCH($M$16,PO_Enrgy_1_Hdr,0),FALSE)),"")</f>
        <v>3.1399999999999996E-3</v>
      </c>
      <c r="AD240" s="1079"/>
      <c r="AE240" s="1079"/>
      <c r="AF240" s="15"/>
      <c r="AG240" s="15"/>
      <c r="AH240" s="1084"/>
      <c r="AI240" s="1084"/>
      <c r="AJ240" s="1085"/>
      <c r="AK240" s="1085"/>
      <c r="AL240" s="15"/>
      <c r="AM240" s="1086"/>
      <c r="AN240" s="15"/>
      <c r="AO240" s="15"/>
      <c r="AP240" s="580"/>
      <c r="AQ240" s="580"/>
      <c r="BC240" s="1906"/>
    </row>
    <row r="241" spans="1:55" ht="15" customHeight="1" x14ac:dyDescent="0.3">
      <c r="A241" s="1063" t="s">
        <v>1299</v>
      </c>
      <c r="B241" s="1082" t="str">
        <f>IFERROR(IF(ISBLANK(B18),"",B18),"")</f>
        <v>Natural Gas</v>
      </c>
      <c r="C241" s="2688" t="str">
        <f>IFERROR(IF(ISBLANK($B241),"",VLOOKUP($B241,PO_Enrgy_1_Table,MATCH($C$16,PO_Enrgy_1_Hdr,0),FALSE) ),"")</f>
        <v>therm</v>
      </c>
      <c r="D241" s="2689" t="e">
        <f>IF(C241="","",VLOOKUP(C241,ProjectEnergyTypeTable,3,FALSE))</f>
        <v>#NAME?</v>
      </c>
      <c r="E241" s="1161">
        <f>IFERROR(VLOOKUP($B241,PO_Enrgy_7_Table,MATCH($E$222,PO_Enrgy_7_Hdr,0),FALSE)+IF(PO_ShowExCalc=TRUE,VLOOKUP($B241,PO_Enrgy_3_Table,MATCH($G$61,PO_Enrgy_3_Hdr,0),FALSE),0),0)</f>
        <v>0</v>
      </c>
      <c r="F241" s="1161">
        <f>IFERROR(VLOOKUP($B241,PO_Enrgy_7_Table,MATCH($F$222,PO_Enrgy_7_Hdr,0),FALSE)+IF(PO_ShowExCalc=TRUE,VLOOKUP($B241,PO_Enrgy_3_Table,MATCH($J$61,PO_Enrgy_3_Hdr,0),FALSE),0),0)</f>
        <v>0</v>
      </c>
      <c r="G241" s="1164">
        <f>IFERROR(VLOOKUP($B241,PO_Enrgy_7_Table,MATCH($G$222,PO_Enrgy_7_Hdr,0),FALSE)+IF(PO_ShowExCalc=TRUE,VLOOKUP($B241,PO_Enrgy_3_Table,MATCH($L$61,PO_Enrgy_3_Hdr,0),FALSE),0),0)</f>
        <v>0</v>
      </c>
      <c r="H241" s="1161">
        <f>IFERROR(VLOOKUP($B241,PO_Enrgy_7_Table,MATCH($H$222,PO_Enrgy_7_Hdr,0),FALSE)-IF(PO_ShowExCalc=TRUE,VLOOKUP($B241,PO_Enrgy_4_Table,MATCH($G$61,PO_Enrgy_3_Hdr,0),FALSE),0),0)</f>
        <v>0</v>
      </c>
      <c r="I241" s="1161">
        <f>IFERROR(VLOOKUP($B241,PO_Enrgy_7_Table,MATCH($I$222,PO_Enrgy_7_Hdr,0),FALSE)-IF(PO_ShowExCalc=TRUE,VLOOKUP($B241,PO_Enrgy_4_Table,MATCH($J$61,PO_Enrgy_3_Hdr,0),FALSE),0),0)</f>
        <v>0</v>
      </c>
      <c r="J241" s="1164">
        <f>IFERROR(VLOOKUP($B241,PO_Enrgy_7_Table,MATCH($J$222,PO_Enrgy_7_Hdr,0),FALSE)-IF(PO_ShowExCalc=TRUE,VLOOKUP($B241,PO_Enrgy_4_Table,MATCH($L$61,PO_Enrgy_3_Hdr,0),FALSE),0),0)</f>
        <v>0</v>
      </c>
      <c r="K241" s="2690" t="str">
        <f>IFERROR(1-H241/E241,"")</f>
        <v/>
      </c>
      <c r="L241" s="2691"/>
      <c r="M241" s="1163" t="str">
        <f>IFERROR(1-J241/G241,"")</f>
        <v/>
      </c>
      <c r="Q241" s="1296">
        <f>IFERROR(IF(ISBLANK($B241),"",VLOOKUP($B241,PO_Enrgy_1_Table,MATCH($K$16,PO_Enrgy_1_Hdr,0),FALSE)),"")</f>
        <v>2.9308323563892142E-2</v>
      </c>
      <c r="R241" s="1296">
        <f>IFERROR(IF(ISBLANK($B241),"",VLOOKUP($B241,PO_Enrgy_1_Table,MATCH($M$16,PO_Enrgy_1_Hdr,0),FALSE)),"")</f>
        <v>3.0773739742086751E-2</v>
      </c>
      <c r="AD241" s="1079"/>
      <c r="AE241" s="1079"/>
      <c r="AF241" s="15"/>
      <c r="AG241" s="15"/>
      <c r="AH241" s="1084"/>
      <c r="AI241" s="1084"/>
      <c r="AJ241" s="1085"/>
      <c r="AK241" s="1085"/>
      <c r="AL241" s="15"/>
      <c r="AM241" s="1086"/>
      <c r="AN241" s="15"/>
      <c r="AO241" s="15"/>
      <c r="AP241" s="580"/>
      <c r="AQ241" s="580"/>
      <c r="BC241" s="1906"/>
    </row>
    <row r="242" spans="1:55" ht="15" customHeight="1" x14ac:dyDescent="0.3">
      <c r="A242" s="1063" t="s">
        <v>1299</v>
      </c>
      <c r="B242" s="1082" t="str">
        <f>IFERROR(IF(ISBLANK(B19),"",B19),"")</f>
        <v>District Cooling</v>
      </c>
      <c r="C242" s="2688" t="str">
        <f>IFERROR(IF(ISBLANK($B242),"",VLOOKUP($B242,PO_Enrgy_1_Table,MATCH($C$16,PO_Enrgy_1_Hdr,0),FALSE) ),"")</f>
        <v>MWh</v>
      </c>
      <c r="D242" s="2689" t="e">
        <f>IF(C242="","",VLOOKUP(C242,ProjectEnergyTypeTable,3,FALSE))</f>
        <v>#NAME?</v>
      </c>
      <c r="E242" s="1161">
        <f>IFERROR(VLOOKUP($B242,PO_Enrgy_7_Table,MATCH($E$222,PO_Enrgy_7_Hdr,0),FALSE)+IF(PO_ShowExCalc=TRUE,VLOOKUP($B242,PO_Enrgy_3_Table,MATCH($G$61,PO_Enrgy_3_Hdr,0),FALSE),0),0)</f>
        <v>0</v>
      </c>
      <c r="F242" s="1161">
        <f>IFERROR(VLOOKUP($B242,PO_Enrgy_7_Table,MATCH($F$222,PO_Enrgy_7_Hdr,0),FALSE)+IF(PO_ShowExCalc=TRUE,VLOOKUP($B242,PO_Enrgy_3_Table,MATCH($J$61,PO_Enrgy_3_Hdr,0),FALSE),0),0)</f>
        <v>0</v>
      </c>
      <c r="G242" s="1164">
        <f>IFERROR(VLOOKUP($B242,PO_Enrgy_7_Table,MATCH($G$222,PO_Enrgy_7_Hdr,0),FALSE)+IF(PO_ShowExCalc=TRUE,VLOOKUP($B242,PO_Enrgy_3_Table,MATCH($L$61,PO_Enrgy_3_Hdr,0),FALSE),0),0)</f>
        <v>0</v>
      </c>
      <c r="H242" s="1161">
        <f>IFERROR(VLOOKUP($B242,PO_Enrgy_7_Table,MATCH($H$222,PO_Enrgy_7_Hdr,0),FALSE)-IF(PO_ShowExCalc=TRUE,VLOOKUP($B242,PO_Enrgy_4_Table,MATCH($G$61,PO_Enrgy_3_Hdr,0),FALSE),0),0)</f>
        <v>0</v>
      </c>
      <c r="I242" s="1161">
        <f>IFERROR(VLOOKUP($B242,PO_Enrgy_7_Table,MATCH($I$222,PO_Enrgy_7_Hdr,0),FALSE)-IF(PO_ShowExCalc=TRUE,VLOOKUP($B242,PO_Enrgy_4_Table,MATCH($J$61,PO_Enrgy_3_Hdr,0),FALSE),0),0)</f>
        <v>0</v>
      </c>
      <c r="J242" s="1164">
        <f>IFERROR(VLOOKUP($B242,PO_Enrgy_7_Table,MATCH($J$222,PO_Enrgy_7_Hdr,0),FALSE)-IF(PO_ShowExCalc=TRUE,VLOOKUP($B242,PO_Enrgy_4_Table,MATCH($L$61,PO_Enrgy_3_Hdr,0),FALSE),0),0)</f>
        <v>0</v>
      </c>
      <c r="K242" s="2690" t="str">
        <f>IFERROR(1-H242/E242,"")</f>
        <v/>
      </c>
      <c r="L242" s="2691"/>
      <c r="M242" s="1163" t="str">
        <f>IFERROR(1-J242/G242,"")</f>
        <v/>
      </c>
      <c r="Q242" s="1296">
        <f>IFERROR(IF(ISBLANK($B242),"",VLOOKUP($B242,PO_Enrgy_1_Table,MATCH($K$16,PO_Enrgy_1_Hdr,0),FALSE)),"")</f>
        <v>0.99999999999999989</v>
      </c>
      <c r="R242" s="1296">
        <f>IFERROR(IF(ISBLANK($B242),"",VLOOKUP($B242,PO_Enrgy_1_Table,MATCH($M$16,PO_Enrgy_1_Hdr,0),FALSE)),"")</f>
        <v>0.99999999999999989</v>
      </c>
      <c r="AD242" s="1079"/>
      <c r="AE242" s="1079"/>
      <c r="AF242" s="15"/>
      <c r="AG242" s="15"/>
      <c r="AH242" s="1084"/>
      <c r="AI242" s="1084"/>
      <c r="AJ242" s="1085"/>
      <c r="AK242" s="1085"/>
      <c r="AL242" s="15"/>
      <c r="AM242" s="1086"/>
      <c r="AN242" s="15"/>
      <c r="AO242" s="15"/>
      <c r="AP242" s="580"/>
      <c r="AQ242" s="580"/>
      <c r="BC242" s="1906"/>
    </row>
    <row r="243" spans="1:55" s="528" customFormat="1" ht="21" customHeight="1" x14ac:dyDescent="0.3">
      <c r="A243" s="1063" t="s">
        <v>1299</v>
      </c>
      <c r="B243" s="2693" t="str">
        <f>"Energy model subtotal (" &amp; PO_SiteUnits &amp; ")"</f>
        <v>Energy model subtotal (MWh)</v>
      </c>
      <c r="C243" s="2693"/>
      <c r="D243" s="2693"/>
      <c r="E243" s="1161">
        <f ca="1">IFERROR(SUMPRODUCT(INDEX(PO_Enrgy_9_Table,0,MATCH(E$239,PO_Enrgy_9_Hdr,0)),INDEX(PO_Enrgy_9_Table,0,MATCH($Q$239,PO_Enrgy_9_Hdr,0))),"")</f>
        <v>4665.6166549999989</v>
      </c>
      <c r="F243" s="1161">
        <f ca="1">IFERROR(SUM(INDEX(PO_Enrgy_9_Table,0,MATCH(F$239,PO_Enrgy_9_Hdr,0))),"")</f>
        <v>14650.036296699998</v>
      </c>
      <c r="G243" s="1164">
        <f ca="1">IFERROR(SUM(INDEX(PO_Enrgy_9_Table,0,MATCH(G$239,PO_Enrgy_9_Hdr,0))),"")</f>
        <v>396577.415675</v>
      </c>
      <c r="H243" s="1161">
        <f ca="1">IFERROR(SUMPRODUCT(INDEX(PO_Enrgy_9_Table,0,MATCH(H$239,PO_Enrgy_9_Hdr,0)),INDEX(PO_Enrgy_9_Table,0,MATCH($Q$239,PO_Enrgy_9_Hdr,0))),"")</f>
        <v>4152.6077199999991</v>
      </c>
      <c r="I243" s="1161">
        <f ca="1">IFERROR(SUM(INDEX(PO_Enrgy_9_Table,0,MATCH(I$239,PO_Enrgy_9_Hdr,0))),"")</f>
        <v>13039.188240799998</v>
      </c>
      <c r="J243" s="1164">
        <f ca="1">IFERROR(SUM(INDEX(PO_Enrgy_9_Table,0,MATCH(J$239,PO_Enrgy_9_Hdr,0))),"")</f>
        <v>352971.65620000003</v>
      </c>
      <c r="K243" s="2690">
        <f ca="1">IFERROR(1-H243/E243,"")</f>
        <v>0.10995522627222787</v>
      </c>
      <c r="L243" s="2691"/>
      <c r="M243" s="1163">
        <f ca="1">IFERROR(1-J243/G243,"")</f>
        <v>0.10995522627222787</v>
      </c>
      <c r="N243" s="502"/>
      <c r="O243" s="502"/>
      <c r="P243" s="502"/>
      <c r="AD243" s="15"/>
      <c r="AE243" s="15"/>
      <c r="AF243" s="15"/>
      <c r="AG243" s="15"/>
      <c r="AH243" s="1080"/>
      <c r="AI243" s="1081"/>
      <c r="AJ243" s="15"/>
      <c r="AK243" s="15"/>
      <c r="AL243" s="15"/>
      <c r="AM243" s="15"/>
      <c r="AN243" s="15"/>
      <c r="AO243" s="15"/>
      <c r="BC243" s="1906"/>
    </row>
    <row r="244" spans="1:55" s="528" customFormat="1" ht="33" customHeight="1" x14ac:dyDescent="0.3">
      <c r="A244" s="1063" t="s">
        <v>1299</v>
      </c>
      <c r="B244" s="1087"/>
      <c r="C244" s="1087"/>
      <c r="D244" s="1087"/>
      <c r="E244" s="1088"/>
      <c r="F244" s="1088"/>
      <c r="G244" s="1089"/>
      <c r="H244" s="1088"/>
      <c r="I244" s="1088"/>
      <c r="J244" s="1089"/>
      <c r="K244" s="1090"/>
      <c r="L244" s="1090"/>
      <c r="M244" s="1090"/>
      <c r="N244" s="502"/>
      <c r="O244" s="502"/>
      <c r="P244" s="502"/>
      <c r="AH244" s="550"/>
      <c r="AI244" s="551"/>
    </row>
    <row r="245" spans="1:55" ht="21" hidden="1" customHeight="1" x14ac:dyDescent="0.3">
      <c r="A245" s="1063" t="s">
        <v>1299</v>
      </c>
      <c r="B245" s="2694" t="s">
        <v>1122</v>
      </c>
      <c r="C245" s="2695"/>
      <c r="D245" s="2695"/>
      <c r="E245" s="2695"/>
      <c r="F245" s="2695"/>
      <c r="G245" s="2695"/>
      <c r="H245" s="2695"/>
      <c r="I245" s="2695"/>
      <c r="J245" s="2695"/>
      <c r="K245" s="2695"/>
      <c r="L245" s="2695"/>
      <c r="X245" s="15"/>
      <c r="Z245" s="550"/>
      <c r="AA245" s="551"/>
    </row>
    <row r="246" spans="1:55" ht="116.25" hidden="1" customHeight="1" x14ac:dyDescent="0.3">
      <c r="A246" s="1063" t="s">
        <v>1299</v>
      </c>
      <c r="B246" s="2696" t="s">
        <v>1195</v>
      </c>
      <c r="C246" s="2696"/>
      <c r="D246" s="2696"/>
      <c r="E246" s="2696"/>
      <c r="F246" s="2696"/>
      <c r="G246" s="2696"/>
      <c r="H246" s="2696"/>
      <c r="I246" s="2696"/>
      <c r="J246" s="2696"/>
      <c r="K246" s="2697"/>
      <c r="L246" s="2697"/>
      <c r="M246" s="2697"/>
      <c r="X246" s="15"/>
      <c r="Z246" s="550"/>
      <c r="AA246" s="551"/>
    </row>
    <row r="247" spans="1:55" ht="21" hidden="1" customHeight="1" x14ac:dyDescent="0.3">
      <c r="A247" s="1063" t="s">
        <v>1299</v>
      </c>
      <c r="B247" s="2698" t="s">
        <v>1814</v>
      </c>
      <c r="C247" s="2402" t="s">
        <v>1805</v>
      </c>
      <c r="D247" s="2699"/>
      <c r="E247" s="2700" t="s">
        <v>453</v>
      </c>
      <c r="F247" s="2698"/>
      <c r="G247" s="2698"/>
      <c r="H247" s="2700" t="s">
        <v>159</v>
      </c>
      <c r="I247" s="2698"/>
      <c r="J247" s="2698"/>
      <c r="K247" s="2701"/>
      <c r="L247" s="2702"/>
      <c r="M247" s="960"/>
      <c r="O247" s="580"/>
      <c r="AF247" s="15"/>
    </row>
    <row r="248" spans="1:55" ht="39.6" hidden="1" x14ac:dyDescent="0.3">
      <c r="A248" s="1063" t="s">
        <v>1299</v>
      </c>
      <c r="B248" s="2699"/>
      <c r="C248" s="2699"/>
      <c r="D248" s="2699"/>
      <c r="E248" s="1115" t="s">
        <v>1300</v>
      </c>
      <c r="F248" s="966" t="s">
        <v>1301</v>
      </c>
      <c r="G248" s="966" t="s">
        <v>446</v>
      </c>
      <c r="H248" s="1115" t="s">
        <v>1300</v>
      </c>
      <c r="I248" s="966" t="s">
        <v>1117</v>
      </c>
      <c r="J248" s="966" t="s">
        <v>446</v>
      </c>
      <c r="K248" s="578"/>
      <c r="L248" s="578"/>
      <c r="M248" s="960"/>
      <c r="AH248" s="15"/>
      <c r="AI248" s="15"/>
      <c r="AJ248" s="15"/>
      <c r="AK248" s="15"/>
    </row>
    <row r="249" spans="1:55" s="1076" customFormat="1" ht="14.4" hidden="1" x14ac:dyDescent="0.3">
      <c r="A249" s="1063" t="s">
        <v>1299</v>
      </c>
      <c r="B249" s="1091" t="s">
        <v>1765</v>
      </c>
      <c r="C249" s="1091" t="s">
        <v>1793</v>
      </c>
      <c r="D249" s="1091"/>
      <c r="E249" s="1092" t="s">
        <v>1815</v>
      </c>
      <c r="F249" s="1093" t="s">
        <v>1816</v>
      </c>
      <c r="G249" s="1093" t="s">
        <v>1817</v>
      </c>
      <c r="H249" s="1092" t="s">
        <v>1818</v>
      </c>
      <c r="I249" s="1093" t="s">
        <v>1819</v>
      </c>
      <c r="J249" s="1093" t="s">
        <v>1820</v>
      </c>
      <c r="K249" s="1094"/>
      <c r="L249" s="1094"/>
      <c r="U249" s="502" t="s">
        <v>1200</v>
      </c>
      <c r="V249" s="1095" t="s">
        <v>1202</v>
      </c>
      <c r="W249" s="1095" t="s">
        <v>1203</v>
      </c>
      <c r="AJ249" s="1077"/>
      <c r="AK249" s="1077"/>
    </row>
    <row r="250" spans="1:55" ht="17.25" hidden="1" customHeight="1" x14ac:dyDescent="0.3">
      <c r="A250" s="1063" t="s">
        <v>1299</v>
      </c>
      <c r="B250" s="2870" t="s">
        <v>347</v>
      </c>
      <c r="C250" s="2870"/>
      <c r="D250" s="2870"/>
      <c r="E250" s="1169"/>
      <c r="F250" s="1169"/>
      <c r="G250" s="1170"/>
      <c r="H250" s="1169"/>
      <c r="I250" s="1169"/>
      <c r="J250" s="1170"/>
      <c r="K250" s="720"/>
      <c r="L250" s="720"/>
      <c r="Q250" s="1042" t="s">
        <v>1776</v>
      </c>
      <c r="R250" s="1042" t="s">
        <v>1777</v>
      </c>
      <c r="V250" s="1096" t="str">
        <f>IFERROR(V252+V251,"")</f>
        <v/>
      </c>
      <c r="W250" s="1096" t="str">
        <f>IFERROR(W252+W251,"")</f>
        <v/>
      </c>
      <c r="AH250" s="15"/>
      <c r="AI250" s="15"/>
      <c r="AJ250" s="15"/>
      <c r="AK250" s="15"/>
      <c r="AL250" s="553"/>
      <c r="AM250" s="554"/>
    </row>
    <row r="251" spans="1:55" ht="18" hidden="1" customHeight="1" x14ac:dyDescent="0.3">
      <c r="A251" s="1063" t="s">
        <v>1299</v>
      </c>
      <c r="B251" s="1198" t="str">
        <f>IFERROR(IF(DESPath=3,"Electricity",""),"")</f>
        <v/>
      </c>
      <c r="C251" s="2688" t="str">
        <f>IFERROR(IF(ISBLANK($B251),"",VLOOKUP($B251,PO_Enrgy_1_Table,MATCH($C$16,PO_Enrgy_1_Hdr,0),FALSE) ),"")</f>
        <v/>
      </c>
      <c r="D251" s="2689" t="str">
        <f>IF(C251="","",VLOOKUP(C251,ProjectEnergyTypeTable,3,FALSE))</f>
        <v/>
      </c>
      <c r="E251" s="1171">
        <f>IFERROR(IF(AND(DESPath=3,DistrictCooling,$B$251="Electricity"),DESPath3_Cooling_COP,0),0)</f>
        <v>0</v>
      </c>
      <c r="F251" s="1172">
        <f>IFERROR(IF(DESPath=3,VLOOKUP("District Cooling",PO_Enrgy_9_Table,MATCH($E$239,PO_Enrgy_9_Hdr,0),FALSE)/$E251*VLOOKUP(VLOOKUP("District Cooling",PO_Enrgy_9_Table,MATCH($C$239,PO_Enrgy_9_Hdr,0),FALSE),EnergyUnitsTable,3,FALSE)/VLOOKUP($C251,EnergyUnitsTable,3,FALSE),0),0)</f>
        <v>0</v>
      </c>
      <c r="G251" s="1164">
        <f>IFERROR(F251*VLOOKUP($B251,PO_Enrgy_8_Table,MATCH($E$231,PO_Enrgy_8_Hdr,0),FALSE),0)</f>
        <v>0</v>
      </c>
      <c r="H251" s="1172">
        <f>IFERROR(IF(AND(DESPath=3,DistrictHeating,$B$251="Electricity"),DESPath3_Heating_eCOP,0),0)</f>
        <v>0</v>
      </c>
      <c r="I251" s="1172">
        <f>IF(DESPath = 3,IFERROR(VLOOKUP("District Hot Water",PO_Enrgy_9_Table,MATCH($E$239,PO_Enrgy_9_Hdr,0),FALSE)/$H251*VLOOKUP(VLOOKUP("District Hot Water",PO_Enrgy_9_Table,MATCH($C$239,PO_Enrgy_9_Hdr,0),FALSE),EnergyUnitsTable,3,FALSE)/VLOOKUP($C251,EnergyUnitsTable,3,FALSE),0)+IFERROR(VLOOKUP("District Steam",PO_Enrgy_9_Table,MATCH($E$239,PO_Enrgy_9_Hdr,0),FALSE)/$H251*VLOOKUP(VLOOKUP("District Steam",PO_Enrgy_9_Table,MATCH($C$239,PO_Enrgy_9_Hdr,0),FALSE),EnergyUnitsTable,3,FALSE)/VLOOKUP($C251,EnergyUnitsTable,3,FALSE),0),0)</f>
        <v>0</v>
      </c>
      <c r="J251" s="1164">
        <f>IFERROR(I251*VLOOKUP($B251,PO_Enrgy_8_Table,MATCH($E$231,PO_Enrgy_8_Hdr,0),FALSE),0)</f>
        <v>0</v>
      </c>
      <c r="K251" s="720"/>
      <c r="L251" s="720"/>
      <c r="M251" s="720"/>
      <c r="Q251" s="1043" t="str">
        <f>IFERROR(IF(ISBLANK($B251),"",VLOOKUP($B251,PO_Enrgy_1_Table,MATCH($K$16,PO_Enrgy_1_Hdr,0),FALSE)),"")</f>
        <v/>
      </c>
      <c r="R251" s="1043" t="str">
        <f>IFERROR(IF(ISBLANK($B251),"",VLOOKUP($B251,PO_Enrgy_1_Table,MATCH($M$16,PO_Enrgy_1_Hdr,0),FALSE)),"")</f>
        <v/>
      </c>
      <c r="U251" s="502" t="s">
        <v>1198</v>
      </c>
      <c r="V251" s="1097" t="str">
        <f>IFERROR(VLOOKUP($B251,PO_Enrgy_8_Table,MATCH($E$231,PO_Enrgy_8_Hdr,0),FALSE)/$E$251*VLOOKUP(VLOOKUP("District Cooling",PO_Enrgy_9_Table,MATCH($C$239,PO_Enrgy_9_Hdr,0),FALSE),EnergyUnitsTable,3,FALSE)/VLOOKUP($C251,EnergyUnitsTable,3,FALSE),"")</f>
        <v/>
      </c>
      <c r="W251" s="1097" t="str">
        <f>IFERROR(VLOOKUP($B251,PO_Enrgy_8_Table,MATCH($E$231,PO_Enrgy_8_Hdr,0),FALSE)/$H$251*(IFERROR(VLOOKUP(VLOOKUP("District Hot Water",PO_Enrgy_9_Table,MATCH($C$239,PO_Enrgy_9_Hdr,0),FALSE),EnergyUnitsTable,3,FALSE),1)+IFERROR(VLOOKUP(VLOOKUP("District Steam",PO_Enrgy_9_Table,MATCH($C$239,PO_Enrgy_9_Hdr,0),FALSE),EnergyUnitsTable,3,FALSE),1))/VLOOKUP($C251,EnergyUnitsTable,3,FALSE),"")</f>
        <v/>
      </c>
      <c r="AH251" s="1079"/>
      <c r="AI251" s="1079"/>
      <c r="AJ251" s="536"/>
      <c r="AK251" s="15"/>
      <c r="AL251" s="553"/>
      <c r="AM251" s="554"/>
      <c r="BC251" s="1906"/>
    </row>
    <row r="252" spans="1:55" ht="18" hidden="1" customHeight="1" x14ac:dyDescent="0.3">
      <c r="A252" s="1063" t="s">
        <v>1299</v>
      </c>
      <c r="B252" s="1120" t="str">
        <f>IFERROR(IF(DESPath=3,IF(MATCH("Natural Gas",PO_Enrgy_1_Index,0)&gt;0,"Natural Gas",IF(MATCH("Fuel Oil / Diesel",PO_Enrgy_1_Table,0)&gt;1,"Fuel Oil / Diesel","")),""),"")</f>
        <v/>
      </c>
      <c r="C252" s="2688" t="str">
        <f>IFERROR(IF(ISBLANK($B252),"",VLOOKUP($B252,PO_Enrgy_1_Table,MATCH($C$16,PO_Enrgy_1_Hdr,0),FALSE) ),"")</f>
        <v/>
      </c>
      <c r="D252" s="2689" t="str">
        <f>IF(C252="","",VLOOKUP(C252,ProjectEnergyTypeTable,3,FALSE))</f>
        <v/>
      </c>
      <c r="E252" s="1173"/>
      <c r="F252" s="1173"/>
      <c r="G252" s="1174"/>
      <c r="H252" s="1172">
        <f>IFERROR(IF(AND(DESPath=3,DistrictHeating,$B$251="Electricity"),DESPath3_Heating_fCOP,0),0)</f>
        <v>0</v>
      </c>
      <c r="I252" s="1172">
        <f>IF(DESPath = 3,IFERROR(VLOOKUP("District Hot Water",PO_Enrgy_9_Table,MATCH($E$239,PO_Enrgy_9_Hdr,0),FALSE)/$H252*VLOOKUP(VLOOKUP("District Hot Water",PO_Enrgy_9_Table,MATCH($C$239,PO_Enrgy_9_Hdr,0),FALSE),EnergyUnitsTable,3,FALSE)/VLOOKUP($C252,EnergyUnitsTable,3,FALSE),0)+IFERROR(VLOOKUP("District Steam",PO_Enrgy_9_Table,MATCH($E$239,PO_Enrgy_9_Hdr,0),FALSE)/$H252*VLOOKUP(VLOOKUP("District Steam",PO_Enrgy_9_Table,MATCH($C$239,PO_Enrgy_9_Hdr,0),FALSE),EnergyUnitsTable,3,FALSE)/VLOOKUP($C252,EnergyUnitsTable,3,FALSE),0),0)</f>
        <v>0</v>
      </c>
      <c r="J252" s="1164">
        <f>IFERROR(I252*VLOOKUP($B252,PO_Enrgy_8_Table,MATCH($E$231,PO_Enrgy_8_Hdr,0),FALSE),0)</f>
        <v>0</v>
      </c>
      <c r="K252" s="720"/>
      <c r="L252" s="720"/>
      <c r="M252" s="720"/>
      <c r="Q252" s="1043" t="str">
        <f>IFERROR(IF(ISBLANK($B252),"",VLOOKUP($B252,PO_Enrgy_1_Table,MATCH($K$16,PO_Enrgy_1_Hdr,0),FALSE)),"")</f>
        <v/>
      </c>
      <c r="R252" s="1043" t="str">
        <f>IFERROR(IF(ISBLANK($B252),"",VLOOKUP($B252,PO_Enrgy_1_Table,MATCH($M$16,PO_Enrgy_1_Hdr,0),FALSE)),"")</f>
        <v/>
      </c>
      <c r="U252" s="502" t="s">
        <v>1199</v>
      </c>
      <c r="V252" s="1097" t="str">
        <f>IFERROR(VLOOKUP($B252,PO_Enrgy_8_Table,MATCH($E$231,PO_Enrgy_8_Hdr,0),FALSE)/$E$251*VLOOKUP(VLOOKUP("District Cooling",PO_Enrgy_9_Table,MATCH($C$239,PO_Enrgy_9_Hdr,0),FALSE),EnergyUnitsTable,3,FALSE)/VLOOKUP($C252,EnergyUnitsTable,3,FALSE),"")</f>
        <v/>
      </c>
      <c r="W252" s="1097" t="str">
        <f>IFERROR(VLOOKUP($B252,PO_Enrgy_8_Table,MATCH($E$231,PO_Enrgy_8_Hdr,0),FALSE)/$H$251*(IFERROR(VLOOKUP(VLOOKUP("District Hot Water",PO_Enrgy_9_Table,MATCH($C$239,PO_Enrgy_9_Hdr,0),FALSE),EnergyUnitsTable,3,FALSE),1)+IFERROR(VLOOKUP(VLOOKUP("District Steam",PO_Enrgy_9_Table,MATCH($C$239,PO_Enrgy_9_Hdr,0),FALSE),EnergyUnitsTable,3,FALSE),1))/VLOOKUP($C252,EnergyUnitsTable,3,FALSE),"")</f>
        <v/>
      </c>
      <c r="AH252" s="1079"/>
      <c r="AI252" s="1079"/>
      <c r="AJ252" s="536"/>
      <c r="AK252" s="15"/>
      <c r="AL252" s="553"/>
      <c r="AM252" s="554"/>
      <c r="BC252" s="1906"/>
    </row>
    <row r="253" spans="1:55" s="1076" customFormat="1" ht="14.4" hidden="1" x14ac:dyDescent="0.3">
      <c r="A253" s="1063" t="s">
        <v>1299</v>
      </c>
      <c r="B253" s="1091" t="s">
        <v>1765</v>
      </c>
      <c r="C253" s="1091" t="s">
        <v>1793</v>
      </c>
      <c r="D253" s="1091"/>
      <c r="E253" s="1092" t="s">
        <v>1815</v>
      </c>
      <c r="F253" s="1093" t="s">
        <v>1816</v>
      </c>
      <c r="G253" s="1093" t="s">
        <v>1817</v>
      </c>
      <c r="H253" s="1092" t="s">
        <v>1818</v>
      </c>
      <c r="I253" s="1093" t="s">
        <v>1819</v>
      </c>
      <c r="J253" s="1093" t="s">
        <v>1820</v>
      </c>
      <c r="K253" s="1094"/>
      <c r="L253" s="1094"/>
      <c r="Q253" s="1042" t="s">
        <v>1776</v>
      </c>
      <c r="R253" s="1042" t="s">
        <v>1777</v>
      </c>
      <c r="V253" s="1095" t="s">
        <v>1202</v>
      </c>
      <c r="W253" s="1095" t="s">
        <v>1203</v>
      </c>
      <c r="AH253" s="1077"/>
      <c r="AI253" s="1077"/>
      <c r="AJ253" s="1077"/>
      <c r="AK253" s="1077"/>
    </row>
    <row r="254" spans="1:55" ht="17.25" hidden="1" customHeight="1" x14ac:dyDescent="0.3">
      <c r="A254" s="1063" t="s">
        <v>1299</v>
      </c>
      <c r="B254" s="2870" t="s">
        <v>348</v>
      </c>
      <c r="C254" s="2870"/>
      <c r="D254" s="2870"/>
      <c r="E254" s="1175"/>
      <c r="F254" s="1175"/>
      <c r="G254" s="1176"/>
      <c r="H254" s="1175"/>
      <c r="I254" s="1175"/>
      <c r="J254" s="1176"/>
      <c r="K254" s="720"/>
      <c r="L254" s="720"/>
      <c r="U254" s="502" t="s">
        <v>1201</v>
      </c>
      <c r="V254" s="1096" t="str">
        <f ca="1">IFERROR(V255+V256,"")</f>
        <v/>
      </c>
      <c r="W254" s="1096" t="str">
        <f ca="1">IFERROR(W255+W256,"")</f>
        <v/>
      </c>
      <c r="AI254" s="15"/>
      <c r="AJ254" s="15"/>
      <c r="AK254" s="15"/>
      <c r="AL254" s="553"/>
      <c r="AM254" s="554"/>
    </row>
    <row r="255" spans="1:55" ht="18" hidden="1" customHeight="1" x14ac:dyDescent="0.3">
      <c r="A255" s="1063" t="s">
        <v>1299</v>
      </c>
      <c r="B255" s="1177" t="str">
        <f>IFERROR(IF(ISBLANK(B17),"",B17),"")</f>
        <v>Electricity</v>
      </c>
      <c r="C255" s="2688" t="str">
        <f>IFERROR(IF(ISBLANK($B255),"",VLOOKUP($B255,PO_Enrgy_1_Table,MATCH($C$16,PO_Enrgy_1_Hdr,0),FALSE) ),"")</f>
        <v>kWh</v>
      </c>
      <c r="D255" s="2689" t="e">
        <f>IF(C255="","",VLOOKUP(C255,ProjectEnergyTypeTable,3,FALSE))</f>
        <v>#NAME?</v>
      </c>
      <c r="E255" s="1867"/>
      <c r="F255" s="1172">
        <f>IFERROR(IF(DESPath=3,VLOOKUP("District Cooling",PO_Enrgy_9_Table,MATCH($H$239,PO_Enrgy_9_Hdr,0),FALSE)/$E255*VLOOKUP(VLOOKUP("District Cooling",PO_Enrgy_9_Table,MATCH($C$239,PO_Enrgy_9_Hdr,0),FALSE),EnergyUnitsTable,3,FALSE)/VLOOKUP($C255,EnergyUnitsTable,3,FALSE),0),0)</f>
        <v>0</v>
      </c>
      <c r="G255" s="1164">
        <f ca="1">IFERROR(F255*VLOOKUP($B255,PO_Enrgy_8_Table,MATCH($H$231,PO_Enrgy_8_Hdr,0),FALSE),0)</f>
        <v>0</v>
      </c>
      <c r="H255" s="1868"/>
      <c r="I255" s="1172">
        <f>IF(DESPath = 3,IFERROR(VLOOKUP("District Hot Water",PO_Enrgy_9_Table,MATCH($H$239,PO_Enrgy_9_Hdr,0),FALSE)/$H255*VLOOKUP(VLOOKUP("District Hot Water",PO_Enrgy_9_Table,MATCH($C$239,PO_Enrgy_9_Hdr,0),FALSE),EnergyUnitsTable,3,FALSE)/VLOOKUP($C255,EnergyUnitsTable,3,FALSE),0)+IFERROR(VLOOKUP("District Steam",PO_Enrgy_9_Table,MATCH($H$239,PO_Enrgy_9_Hdr,0),FALSE)/$H255*VLOOKUP(VLOOKUP("District Steam",PO_Enrgy_9_Table,MATCH($C$239,PO_Enrgy_9_Hdr,0),FALSE),EnergyUnitsTable,3,FALSE)/VLOOKUP($C255,EnergyUnitsTable,3,FALSE),0),0)</f>
        <v>0</v>
      </c>
      <c r="J255" s="1164">
        <f ca="1">IFERROR(I255*VLOOKUP($B255,PO_Enrgy_8_Table,MATCH($H$231,PO_Enrgy_8_Hdr,0),FALSE),0)</f>
        <v>0</v>
      </c>
      <c r="K255" s="720"/>
      <c r="L255" s="720"/>
      <c r="M255" s="720"/>
      <c r="Q255" s="1043">
        <f>IFERROR(IF(ISBLANK($B255),"",VLOOKUP($B255,PO_Enrgy_1_Table,MATCH($K$16,PO_Enrgy_1_Hdr,0),FALSE)),"")</f>
        <v>9.999999999999998E-4</v>
      </c>
      <c r="R255" s="1043">
        <f>IFERROR(IF(ISBLANK($B255),"",VLOOKUP($B255,PO_Enrgy_1_Table,MATCH($M$16,PO_Enrgy_1_Hdr,0),FALSE)),"")</f>
        <v>3.1399999999999996E-3</v>
      </c>
      <c r="U255" s="502" t="s">
        <v>1198</v>
      </c>
      <c r="V255" s="1097" t="str">
        <f ca="1">IFERROR(VLOOKUP($B255,PO_Enrgy_8_Table,MATCH($H$231,PO_Enrgy_8_Hdr,0),FALSE)/$E$255*VLOOKUP(VLOOKUP("District Cooling",PO_Enrgy_9_Table,MATCH($C$239,PO_Enrgy_9_Hdr,0),FALSE),EnergyUnitsTable,3,FALSE)/VLOOKUP($C255,EnergyUnitsTable,3,FALSE),"")</f>
        <v/>
      </c>
      <c r="W255" s="1097" t="str">
        <f ca="1">IFERROR(VLOOKUP($B255,PO_Enrgy_8_Table,MATCH($H$231,PO_Enrgy_8_Hdr,0),FALSE)/$H$255*(IFERROR(VLOOKUP(VLOOKUP("District Hot Water",PO_Enrgy_9_Table,MATCH($C$239,PO_Enrgy_9_Hdr,0),FALSE),EnergyUnitsTable,3,FALSE),1)+IFERROR(VLOOKUP(VLOOKUP("District Steam",PO_Enrgy_9_Table,MATCH($C$239,PO_Enrgy_9_Hdr,0),FALSE),EnergyUnitsTable,3,FALSE),1))/VLOOKUP($C255,EnergyUnitsTable,3,FALSE),"")</f>
        <v/>
      </c>
      <c r="AH255" s="1079"/>
      <c r="AI255" s="1079"/>
      <c r="AJ255" s="536"/>
      <c r="AK255" s="15"/>
      <c r="AL255" s="553"/>
      <c r="AM255" s="554"/>
      <c r="BC255" s="1906"/>
    </row>
    <row r="256" spans="1:55" ht="18" hidden="1" customHeight="1" x14ac:dyDescent="0.3">
      <c r="A256" s="1063" t="s">
        <v>1299</v>
      </c>
      <c r="B256" s="1177" t="str">
        <f>IFERROR(IF(ISBLANK($B$252),"",$B$252),"")</f>
        <v/>
      </c>
      <c r="C256" s="2688" t="str">
        <f>IFERROR(IF(ISBLANK($B256),"",VLOOKUP($B256,PO_Enrgy_1_Table,MATCH($C$16,PO_Enrgy_1_Hdr,0),FALSE) ),"")</f>
        <v/>
      </c>
      <c r="D256" s="2689" t="str">
        <f>IF(C256="","",VLOOKUP(C256,ProjectEnergyTypeTable,3,FALSE))</f>
        <v/>
      </c>
      <c r="E256" s="1868"/>
      <c r="F256" s="1172">
        <f>IFERROR(IF(DESPath=3,VLOOKUP("District Cooling",PO_Enrgy_9_Table,MATCH($H$239,PO_Enrgy_9_Hdr,0),FALSE)/$E256*VLOOKUP(VLOOKUP("District Cooling",PO_Enrgy_9_Table,MATCH($C$239,PO_Enrgy_9_Hdr,0),FALSE),EnergyUnitsTable,3,FALSE)/VLOOKUP($C256,EnergyUnitsTable,3,FALSE),0),0)</f>
        <v>0</v>
      </c>
      <c r="G256" s="1164">
        <f>IFERROR(F256*VLOOKUP($B256,PO_Enrgy_8_Table,MATCH($H$231,PO_Enrgy_8_Hdr,0),FALSE),0)</f>
        <v>0</v>
      </c>
      <c r="H256" s="1869"/>
      <c r="I256" s="1172">
        <f>IF(DESPath = 3,IFERROR(VLOOKUP("District Hot Water",PO_Enrgy_9_Table,MATCH($H$239,PO_Enrgy_9_Hdr,0),FALSE)/$H256*VLOOKUP(VLOOKUP("District Hot Water",PO_Enrgy_9_Table,MATCH($C$239,PO_Enrgy_9_Hdr,0),FALSE),EnergyUnitsTable,3,FALSE)/VLOOKUP($C256,EnergyUnitsTable,3,FALSE),0)+IFERROR(VLOOKUP("District Steam",PO_Enrgy_9_Table,MATCH($H$239,PO_Enrgy_9_Hdr,0),FALSE)/$H256*VLOOKUP(VLOOKUP("District Steam",PO_Enrgy_9_Table,MATCH($C$239,PO_Enrgy_9_Hdr,0),FALSE),EnergyUnitsTable,3,FALSE)/VLOOKUP($C256,EnergyUnitsTable,3,FALSE),0),0)</f>
        <v>0</v>
      </c>
      <c r="J256" s="1164">
        <f>IFERROR(I256*VLOOKUP($B256,PO_Enrgy_8_Table,MATCH($H$231,PO_Enrgy_8_Hdr,0),FALSE),0)</f>
        <v>0</v>
      </c>
      <c r="K256" s="720"/>
      <c r="L256" s="720"/>
      <c r="M256" s="720"/>
      <c r="Q256" s="1043" t="str">
        <f>IFERROR(IF(ISBLANK($B256),"",VLOOKUP($B256,PO_Enrgy_1_Table,MATCH($K$16,PO_Enrgy_1_Hdr,0),FALSE)),"")</f>
        <v/>
      </c>
      <c r="R256" s="1043" t="str">
        <f>IFERROR(IF(ISBLANK($B256),"",VLOOKUP($B256,PO_Enrgy_1_Table,MATCH($M$16,PO_Enrgy_1_Hdr,0),FALSE)),"")</f>
        <v/>
      </c>
      <c r="U256" s="502" t="s">
        <v>1199</v>
      </c>
      <c r="V256" s="1097" t="str">
        <f>IFERROR(VLOOKUP($B256,PO_Enrgy_8_Table,MATCH($H$231,PO_Enrgy_8_Hdr,0),FALSE)/$E$255*VLOOKUP(VLOOKUP("District Cooling",PO_Enrgy_9_Table,MATCH($C$239,PO_Enrgy_9_Hdr,0),FALSE),EnergyUnitsTable,3,FALSE)/VLOOKUP($C256,EnergyUnitsTable,3,FALSE),"")</f>
        <v/>
      </c>
      <c r="W256" s="1097" t="str">
        <f>IFERROR(VLOOKUP($B256,PO_Enrgy_8_Table,MATCH($H$231,PO_Enrgy_8_Hdr,0),FALSE)/$H$255*(IFERROR(VLOOKUP(VLOOKUP("District Hot Water",PO_Enrgy_9_Table,MATCH($C$239,PO_Enrgy_9_Hdr,0),FALSE),EnergyUnitsTable,3,FALSE),1)+IFERROR(VLOOKUP(VLOOKUP("District Steam",PO_Enrgy_9_Table,MATCH($C$239,PO_Enrgy_9_Hdr,0),FALSE),EnergyUnitsTable,3,FALSE),1))/VLOOKUP($C256,EnergyUnitsTable,3,FALSE),"")</f>
        <v/>
      </c>
      <c r="AH256" s="1079"/>
      <c r="AI256" s="1079"/>
      <c r="AJ256" s="536"/>
      <c r="AK256" s="15"/>
      <c r="AL256" s="553" t="str">
        <f t="shared" ref="AL256" si="34">IFERROR(G256/E256,"")</f>
        <v/>
      </c>
      <c r="AM256" s="554" t="str">
        <f t="shared" ref="AM256" si="35">IFERROR(J256/H256,"")</f>
        <v/>
      </c>
      <c r="BC256" s="1906"/>
    </row>
    <row r="257" spans="1:55" s="528" customFormat="1" ht="1.95" hidden="1" customHeight="1" x14ac:dyDescent="0.3">
      <c r="A257" s="1063" t="s">
        <v>1299</v>
      </c>
      <c r="B257" s="1166"/>
      <c r="C257" s="1167"/>
      <c r="D257" s="1166"/>
      <c r="E257" s="1166"/>
      <c r="F257" s="1166"/>
      <c r="G257" s="1168"/>
      <c r="H257" s="1167"/>
      <c r="I257" s="1167" t="s">
        <v>1078</v>
      </c>
      <c r="J257" s="1166"/>
      <c r="K257" s="532"/>
      <c r="L257" s="532"/>
      <c r="M257" s="960"/>
      <c r="N257" s="502"/>
      <c r="O257" s="502"/>
      <c r="P257" s="502"/>
      <c r="AE257" s="589"/>
      <c r="AF257" s="589"/>
      <c r="AH257" s="15"/>
      <c r="AI257" s="15"/>
      <c r="AJ257" s="15"/>
      <c r="AK257" s="15"/>
    </row>
    <row r="258" spans="1:55" s="528" customFormat="1" ht="19.5" hidden="1" customHeight="1" x14ac:dyDescent="0.3">
      <c r="A258" s="1063" t="s">
        <v>1299</v>
      </c>
      <c r="B258" s="2702"/>
      <c r="C258" s="2702"/>
      <c r="D258" s="2702"/>
      <c r="E258" s="532"/>
      <c r="F258" s="532"/>
      <c r="G258" s="502"/>
      <c r="H258" s="578"/>
      <c r="I258" s="578"/>
      <c r="J258" s="577"/>
      <c r="K258" s="496"/>
      <c r="L258" s="496"/>
      <c r="M258" s="576"/>
      <c r="N258" s="502"/>
      <c r="O258" s="502"/>
      <c r="P258" s="502"/>
      <c r="AH258" s="15"/>
      <c r="AI258" s="15"/>
      <c r="AJ258" s="15"/>
      <c r="AK258" s="15"/>
      <c r="AL258" s="553"/>
      <c r="AM258" s="554"/>
    </row>
    <row r="259" spans="1:55" ht="60" hidden="1" customHeight="1" x14ac:dyDescent="0.3">
      <c r="A259" s="1063" t="s">
        <v>1299</v>
      </c>
      <c r="B259" s="2698" t="s">
        <v>444</v>
      </c>
      <c r="C259" s="2402" t="s">
        <v>1805</v>
      </c>
      <c r="D259" s="2699"/>
      <c r="E259" s="2767" t="s">
        <v>1302</v>
      </c>
      <c r="F259" s="2767"/>
      <c r="G259" s="2767"/>
      <c r="H259" s="2767" t="s">
        <v>1303</v>
      </c>
      <c r="I259" s="2767"/>
      <c r="J259" s="2767"/>
      <c r="K259" s="2722" t="s">
        <v>448</v>
      </c>
      <c r="L259" s="2767"/>
      <c r="M259" s="2461"/>
      <c r="N259" s="2832"/>
      <c r="O259" s="2832"/>
      <c r="P259" s="2832"/>
      <c r="AJ259" s="15"/>
      <c r="AL259" s="553"/>
      <c r="AM259" s="554"/>
    </row>
    <row r="260" spans="1:55" ht="48" hidden="1" customHeight="1" x14ac:dyDescent="0.3">
      <c r="A260" s="1063" t="s">
        <v>1299</v>
      </c>
      <c r="B260" s="2699"/>
      <c r="C260" s="2699"/>
      <c r="D260" s="2699"/>
      <c r="E260" s="1048" t="s">
        <v>1117</v>
      </c>
      <c r="F260" s="1049" t="str">
        <f>"Source Energy Use ("  &amp; PO_SourceUnits &amp; ")"</f>
        <v>Source Energy Use (MWh)</v>
      </c>
      <c r="G260" s="1048" t="s">
        <v>446</v>
      </c>
      <c r="H260" s="1048" t="s">
        <v>1117</v>
      </c>
      <c r="I260" s="1049" t="str">
        <f>"Source Energy Use ("  &amp; PO_SourceUnits &amp; ")"</f>
        <v>Source Energy Use (MWh)</v>
      </c>
      <c r="J260" s="1048" t="s">
        <v>446</v>
      </c>
      <c r="K260" s="2722" t="s">
        <v>447</v>
      </c>
      <c r="L260" s="2723"/>
      <c r="M260" s="1048" t="s">
        <v>446</v>
      </c>
      <c r="N260" s="578"/>
      <c r="O260" s="578"/>
      <c r="P260" s="578"/>
      <c r="AJ260" s="15"/>
    </row>
    <row r="261" spans="1:55" s="1076" customFormat="1" ht="14.4" hidden="1" x14ac:dyDescent="0.3">
      <c r="A261" s="1063" t="s">
        <v>1299</v>
      </c>
      <c r="B261" s="1099" t="s">
        <v>1765</v>
      </c>
      <c r="C261" s="1091" t="s">
        <v>1793</v>
      </c>
      <c r="D261" s="1099"/>
      <c r="E261" s="1100" t="s">
        <v>1821</v>
      </c>
      <c r="F261" s="1099" t="s">
        <v>1822</v>
      </c>
      <c r="G261" s="1100" t="s">
        <v>1823</v>
      </c>
      <c r="H261" s="1100" t="s">
        <v>1806</v>
      </c>
      <c r="I261" s="1099" t="s">
        <v>1807</v>
      </c>
      <c r="J261" s="1100" t="s">
        <v>1808</v>
      </c>
      <c r="K261" s="1100" t="s">
        <v>1824</v>
      </c>
      <c r="L261" s="1091"/>
      <c r="M261" s="1100" t="s">
        <v>1810</v>
      </c>
      <c r="N261" s="1094"/>
      <c r="O261" s="1094"/>
      <c r="P261" s="1094"/>
      <c r="Q261" s="1042" t="s">
        <v>1776</v>
      </c>
      <c r="R261" s="1042" t="s">
        <v>1777</v>
      </c>
      <c r="AJ261" s="1077"/>
    </row>
    <row r="262" spans="1:55" ht="15" hidden="1" customHeight="1" x14ac:dyDescent="0.3">
      <c r="A262" s="1063" t="s">
        <v>1299</v>
      </c>
      <c r="B262" s="1177" t="str">
        <f>IFERROR(IF(ISBLANK(B17),"",B17),"")</f>
        <v>Electricity</v>
      </c>
      <c r="C262" s="2688" t="str">
        <f>IFERROR(IF(ISBLANK($B262),"",VLOOKUP($B262,PO_Enrgy_1_Table,MATCH($C$16,PO_Enrgy_1_Hdr,0),FALSE) ),"")</f>
        <v>kWh</v>
      </c>
      <c r="D262" s="2689" t="e">
        <f>IF(C262="","",VLOOKUP(C262,ProjectEnergyTypeTable,3,FALSE))</f>
        <v>#NAME?</v>
      </c>
      <c r="E262" s="1180">
        <f ca="1">IFERROR(IFERROR(IFERROR(VLOOKUP($B262,PO_DESbase_Enrgy_Table,MATCH($F$249,PO_DESbase_Enrgy_Hdr,0),FALSE),0)+IFERROR(VLOOKUP($B262,PO_DESbase_Enrgy_Table,MATCH($I$249,PO_DESbase_Enrgy_Hdr,0),FALSE),0),0)+IF(OR(DESPath&lt;&gt;3,AND(B262&lt;&gt;"District Cooling",B262&lt;&gt;"District Hot Water",B262&lt;&gt;"District Steam")),VLOOKUP($B262,PO_Enrgy_9_Table,MATCH($E$239,PO_Enrgy_9_Hdr,0),FALSE),0),"")</f>
        <v>4665616.6550000003</v>
      </c>
      <c r="F262" s="1180">
        <f ca="1">IFERROR(E262*$R262,"")</f>
        <v>14650.036296699998</v>
      </c>
      <c r="G262" s="1164">
        <f ca="1">IFERROR(IFERROR(IFERROR(VLOOKUP($B262,PO_DESbase_Enrgy_Table,MATCH($G$249,PO_DESbase_Enrgy_Hdr,0),FALSE),0)+IFERROR(VLOOKUP($B262,PO_DESbase_Enrgy_Table,MATCH($J$249,PO_DESbase_Enrgy_Hdr,0),FALSE),0),0)+IF(OR(DESPath&lt;&gt;3,AND(B262&lt;&gt;"District Cooling",B262&lt;&gt;"District Hot Water",B262&lt;&gt;"District Steam")),VLOOKUP($B262,PO_Enrgy_9_Table,MATCH($G$239,PO_Enrgy_9_Hdr,0),FALSE),0),"")</f>
        <v>396577.415675</v>
      </c>
      <c r="H262" s="1180">
        <f ca="1">IFERROR(IFERROR(IFERROR(VLOOKUP($B262,PO_DESdesign_Enrgy_Table,MATCH($F$253,PO_DESdesign_Enrgy_Hdr,0),FALSE),0)+IFERROR(VLOOKUP($B262,PO_DESdesign_Enrgy_Table,MATCH($I$253,PO_DESdesign_Enrgy_Hdr,0),FALSE),0),0)+IF(OR(DESPath&lt;&gt;3,AND(B262&lt;&gt;"District Cooling",B262&lt;&gt;"District Hot Water",B262&lt;&gt;"District Steam")),VLOOKUP($B262,PO_Enrgy_9_Table,MATCH($H$239,PO_Enrgy_9_Hdr,0),FALSE),0),"")</f>
        <v>4152607.72</v>
      </c>
      <c r="I262" s="1180">
        <f ca="1">IFERROR(H262*$R262,"")</f>
        <v>13039.188240799998</v>
      </c>
      <c r="J262" s="1164">
        <f ca="1">IFERROR(IFERROR(IFERROR(VLOOKUP($B262,PO_DESdesign_Enrgy_Table,MATCH($G$253,PO_DESdesign_Enrgy_Hdr,0),FALSE),0)+IFERROR(VLOOKUP($B262,PO_DESdesign_Enrgy_Table,MATCH($J$253,PO_DESdesign_Enrgy_Hdr,0),FALSE),0),0)+IF(OR(DESPath&lt;&gt;3,AND(B262&lt;&gt;"District Cooling",B262&lt;&gt;"District Hot Water",B262&lt;&gt;"District Steam")),VLOOKUP($B262,PO_Enrgy_9_Table,MATCH($J$239,PO_Enrgy_9_Hdr,0),FALSE),0),"")</f>
        <v>352971.65620000003</v>
      </c>
      <c r="K262" s="2692">
        <f ca="1">IFERROR(1-H262/E262,"")</f>
        <v>0.10995522627222787</v>
      </c>
      <c r="L262" s="2691"/>
      <c r="M262" s="1360">
        <f ca="1">IFERROR(1-J262/G262,"")</f>
        <v>0.10995522627222787</v>
      </c>
      <c r="Q262" s="1043">
        <f>IFERROR(IF(ISBLANK($B262),"",VLOOKUP($B262,PO_Enrgy_1_Table,MATCH($K$16,PO_Enrgy_1_Hdr,0),FALSE)),"")</f>
        <v>9.999999999999998E-4</v>
      </c>
      <c r="R262" s="1043">
        <f>IFERROR(IF(ISBLANK($B262),"",VLOOKUP($B262,PO_Enrgy_1_Table,MATCH($M$16,PO_Enrgy_1_Hdr,0),FALSE)),"")</f>
        <v>3.1399999999999996E-3</v>
      </c>
      <c r="AH262" s="546"/>
      <c r="AI262" s="546"/>
      <c r="AJ262" s="536"/>
      <c r="AL262" s="553"/>
      <c r="AM262" s="554"/>
      <c r="AR262" s="537"/>
      <c r="BC262" s="1906"/>
    </row>
    <row r="263" spans="1:55" ht="15" hidden="1" customHeight="1" x14ac:dyDescent="0.3">
      <c r="A263" s="1063" t="s">
        <v>1299</v>
      </c>
      <c r="B263" s="1177" t="str">
        <f>IFERROR(IF(ISBLANK(B18),"",B18),"")</f>
        <v>Natural Gas</v>
      </c>
      <c r="C263" s="2688" t="str">
        <f>IFERROR(IF(ISBLANK($B263),"",VLOOKUP($B263,PO_Enrgy_1_Table,MATCH($C$16,PO_Enrgy_1_Hdr,0),FALSE) ),"")</f>
        <v>therm</v>
      </c>
      <c r="D263" s="2689" t="e">
        <f>IF(C263="","",VLOOKUP(C263,ProjectEnergyTypeTable,3,FALSE))</f>
        <v>#NAME?</v>
      </c>
      <c r="E263" s="1180">
        <f>IFERROR(IFERROR(IFERROR(VLOOKUP($B263,PO_DESbase_Enrgy_Table,MATCH($F$249,PO_DESbase_Enrgy_Hdr,0),FALSE),0)+IFERROR(VLOOKUP($B263,PO_DESbase_Enrgy_Table,MATCH($I$249,PO_DESbase_Enrgy_Hdr,0),FALSE),0),0)+IF(OR(DESPath&lt;&gt;3,AND(B263&lt;&gt;"District Cooling",B263&lt;&gt;"District Hot Water",B263&lt;&gt;"District Steam")),VLOOKUP($B263,PO_Enrgy_9_Table,MATCH($E$239,PO_Enrgy_9_Hdr,0),FALSE),0),"")</f>
        <v>0</v>
      </c>
      <c r="F263" s="1180">
        <f>IFERROR(E263*$R263,"")</f>
        <v>0</v>
      </c>
      <c r="G263" s="1164">
        <f>IFERROR(IFERROR(IFERROR(VLOOKUP($B263,PO_DESbase_Enrgy_Table,MATCH($G$249,PO_DESbase_Enrgy_Hdr,0),FALSE),0)+IFERROR(VLOOKUP($B263,PO_DESbase_Enrgy_Table,MATCH($J$249,PO_DESbase_Enrgy_Hdr,0),FALSE),0),0)+IF(OR(DESPath&lt;&gt;3,AND(B263&lt;&gt;"District Cooling",B263&lt;&gt;"District Hot Water",B263&lt;&gt;"District Steam")),VLOOKUP($B263,PO_Enrgy_9_Table,MATCH($G$239,PO_Enrgy_9_Hdr,0),FALSE),0),"")</f>
        <v>0</v>
      </c>
      <c r="H263" s="1180">
        <f>IFERROR(IFERROR(IFERROR(VLOOKUP($B263,PO_DESdesign_Enrgy_Table,MATCH($F$253,PO_DESdesign_Enrgy_Hdr,0),FALSE),0)+IFERROR(VLOOKUP($B263,PO_DESdesign_Enrgy_Table,MATCH($I$253,PO_DESdesign_Enrgy_Hdr,0),FALSE),0),0)+IF(OR(DESPath&lt;&gt;3,AND(B263&lt;&gt;"District Cooling",B263&lt;&gt;"District Hot Water",B263&lt;&gt;"District Steam")),VLOOKUP($B263,PO_Enrgy_9_Table,MATCH($H$239,PO_Enrgy_9_Hdr,0),FALSE),0),"")</f>
        <v>0</v>
      </c>
      <c r="I263" s="1180">
        <f>IFERROR(H263*$R263,"")</f>
        <v>0</v>
      </c>
      <c r="J263" s="1164">
        <f>IFERROR(IFERROR(IFERROR(VLOOKUP($B263,PO_DESdesign_Enrgy_Table,MATCH($G$253,PO_DESdesign_Enrgy_Hdr,0),FALSE),0)+IFERROR(VLOOKUP($B263,PO_DESdesign_Enrgy_Table,MATCH($J$253,PO_DESdesign_Enrgy_Hdr,0),FALSE),0),0)+IF(OR(DESPath&lt;&gt;3,AND(B263&lt;&gt;"District Cooling",B263&lt;&gt;"District Hot Water",B263&lt;&gt;"District Steam")),VLOOKUP($B263,PO_Enrgy_9_Table,MATCH($J$239,PO_Enrgy_9_Hdr,0),FALSE),0),"")</f>
        <v>0</v>
      </c>
      <c r="K263" s="2692" t="str">
        <f>IFERROR(1-H263/E263,"")</f>
        <v/>
      </c>
      <c r="L263" s="2691"/>
      <c r="M263" s="1360" t="str">
        <f>IFERROR(1-J263/G263,"")</f>
        <v/>
      </c>
      <c r="Q263" s="1043">
        <f>IFERROR(IF(ISBLANK($B263),"",VLOOKUP($B263,PO_Enrgy_1_Table,MATCH($K$16,PO_Enrgy_1_Hdr,0),FALSE)),"")</f>
        <v>2.9308323563892142E-2</v>
      </c>
      <c r="R263" s="1043">
        <f>IFERROR(IF(ISBLANK($B263),"",VLOOKUP($B263,PO_Enrgy_1_Table,MATCH($M$16,PO_Enrgy_1_Hdr,0),FALSE)),"")</f>
        <v>3.0773739742086751E-2</v>
      </c>
      <c r="AH263" s="546"/>
      <c r="AI263" s="546"/>
      <c r="AJ263" s="536"/>
      <c r="AL263" s="553"/>
      <c r="AM263" s="554"/>
      <c r="AR263" s="537"/>
      <c r="BC263" s="1906"/>
    </row>
    <row r="264" spans="1:55" ht="15" hidden="1" customHeight="1" x14ac:dyDescent="0.3">
      <c r="A264" s="1063" t="s">
        <v>1299</v>
      </c>
      <c r="B264" s="1177" t="str">
        <f>IFERROR(IF(ISBLANK(B19),"",B19),"")</f>
        <v>District Cooling</v>
      </c>
      <c r="C264" s="2688" t="str">
        <f>IFERROR(IF(ISBLANK($B264),"",VLOOKUP($B264,PO_Enrgy_1_Table,MATCH($C$16,PO_Enrgy_1_Hdr,0),FALSE) ),"")</f>
        <v>MWh</v>
      </c>
      <c r="D264" s="2689" t="e">
        <f>IF(C264="","",VLOOKUP(C264,ProjectEnergyTypeTable,3,FALSE))</f>
        <v>#NAME?</v>
      </c>
      <c r="E264" s="1180">
        <f>IFERROR(IFERROR(IFERROR(VLOOKUP($B264,PO_DESbase_Enrgy_Table,MATCH($F$249,PO_DESbase_Enrgy_Hdr,0),FALSE),0)+IFERROR(VLOOKUP($B264,PO_DESbase_Enrgy_Table,MATCH($I$249,PO_DESbase_Enrgy_Hdr,0),FALSE),0),0)+IF(OR(DESPath&lt;&gt;3,AND(B264&lt;&gt;"District Cooling",B264&lt;&gt;"District Hot Water",B264&lt;&gt;"District Steam")),VLOOKUP($B264,PO_Enrgy_9_Table,MATCH($E$239,PO_Enrgy_9_Hdr,0),FALSE),0),"")</f>
        <v>0</v>
      </c>
      <c r="F264" s="1180">
        <f>IFERROR(E264*$R264,"")</f>
        <v>0</v>
      </c>
      <c r="G264" s="1164">
        <f>IFERROR(IFERROR(IFERROR(VLOOKUP($B264,PO_DESbase_Enrgy_Table,MATCH($G$249,PO_DESbase_Enrgy_Hdr,0),FALSE),0)+IFERROR(VLOOKUP($B264,PO_DESbase_Enrgy_Table,MATCH($J$249,PO_DESbase_Enrgy_Hdr,0),FALSE),0),0)+IF(OR(DESPath&lt;&gt;3,AND(B264&lt;&gt;"District Cooling",B264&lt;&gt;"District Hot Water",B264&lt;&gt;"District Steam")),VLOOKUP($B264,PO_Enrgy_9_Table,MATCH($G$239,PO_Enrgy_9_Hdr,0),FALSE),0),"")</f>
        <v>0</v>
      </c>
      <c r="H264" s="1180">
        <f>IFERROR(IFERROR(IFERROR(VLOOKUP($B264,PO_DESdesign_Enrgy_Table,MATCH($F$253,PO_DESdesign_Enrgy_Hdr,0),FALSE),0)+IFERROR(VLOOKUP($B264,PO_DESdesign_Enrgy_Table,MATCH($I$253,PO_DESdesign_Enrgy_Hdr,0),FALSE),0),0)+IF(OR(DESPath&lt;&gt;3,AND(B264&lt;&gt;"District Cooling",B264&lt;&gt;"District Hot Water",B264&lt;&gt;"District Steam")),VLOOKUP($B264,PO_Enrgy_9_Table,MATCH($H$239,PO_Enrgy_9_Hdr,0),FALSE),0),"")</f>
        <v>0</v>
      </c>
      <c r="I264" s="1180">
        <f>IFERROR(H264*$R264,"")</f>
        <v>0</v>
      </c>
      <c r="J264" s="1164">
        <f>IFERROR(IFERROR(IFERROR(VLOOKUP($B264,PO_DESdesign_Enrgy_Table,MATCH($G$253,PO_DESdesign_Enrgy_Hdr,0),FALSE),0)+IFERROR(VLOOKUP($B264,PO_DESdesign_Enrgy_Table,MATCH($J$253,PO_DESdesign_Enrgy_Hdr,0),FALSE),0),0)+IF(OR(DESPath&lt;&gt;3,AND(B264&lt;&gt;"District Cooling",B264&lt;&gt;"District Hot Water",B264&lt;&gt;"District Steam")),VLOOKUP($B264,PO_Enrgy_9_Table,MATCH($J$239,PO_Enrgy_9_Hdr,0),FALSE),0),"")</f>
        <v>0</v>
      </c>
      <c r="K264" s="2692" t="str">
        <f>IFERROR(1-H264/E264,"")</f>
        <v/>
      </c>
      <c r="L264" s="2691"/>
      <c r="M264" s="1360" t="str">
        <f>IFERROR(1-J264/G264,"")</f>
        <v/>
      </c>
      <c r="Q264" s="1043">
        <f>IFERROR(IF(ISBLANK($B264),"",VLOOKUP($B264,PO_Enrgy_1_Table,MATCH($K$16,PO_Enrgy_1_Hdr,0),FALSE)),"")</f>
        <v>0.99999999999999989</v>
      </c>
      <c r="R264" s="1043">
        <f>IFERROR(IF(ISBLANK($B264),"",VLOOKUP($B264,PO_Enrgy_1_Table,MATCH($M$16,PO_Enrgy_1_Hdr,0),FALSE)),"")</f>
        <v>0.99999999999999989</v>
      </c>
      <c r="AH264" s="546"/>
      <c r="AI264" s="546"/>
      <c r="AJ264" s="536"/>
      <c r="AL264" s="553"/>
      <c r="AM264" s="554"/>
      <c r="AR264" s="537"/>
      <c r="BC264" s="1906"/>
    </row>
    <row r="265" spans="1:55" s="528" customFormat="1" ht="21" hidden="1" customHeight="1" x14ac:dyDescent="0.3">
      <c r="A265" s="1063" t="s">
        <v>1299</v>
      </c>
      <c r="B265" s="2693" t="str">
        <f>"Energy Model Subtotal (" &amp; PO_SiteUnits &amp; ")"</f>
        <v>Energy Model Subtotal (MWh)</v>
      </c>
      <c r="C265" s="2693"/>
      <c r="D265" s="2693"/>
      <c r="E265" s="1161">
        <f ca="1">IFERROR(SUMPRODUCT(INDEX(PO_Enrgy_10_Table,0,MATCH(E$261,PO_Enrgy_10_Hdr,0)),INDEX(PO_Enrgy_10_Table,0,MATCH($Q$261,PO_Enrgy_10_Hdr,0))),"")</f>
        <v>4665.6166549999989</v>
      </c>
      <c r="F265" s="1161">
        <f ca="1">IFERROR(SUM(INDEX(PO_Enrgy_10_Table,0,MATCH(F$261,PO_Enrgy_10_Hdr,0))),"")</f>
        <v>14650.036296699998</v>
      </c>
      <c r="G265" s="1164">
        <f ca="1">IFERROR(SUM(INDEX(PO_Enrgy_10_Table,0,MATCH(G$261,PO_Enrgy_10_Hdr,0))),"")</f>
        <v>396577.415675</v>
      </c>
      <c r="H265" s="1161">
        <f ca="1">IFERROR(SUMPRODUCT(INDEX(PO_Enrgy_10_Table,0,MATCH(H$261,PO_Enrgy_10_Hdr,0)),INDEX(PO_Enrgy_10_Table,0,MATCH($Q$261,PO_Enrgy_10_Hdr,0))),"")</f>
        <v>4152.6077199999991</v>
      </c>
      <c r="I265" s="1161">
        <f ca="1">IFERROR(SUM(INDEX(PO_Enrgy_10_Table,0,MATCH(I$261,PO_Enrgy_10_Hdr,0))),"")</f>
        <v>13039.188240799998</v>
      </c>
      <c r="J265" s="1164">
        <f ca="1">IFERROR(SUM(INDEX(PO_Enrgy_10_Table,0,MATCH(J$261,PO_Enrgy_10_Hdr,0))),"")</f>
        <v>352971.65620000003</v>
      </c>
      <c r="K265" s="2690">
        <f ca="1">IFERROR(1-H265/E265,"")</f>
        <v>0.10995522627222787</v>
      </c>
      <c r="L265" s="2691"/>
      <c r="M265" s="1163">
        <f ca="1">IFERROR(1-J265/G265,"")</f>
        <v>0.10995522627222787</v>
      </c>
      <c r="N265" s="502"/>
      <c r="O265" s="502"/>
      <c r="P265" s="502"/>
      <c r="AJ265" s="15"/>
      <c r="AL265" s="553"/>
      <c r="AM265" s="554"/>
      <c r="BC265" s="1906"/>
    </row>
    <row r="266" spans="1:55" s="528" customFormat="1" ht="33" hidden="1" customHeight="1" x14ac:dyDescent="0.3">
      <c r="A266" s="1063" t="s">
        <v>1299</v>
      </c>
      <c r="B266" s="2702"/>
      <c r="C266" s="2702"/>
      <c r="D266" s="2702"/>
      <c r="E266" s="1178"/>
      <c r="F266" s="1179"/>
      <c r="G266" s="1178"/>
      <c r="H266" s="1178"/>
      <c r="I266" s="1178"/>
      <c r="J266" s="502"/>
      <c r="K266" s="496"/>
      <c r="L266" s="496"/>
      <c r="M266" s="576"/>
      <c r="N266" s="502"/>
      <c r="O266" s="502"/>
      <c r="P266" s="502"/>
      <c r="AJ266" s="15"/>
      <c r="AL266" s="553"/>
      <c r="AM266" s="554"/>
    </row>
    <row r="267" spans="1:55" ht="21.75" hidden="1" customHeight="1" x14ac:dyDescent="0.3">
      <c r="A267" s="1063" t="s">
        <v>1299</v>
      </c>
      <c r="B267" s="625" t="s">
        <v>1123</v>
      </c>
      <c r="AL267" s="572"/>
      <c r="AM267" s="573"/>
    </row>
    <row r="268" spans="1:55" s="528" customFormat="1" ht="76.5" hidden="1" customHeight="1" x14ac:dyDescent="0.3">
      <c r="A268" s="1063" t="s">
        <v>1299</v>
      </c>
      <c r="B268" s="2697" t="str">
        <f>CONCATENATE("Startup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 Also upload simulation outputs and performance rating method calculations with and without the exceptional calculation methods for both Startup IT Loads, and the full buildout IT loads.","
",IF(DESPath=3," Note: The calculations using DES Path 3 must be performed manually for the Startup IT Load method, and supplemental documentation uploaded for the project must show these calculations.",""))</f>
        <v xml:space="preserv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Also upload simulation outputs and performance rating method calculations with and without the exceptional calculation methods for both Startup IT Loads, and the full buildout IT loads.
</v>
      </c>
      <c r="C268" s="2697"/>
      <c r="D268" s="2697"/>
      <c r="E268" s="2697"/>
      <c r="F268" s="2697"/>
      <c r="G268" s="2697"/>
      <c r="H268" s="2697"/>
      <c r="I268" s="2697"/>
      <c r="J268" s="2697"/>
      <c r="K268" s="2697"/>
      <c r="L268" s="2697"/>
      <c r="M268" s="2697"/>
      <c r="N268" s="502"/>
      <c r="O268" s="502"/>
      <c r="P268" s="502"/>
      <c r="AL268" s="553"/>
      <c r="AM268" s="554"/>
    </row>
    <row r="269" spans="1:55" ht="21.75" hidden="1" customHeight="1" x14ac:dyDescent="0.3">
      <c r="A269" s="1063" t="s">
        <v>1299</v>
      </c>
      <c r="B269" s="957" t="s">
        <v>1304</v>
      </c>
      <c r="AL269" s="572"/>
      <c r="AM269" s="573"/>
    </row>
    <row r="270" spans="1:55" ht="32.25" hidden="1" customHeight="1" x14ac:dyDescent="0.3">
      <c r="A270" s="1063" t="s">
        <v>1299</v>
      </c>
      <c r="B270" s="2698" t="s">
        <v>444</v>
      </c>
      <c r="C270" s="2402" t="s">
        <v>1805</v>
      </c>
      <c r="D270" s="2699"/>
      <c r="E270" s="2698" t="s">
        <v>1271</v>
      </c>
      <c r="F270" s="2698"/>
      <c r="G270" s="2698"/>
      <c r="H270" s="2700" t="s">
        <v>1172</v>
      </c>
      <c r="I270" s="2698"/>
      <c r="J270" s="2698"/>
      <c r="K270" s="2700" t="s">
        <v>448</v>
      </c>
      <c r="L270" s="2700"/>
      <c r="M270" s="2700"/>
      <c r="N270" s="2832"/>
      <c r="O270" s="2832"/>
      <c r="P270" s="2832"/>
      <c r="AJ270" s="15"/>
      <c r="AL270" s="550"/>
      <c r="AM270" s="551"/>
    </row>
    <row r="271" spans="1:55" ht="48" hidden="1" customHeight="1" x14ac:dyDescent="0.3">
      <c r="A271" s="1063" t="s">
        <v>1299</v>
      </c>
      <c r="B271" s="2699"/>
      <c r="C271" s="2699"/>
      <c r="D271" s="2699"/>
      <c r="E271" s="966" t="s">
        <v>1117</v>
      </c>
      <c r="F271" s="1115" t="str">
        <f>"Source Energy Use ("  &amp; PO_SourceUnits &amp; ")"</f>
        <v>Source Energy Use (MWh)</v>
      </c>
      <c r="G271" s="966" t="s">
        <v>446</v>
      </c>
      <c r="H271" s="966" t="s">
        <v>1117</v>
      </c>
      <c r="I271" s="1115" t="str">
        <f>"Source Energy Use ("  &amp; PO_SourceUnits &amp; ")"</f>
        <v>Source Energy Use (MWh)</v>
      </c>
      <c r="J271" s="966" t="s">
        <v>446</v>
      </c>
      <c r="K271" s="2700" t="s">
        <v>447</v>
      </c>
      <c r="L271" s="2835"/>
      <c r="M271" s="966" t="s">
        <v>446</v>
      </c>
      <c r="N271" s="578"/>
      <c r="O271" s="578"/>
      <c r="P271" s="578"/>
      <c r="AJ271" s="15"/>
    </row>
    <row r="272" spans="1:55" s="1076" customFormat="1" ht="14.4" hidden="1" x14ac:dyDescent="0.3">
      <c r="A272" s="1063" t="s">
        <v>1299</v>
      </c>
      <c r="B272" s="1099" t="s">
        <v>1765</v>
      </c>
      <c r="C272" s="1091" t="s">
        <v>1793</v>
      </c>
      <c r="D272" s="1099"/>
      <c r="E272" s="1100" t="s">
        <v>1821</v>
      </c>
      <c r="F272" s="1099" t="s">
        <v>1822</v>
      </c>
      <c r="G272" s="1100" t="s">
        <v>1823</v>
      </c>
      <c r="H272" s="1100" t="s">
        <v>1806</v>
      </c>
      <c r="I272" s="1099" t="s">
        <v>1807</v>
      </c>
      <c r="J272" s="1100" t="s">
        <v>1808</v>
      </c>
      <c r="K272" s="1100" t="s">
        <v>1824</v>
      </c>
      <c r="L272" s="1091"/>
      <c r="M272" s="1100" t="s">
        <v>1810</v>
      </c>
      <c r="N272" s="1094"/>
      <c r="O272" s="1094"/>
      <c r="P272" s="1094"/>
      <c r="Q272" s="1042" t="s">
        <v>1776</v>
      </c>
      <c r="R272" s="1042" t="s">
        <v>1777</v>
      </c>
      <c r="AJ272" s="1077"/>
    </row>
    <row r="273" spans="1:40" ht="15" hidden="1" customHeight="1" x14ac:dyDescent="0.3">
      <c r="A273" s="1063" t="s">
        <v>1299</v>
      </c>
      <c r="B273" s="1177" t="str">
        <f>IFERROR(IF(ISBLANK(B17),"",B17),"")</f>
        <v>Electricity</v>
      </c>
      <c r="C273" s="2688" t="str">
        <f>IFERROR(IF(ISBLANK($B273),"",VLOOKUP($B273,PO_Enrgy_1_Table,MATCH($C$16,PO_Enrgy_1_Hdr,0),FALSE) ),"")</f>
        <v>kWh</v>
      </c>
      <c r="D273" s="2689" t="e">
        <f>IF(C273="","",VLOOKUP(C273,ProjectEnergyTypeTable,3,FALSE))</f>
        <v>#NAME?</v>
      </c>
      <c r="E273" s="1181"/>
      <c r="F273" s="1199">
        <f>IFERROR(E273*$Q273,"")</f>
        <v>0</v>
      </c>
      <c r="G273" s="1078"/>
      <c r="H273" s="1181"/>
      <c r="I273" s="1199">
        <f>IFERROR(H273*$Q273,"")</f>
        <v>0</v>
      </c>
      <c r="J273" s="1078"/>
      <c r="K273" s="2692" t="str">
        <f>IFERROR(1-H273/E273,"")</f>
        <v/>
      </c>
      <c r="L273" s="2691"/>
      <c r="M273" s="1360" t="str">
        <f>IFERROR(1-J273/G273,"")</f>
        <v/>
      </c>
      <c r="Q273" s="1043">
        <f>IFERROR(IF(ISBLANK($B273),"",VLOOKUP($B273,PO_Enrgy_1_Table,MATCH($K$16,PO_Enrgy_1_Hdr,0),FALSE)),"")</f>
        <v>9.999999999999998E-4</v>
      </c>
      <c r="R273" s="1043">
        <f>IFERROR(IF(ISBLANK($B273),"",VLOOKUP($B273,PO_Enrgy_1_Table,MATCH($M$16,PO_Enrgy_1_Hdr,0),FALSE)),"")</f>
        <v>3.1399999999999996E-3</v>
      </c>
      <c r="AH273" s="546"/>
      <c r="AI273" s="546"/>
      <c r="AJ273" s="15"/>
      <c r="AL273" s="550"/>
      <c r="AM273" s="551"/>
      <c r="AN273" s="552"/>
    </row>
    <row r="274" spans="1:40" ht="15" hidden="1" customHeight="1" x14ac:dyDescent="0.3">
      <c r="A274" s="1063" t="s">
        <v>1299</v>
      </c>
      <c r="B274" s="1177" t="str">
        <f>IFERROR(IF(ISBLANK(B18),"",B18),"")</f>
        <v>Natural Gas</v>
      </c>
      <c r="C274" s="2688" t="str">
        <f>IFERROR(IF(ISBLANK($B274),"",VLOOKUP($B274,PO_Enrgy_1_Table,MATCH($C$16,PO_Enrgy_1_Hdr,0),FALSE) ),"")</f>
        <v>therm</v>
      </c>
      <c r="D274" s="2689" t="e">
        <f>IF(C274="","",VLOOKUP(C274,ProjectEnergyTypeTable,3,FALSE))</f>
        <v>#NAME?</v>
      </c>
      <c r="E274" s="1181"/>
      <c r="F274" s="1199">
        <f>IFERROR(E274*$Q274,"")</f>
        <v>0</v>
      </c>
      <c r="G274" s="1078"/>
      <c r="H274" s="1181"/>
      <c r="I274" s="1199">
        <f>IFERROR(H274*$Q274,"")</f>
        <v>0</v>
      </c>
      <c r="J274" s="1078"/>
      <c r="K274" s="2692" t="str">
        <f>IFERROR(1-H274/E274,"")</f>
        <v/>
      </c>
      <c r="L274" s="2691"/>
      <c r="M274" s="1360" t="str">
        <f>IFERROR(1-J274/G274,"")</f>
        <v/>
      </c>
      <c r="Q274" s="1043">
        <f>IFERROR(IF(ISBLANK($B274),"",VLOOKUP($B274,PO_Enrgy_1_Table,MATCH($K$16,PO_Enrgy_1_Hdr,0),FALSE)),"")</f>
        <v>2.9308323563892142E-2</v>
      </c>
      <c r="R274" s="1043">
        <f>IFERROR(IF(ISBLANK($B274),"",VLOOKUP($B274,PO_Enrgy_1_Table,MATCH($M$16,PO_Enrgy_1_Hdr,0),FALSE)),"")</f>
        <v>3.0773739742086751E-2</v>
      </c>
      <c r="AH274" s="546"/>
      <c r="AI274" s="546"/>
      <c r="AJ274" s="15"/>
      <c r="AL274" s="550"/>
      <c r="AM274" s="551"/>
      <c r="AN274" s="552"/>
    </row>
    <row r="275" spans="1:40" ht="15" hidden="1" customHeight="1" x14ac:dyDescent="0.3">
      <c r="A275" s="1063" t="s">
        <v>1299</v>
      </c>
      <c r="B275" s="1177" t="str">
        <f>IFERROR(IF(ISBLANK(B19),"",B19),"")</f>
        <v>District Cooling</v>
      </c>
      <c r="C275" s="2688" t="str">
        <f>IFERROR(IF(ISBLANK($B275),"",VLOOKUP($B275,PO_Enrgy_1_Table,MATCH($C$16,PO_Enrgy_1_Hdr,0),FALSE) ),"")</f>
        <v>MWh</v>
      </c>
      <c r="D275" s="2689" t="e">
        <f>IF(C275="","",VLOOKUP(C275,ProjectEnergyTypeTable,3,FALSE))</f>
        <v>#NAME?</v>
      </c>
      <c r="E275" s="1181"/>
      <c r="F275" s="1199">
        <f>IFERROR(E275*$Q275,"")</f>
        <v>0</v>
      </c>
      <c r="G275" s="1078"/>
      <c r="H275" s="1181"/>
      <c r="I275" s="1199">
        <f>IFERROR(H275*$Q275,"")</f>
        <v>0</v>
      </c>
      <c r="J275" s="1078"/>
      <c r="K275" s="2692" t="str">
        <f>IFERROR(1-H275/E275,"")</f>
        <v/>
      </c>
      <c r="L275" s="2691"/>
      <c r="M275" s="1360" t="str">
        <f>IFERROR(1-J275/G275,"")</f>
        <v/>
      </c>
      <c r="Q275" s="1043">
        <f>IFERROR(IF(ISBLANK($B275),"",VLOOKUP($B275,PO_Enrgy_1_Table,MATCH($K$16,PO_Enrgy_1_Hdr,0),FALSE)),"")</f>
        <v>0.99999999999999989</v>
      </c>
      <c r="R275" s="1043">
        <f>IFERROR(IF(ISBLANK($B275),"",VLOOKUP($B275,PO_Enrgy_1_Table,MATCH($M$16,PO_Enrgy_1_Hdr,0),FALSE)),"")</f>
        <v>0.99999999999999989</v>
      </c>
      <c r="AH275" s="546"/>
      <c r="AI275" s="546"/>
      <c r="AJ275" s="15"/>
      <c r="AL275" s="550"/>
      <c r="AM275" s="551"/>
      <c r="AN275" s="552"/>
    </row>
    <row r="276" spans="1:40" s="528" customFormat="1" ht="21" hidden="1" customHeight="1" x14ac:dyDescent="0.3">
      <c r="A276" s="1063" t="s">
        <v>1299</v>
      </c>
      <c r="B276" s="2693" t="str">
        <f>"Energy model subtotal (" &amp; PO_SiteUnits &amp; ")"</f>
        <v>Energy model subtotal (MWh)</v>
      </c>
      <c r="C276" s="2693"/>
      <c r="D276" s="2693"/>
      <c r="E276" s="1180">
        <f>IFERROR(SUMPRODUCT(INDEX(PO_Enrgy_11_Table,0,MATCH(E$272,PO_Enrgy_11_Hdr,0)),INDEX(PO_Enrgy_11_Table,0,MATCH($Q$272,PO_Enrgy_11_Hdr,0))),"")</f>
        <v>0</v>
      </c>
      <c r="F276" s="1172">
        <f>IFERROR(SUM(INDEX(PO_Enrgy_11_Table,0,MATCH(F$272,PO_Enrgy_11_Hdr,0))),"")</f>
        <v>0</v>
      </c>
      <c r="G276" s="1164">
        <f>IFERROR(SUM(INDEX(PO_Enrgy_11_Table,0,MATCH(G$272,PO_Enrgy_11_Hdr,0))),"")</f>
        <v>0</v>
      </c>
      <c r="H276" s="1180">
        <f>IFERROR(SUMPRODUCT(INDEX(PO_Enrgy_11_Table,0,MATCH(H$272,PO_Enrgy_11_Hdr,0)),INDEX(PO_Enrgy_11_Table,0,MATCH($Q$272,PO_Enrgy_11_Hdr,0))),"")</f>
        <v>0</v>
      </c>
      <c r="I276" s="1172">
        <f>IFERROR(SUM(INDEX(PO_Enrgy_11_Table,0,MATCH(I$272,PO_Enrgy_11_Hdr,0))),"")</f>
        <v>0</v>
      </c>
      <c r="J276" s="1164">
        <f>IFERROR(SUM(INDEX(PO_Enrgy_11_Table,0,MATCH(J$272,PO_Enrgy_11_Hdr,0))),"")</f>
        <v>0</v>
      </c>
      <c r="K276" s="2690" t="str">
        <f>IFERROR(1-H276/E276,"")</f>
        <v/>
      </c>
      <c r="L276" s="2691"/>
      <c r="M276" s="1163" t="str">
        <f>IFERROR(1-J276/G276,"")</f>
        <v/>
      </c>
      <c r="N276" s="502"/>
      <c r="O276" s="502"/>
      <c r="P276" s="502"/>
      <c r="AJ276" s="15"/>
      <c r="AL276" s="550"/>
      <c r="AM276" s="551"/>
    </row>
    <row r="277" spans="1:40" s="528" customFormat="1" ht="21.75" hidden="1" customHeight="1" x14ac:dyDescent="0.25">
      <c r="A277" s="1063" t="s">
        <v>1299</v>
      </c>
      <c r="B277" s="2717"/>
      <c r="C277" s="2836"/>
      <c r="D277" s="2836"/>
      <c r="E277" s="2836"/>
      <c r="F277" s="2836"/>
      <c r="G277" s="2836"/>
      <c r="H277" s="2836"/>
      <c r="I277" s="2836"/>
      <c r="J277" s="2836"/>
      <c r="K277" s="2836"/>
      <c r="L277" s="2836"/>
      <c r="M277" s="720"/>
      <c r="N277" s="502"/>
      <c r="O277" s="502"/>
      <c r="P277" s="502"/>
      <c r="AL277" s="553"/>
      <c r="AM277" s="554"/>
    </row>
    <row r="278" spans="1:40" ht="19.5" hidden="1" customHeight="1" x14ac:dyDescent="0.3">
      <c r="A278" s="1063" t="s">
        <v>1299</v>
      </c>
      <c r="B278" s="957" t="s">
        <v>1305</v>
      </c>
      <c r="AL278" s="572"/>
      <c r="AM278" s="573"/>
    </row>
    <row r="279" spans="1:40" ht="32.25" hidden="1" customHeight="1" x14ac:dyDescent="0.3">
      <c r="A279" s="1063" t="s">
        <v>1299</v>
      </c>
      <c r="B279" s="2698" t="s">
        <v>444</v>
      </c>
      <c r="C279" s="2402" t="s">
        <v>1805</v>
      </c>
      <c r="D279" s="2699"/>
      <c r="E279" s="2767" t="s">
        <v>1271</v>
      </c>
      <c r="F279" s="2767"/>
      <c r="G279" s="2767"/>
      <c r="H279" s="2722" t="s">
        <v>1172</v>
      </c>
      <c r="I279" s="2767"/>
      <c r="J279" s="2767"/>
      <c r="K279" s="2722" t="s">
        <v>448</v>
      </c>
      <c r="L279" s="2722"/>
      <c r="M279" s="2722"/>
      <c r="N279" s="2832"/>
      <c r="O279" s="2832"/>
      <c r="P279" s="2832"/>
      <c r="AJ279" s="15"/>
      <c r="AL279" s="550"/>
      <c r="AM279" s="551"/>
    </row>
    <row r="280" spans="1:40" ht="48" hidden="1" customHeight="1" x14ac:dyDescent="0.3">
      <c r="A280" s="1063" t="s">
        <v>1299</v>
      </c>
      <c r="B280" s="2699"/>
      <c r="C280" s="2699"/>
      <c r="D280" s="2699"/>
      <c r="E280" s="1048" t="s">
        <v>1117</v>
      </c>
      <c r="F280" s="1049" t="str">
        <f>"Source Energy Use ("  &amp; PO_SourceUnits &amp; ")"</f>
        <v>Source Energy Use (MWh)</v>
      </c>
      <c r="G280" s="1048" t="s">
        <v>446</v>
      </c>
      <c r="H280" s="1048" t="s">
        <v>1117</v>
      </c>
      <c r="I280" s="1049" t="str">
        <f>"Source Energy Use ("  &amp; PO_SourceUnits &amp; ")"</f>
        <v>Source Energy Use (MWh)</v>
      </c>
      <c r="J280" s="1048" t="s">
        <v>446</v>
      </c>
      <c r="K280" s="2722" t="s">
        <v>447</v>
      </c>
      <c r="L280" s="2723"/>
      <c r="M280" s="1048" t="s">
        <v>446</v>
      </c>
      <c r="N280" s="578"/>
      <c r="O280" s="578"/>
      <c r="P280" s="578"/>
      <c r="AJ280" s="15"/>
    </row>
    <row r="281" spans="1:40" s="1076" customFormat="1" ht="14.4" hidden="1" x14ac:dyDescent="0.3">
      <c r="A281" s="1063" t="s">
        <v>1299</v>
      </c>
      <c r="B281" s="1099" t="s">
        <v>1765</v>
      </c>
      <c r="C281" s="1091" t="s">
        <v>1793</v>
      </c>
      <c r="D281" s="1099"/>
      <c r="E281" s="1100" t="s">
        <v>1821</v>
      </c>
      <c r="F281" s="1099" t="s">
        <v>1822</v>
      </c>
      <c r="G281" s="1100" t="s">
        <v>1823</v>
      </c>
      <c r="H281" s="1100" t="s">
        <v>1806</v>
      </c>
      <c r="I281" s="1099" t="s">
        <v>1807</v>
      </c>
      <c r="J281" s="1100" t="s">
        <v>1808</v>
      </c>
      <c r="K281" s="1100" t="s">
        <v>1824</v>
      </c>
      <c r="L281" s="1091"/>
      <c r="M281" s="1100" t="s">
        <v>1810</v>
      </c>
      <c r="N281" s="1094"/>
      <c r="O281" s="1094"/>
      <c r="P281" s="1094"/>
      <c r="Q281" s="1042" t="s">
        <v>1776</v>
      </c>
      <c r="R281" s="1042" t="s">
        <v>1777</v>
      </c>
      <c r="AJ281" s="1077"/>
    </row>
    <row r="282" spans="1:40" ht="15" hidden="1" customHeight="1" x14ac:dyDescent="0.3">
      <c r="A282" s="1063" t="s">
        <v>1299</v>
      </c>
      <c r="B282" s="1177" t="str">
        <f>IFERROR(IF(ISBLANK(B17),"",B17),"")</f>
        <v>Electricity</v>
      </c>
      <c r="C282" s="2688" t="str">
        <f>IFERROR(IF(ISBLANK($B282),"",VLOOKUP($B282,PO_Enrgy_1_Table,MATCH($C$16,PO_Enrgy_1_Hdr,0),FALSE) ),"")</f>
        <v>kWh</v>
      </c>
      <c r="D282" s="2689" t="e">
        <f>IF(C282="","",VLOOKUP(C282,ProjectEnergyTypeTable,3,FALSE))</f>
        <v>#NAME?</v>
      </c>
      <c r="E282" s="1188">
        <f ca="1">IFERROR(VLOOKUP($B282,PO_Enrgy_10_Table,MATCH($E$261,PO_Enrgy_10_Hdr,0),FALSE),"")</f>
        <v>4665616.6550000003</v>
      </c>
      <c r="F282" s="1188">
        <f ca="1">IFERROR(E282*$R282,"")</f>
        <v>14650.036296699998</v>
      </c>
      <c r="G282" s="1164">
        <f ca="1">IFERROR(VLOOKUP($B282,PO_Enrgy_10_Table,MATCH($G$261,PO_Enrgy_10_Hdr,0),FALSE),"")</f>
        <v>396577.415675</v>
      </c>
      <c r="H282" s="1188">
        <f ca="1">IFERROR(VLOOKUP($B282,PO_Enrgy_10_Table,MATCH($H$261,PO_Enrgy_10_Hdr,0),FALSE),"")</f>
        <v>4152607.72</v>
      </c>
      <c r="I282" s="1188">
        <f ca="1">IFERROR(H282*$R282,"")</f>
        <v>13039.188240799998</v>
      </c>
      <c r="J282" s="1164">
        <f ca="1">IFERROR(VLOOKUP($B282,PO_Enrgy_10_Table,MATCH($J$261,PO_Enrgy_10_Hdr,0),FALSE),"")</f>
        <v>352971.65620000003</v>
      </c>
      <c r="K282" s="2692">
        <f ca="1">IFERROR(1-H282/E282,"")</f>
        <v>0.10995522627222787</v>
      </c>
      <c r="L282" s="2691"/>
      <c r="M282" s="1360">
        <f ca="1">IFERROR(1-J282/G282,"")</f>
        <v>0.10995522627222787</v>
      </c>
      <c r="Q282" s="1043">
        <f>IFERROR(IF(ISBLANK($B282),"",VLOOKUP($B282,PO_Enrgy_1_Table,MATCH($K$16,PO_Enrgy_1_Hdr,0),FALSE)),"")</f>
        <v>9.999999999999998E-4</v>
      </c>
      <c r="R282" s="1043">
        <f>IFERROR(IF(ISBLANK($B282),"",VLOOKUP($B282,PO_Enrgy_1_Table,MATCH($M$16,PO_Enrgy_1_Hdr,0),FALSE)),"")</f>
        <v>3.1399999999999996E-3</v>
      </c>
      <c r="AH282" s="546"/>
      <c r="AI282" s="546"/>
      <c r="AJ282" s="15"/>
      <c r="AL282" s="550"/>
      <c r="AM282" s="551"/>
      <c r="AN282" s="552"/>
    </row>
    <row r="283" spans="1:40" ht="15" hidden="1" customHeight="1" x14ac:dyDescent="0.3">
      <c r="A283" s="1063" t="s">
        <v>1299</v>
      </c>
      <c r="B283" s="1177" t="str">
        <f>IFERROR(IF(ISBLANK(B18),"",B18),"")</f>
        <v>Natural Gas</v>
      </c>
      <c r="C283" s="2688" t="str">
        <f>IFERROR(IF(ISBLANK($B283),"",VLOOKUP($B283,PO_Enrgy_1_Table,MATCH($C$16,PO_Enrgy_1_Hdr,0),FALSE) ),"")</f>
        <v>therm</v>
      </c>
      <c r="D283" s="2689" t="e">
        <f>IF(C283="","",VLOOKUP(C283,ProjectEnergyTypeTable,3,FALSE))</f>
        <v>#NAME?</v>
      </c>
      <c r="E283" s="1188">
        <f>IFERROR(VLOOKUP($B283,PO_Enrgy_10_Table,MATCH($E$261,PO_Enrgy_10_Hdr,0),FALSE),"")</f>
        <v>0</v>
      </c>
      <c r="F283" s="1188">
        <f>IFERROR(E283*$R283,"")</f>
        <v>0</v>
      </c>
      <c r="G283" s="1164">
        <f>IFERROR(VLOOKUP($B283,PO_Enrgy_10_Table,MATCH($G$261,PO_Enrgy_10_Hdr,0),FALSE),"")</f>
        <v>0</v>
      </c>
      <c r="H283" s="1188">
        <f>IFERROR(VLOOKUP($B283,PO_Enrgy_10_Table,MATCH($H$261,PO_Enrgy_10_Hdr,0),FALSE),"")</f>
        <v>0</v>
      </c>
      <c r="I283" s="1188">
        <f>IFERROR(H283*$R283,"")</f>
        <v>0</v>
      </c>
      <c r="J283" s="1164">
        <f>IFERROR(VLOOKUP($B283,PO_Enrgy_10_Table,MATCH($J$261,PO_Enrgy_10_Hdr,0),FALSE),"")</f>
        <v>0</v>
      </c>
      <c r="K283" s="2692" t="str">
        <f>IFERROR(1-H283/E283,"")</f>
        <v/>
      </c>
      <c r="L283" s="2691"/>
      <c r="M283" s="1360" t="str">
        <f>IFERROR(1-J283/G283,"")</f>
        <v/>
      </c>
      <c r="Q283" s="1043">
        <f>IFERROR(IF(ISBLANK($B283),"",VLOOKUP($B283,PO_Enrgy_1_Table,MATCH($K$16,PO_Enrgy_1_Hdr,0),FALSE)),"")</f>
        <v>2.9308323563892142E-2</v>
      </c>
      <c r="R283" s="1043">
        <f>IFERROR(IF(ISBLANK($B283),"",VLOOKUP($B283,PO_Enrgy_1_Table,MATCH($M$16,PO_Enrgy_1_Hdr,0),FALSE)),"")</f>
        <v>3.0773739742086751E-2</v>
      </c>
      <c r="AH283" s="546"/>
      <c r="AI283" s="546"/>
      <c r="AJ283" s="15"/>
      <c r="AL283" s="550"/>
      <c r="AM283" s="551"/>
      <c r="AN283" s="552"/>
    </row>
    <row r="284" spans="1:40" ht="15" hidden="1" customHeight="1" x14ac:dyDescent="0.3">
      <c r="A284" s="1063" t="s">
        <v>1299</v>
      </c>
      <c r="B284" s="1177" t="str">
        <f>IFERROR(IF(ISBLANK(B19),"",B19),"")</f>
        <v>District Cooling</v>
      </c>
      <c r="C284" s="2688" t="str">
        <f>IFERROR(IF(ISBLANK($B284),"",VLOOKUP($B284,PO_Enrgy_1_Table,MATCH($C$16,PO_Enrgy_1_Hdr,0),FALSE) ),"")</f>
        <v>MWh</v>
      </c>
      <c r="D284" s="2689" t="e">
        <f>IF(C284="","",VLOOKUP(C284,ProjectEnergyTypeTable,3,FALSE))</f>
        <v>#NAME?</v>
      </c>
      <c r="E284" s="1188">
        <f>IFERROR(VLOOKUP($B284,PO_Enrgy_10_Table,MATCH($E$261,PO_Enrgy_10_Hdr,0),FALSE),"")</f>
        <v>0</v>
      </c>
      <c r="F284" s="1188">
        <f>IFERROR(E284*$R284,"")</f>
        <v>0</v>
      </c>
      <c r="G284" s="1164">
        <f>IFERROR(VLOOKUP($B284,PO_Enrgy_10_Table,MATCH($G$261,PO_Enrgy_10_Hdr,0),FALSE),"")</f>
        <v>0</v>
      </c>
      <c r="H284" s="1188">
        <f>IFERROR(VLOOKUP($B284,PO_Enrgy_10_Table,MATCH($H$261,PO_Enrgy_10_Hdr,0),FALSE),"")</f>
        <v>0</v>
      </c>
      <c r="I284" s="1188">
        <f>IFERROR(H284*$R284,"")</f>
        <v>0</v>
      </c>
      <c r="J284" s="1164">
        <f>IFERROR(VLOOKUP($B284,PO_Enrgy_10_Table,MATCH($J$261,PO_Enrgy_10_Hdr,0),FALSE),"")</f>
        <v>0</v>
      </c>
      <c r="K284" s="2692" t="str">
        <f>IFERROR(1-H284/E284,"")</f>
        <v/>
      </c>
      <c r="L284" s="2691"/>
      <c r="M284" s="1360" t="str">
        <f>IFERROR(1-J284/G284,"")</f>
        <v/>
      </c>
      <c r="Q284" s="1043">
        <f>IFERROR(IF(ISBLANK($B284),"",VLOOKUP($B284,PO_Enrgy_1_Table,MATCH($K$16,PO_Enrgy_1_Hdr,0),FALSE)),"")</f>
        <v>0.99999999999999989</v>
      </c>
      <c r="R284" s="1043">
        <f>IFERROR(IF(ISBLANK($B284),"",VLOOKUP($B284,PO_Enrgy_1_Table,MATCH($M$16,PO_Enrgy_1_Hdr,0),FALSE)),"")</f>
        <v>0.99999999999999989</v>
      </c>
      <c r="AH284" s="546"/>
      <c r="AI284" s="546"/>
      <c r="AJ284" s="15"/>
      <c r="AL284" s="550"/>
      <c r="AM284" s="551"/>
      <c r="AN284" s="552"/>
    </row>
    <row r="285" spans="1:40" s="528" customFormat="1" ht="21" hidden="1" customHeight="1" x14ac:dyDescent="0.3">
      <c r="A285" s="1063" t="s">
        <v>1299</v>
      </c>
      <c r="B285" s="2693" t="str">
        <f>"Energy model subtotal (" &amp; PO_SiteUnits &amp; ")"</f>
        <v>Energy model subtotal (MWh)</v>
      </c>
      <c r="C285" s="2693"/>
      <c r="D285" s="2693"/>
      <c r="E285" s="1161">
        <f ca="1">IFERROR(SUMPRODUCT(INDEX(PO_Enrgy_12_Table,0,MATCH(E$281,PO_Enrgy_12_Hdr,0)),INDEX(PO_Enrgy_12_Table,0,MATCH($Q$281,PO_Enrgy_12_Hdr,0))),"")</f>
        <v>4665.6166549999989</v>
      </c>
      <c r="F285" s="1161">
        <f ca="1">IFERROR(SUM(INDEX(PO_Enrgy_12_Table,0,MATCH(F$281,PO_Enrgy_12_Hdr,0))),"")</f>
        <v>14650.036296699998</v>
      </c>
      <c r="G285" s="1164">
        <f ca="1">IFERROR(SUM(INDEX(PO_Enrgy_12_Table,0,MATCH(G$281,PO_Enrgy_12_Hdr,0))),"")</f>
        <v>396577.415675</v>
      </c>
      <c r="H285" s="1161">
        <f ca="1">IFERROR(SUMPRODUCT(INDEX(PO_Enrgy_12_Table,0,MATCH(H$281,PO_Enrgy_12_Hdr,0)),INDEX(PO_Enrgy_12_Table,0,MATCH($Q$281,PO_Enrgy_12_Hdr,0))),"")</f>
        <v>4152.6077199999991</v>
      </c>
      <c r="I285" s="1161">
        <f ca="1">IFERROR(SUM(INDEX(PO_Enrgy_12_Table,0,MATCH(I$281,PO_Enrgy_12_Hdr,0))),"")</f>
        <v>13039.188240799998</v>
      </c>
      <c r="J285" s="1164">
        <f ca="1">IFERROR(SUM(INDEX(PO_Enrgy_12_Table,0,MATCH(J$281,PO_Enrgy_12_Hdr,0))),"")</f>
        <v>352971.65620000003</v>
      </c>
      <c r="K285" s="2690">
        <f ca="1">IFERROR(1-H285/E285,"")</f>
        <v>0.10995522627222787</v>
      </c>
      <c r="L285" s="2691"/>
      <c r="M285" s="1163">
        <f ca="1">IFERROR(1-J285/G285,"")</f>
        <v>0.10995522627222787</v>
      </c>
      <c r="N285" s="502"/>
      <c r="O285" s="502"/>
      <c r="P285" s="502"/>
      <c r="AJ285" s="15"/>
      <c r="AL285" s="550"/>
      <c r="AM285" s="551"/>
    </row>
    <row r="286" spans="1:40" s="528" customFormat="1" ht="21.75" hidden="1" customHeight="1" x14ac:dyDescent="0.25">
      <c r="A286" s="1063" t="s">
        <v>1299</v>
      </c>
      <c r="B286" s="2717"/>
      <c r="C286" s="2836"/>
      <c r="D286" s="2836"/>
      <c r="E286" s="2836"/>
      <c r="F286" s="2836"/>
      <c r="G286" s="2836"/>
      <c r="H286" s="2836"/>
      <c r="I286" s="2836"/>
      <c r="J286" s="2836"/>
      <c r="K286" s="2836"/>
      <c r="L286" s="2836"/>
      <c r="M286" s="720"/>
      <c r="N286" s="502"/>
      <c r="O286" s="502"/>
      <c r="P286" s="502"/>
      <c r="AL286" s="553"/>
      <c r="AM286" s="554"/>
    </row>
    <row r="287" spans="1:40" ht="21.75" hidden="1" customHeight="1" x14ac:dyDescent="0.3">
      <c r="A287" s="1063" t="s">
        <v>1299</v>
      </c>
      <c r="B287" s="957" t="s">
        <v>1306</v>
      </c>
      <c r="AL287" s="572"/>
      <c r="AM287" s="573"/>
    </row>
    <row r="288" spans="1:40" ht="32.25" hidden="1" customHeight="1" x14ac:dyDescent="0.3">
      <c r="A288" s="1063" t="s">
        <v>1299</v>
      </c>
      <c r="B288" s="2698" t="s">
        <v>444</v>
      </c>
      <c r="C288" s="2402" t="s">
        <v>1805</v>
      </c>
      <c r="D288" s="2699"/>
      <c r="E288" s="2837" t="s">
        <v>1307</v>
      </c>
      <c r="F288" s="2837"/>
      <c r="G288" s="2837"/>
      <c r="H288" s="2838" t="s">
        <v>454</v>
      </c>
      <c r="I288" s="2837"/>
      <c r="J288" s="2837"/>
      <c r="K288" s="2838" t="s">
        <v>448</v>
      </c>
      <c r="L288" s="2838"/>
      <c r="M288" s="2839"/>
      <c r="N288" s="2832"/>
      <c r="O288" s="2832"/>
      <c r="P288" s="2832"/>
      <c r="AJ288" s="15"/>
      <c r="AL288" s="550"/>
      <c r="AM288" s="551"/>
    </row>
    <row r="289" spans="1:55" ht="48" hidden="1" customHeight="1" x14ac:dyDescent="0.3">
      <c r="A289" s="1063" t="s">
        <v>1299</v>
      </c>
      <c r="B289" s="2699"/>
      <c r="C289" s="2699"/>
      <c r="D289" s="2699"/>
      <c r="E289" s="1048" t="s">
        <v>1117</v>
      </c>
      <c r="F289" s="1049" t="str">
        <f>"Source Energy Use ("  &amp; PO_SourceUnits &amp; ")"</f>
        <v>Source Energy Use (MWh)</v>
      </c>
      <c r="G289" s="1048" t="s">
        <v>446</v>
      </c>
      <c r="H289" s="1048" t="s">
        <v>1117</v>
      </c>
      <c r="I289" s="1049" t="str">
        <f>"Source Energy Use ("  &amp; PO_SourceUnits &amp; ")"</f>
        <v>Source Energy Use (MWh)</v>
      </c>
      <c r="J289" s="1048" t="s">
        <v>446</v>
      </c>
      <c r="K289" s="2722" t="s">
        <v>447</v>
      </c>
      <c r="L289" s="2723"/>
      <c r="M289" s="1182" t="s">
        <v>446</v>
      </c>
      <c r="N289" s="578"/>
      <c r="O289" s="578"/>
      <c r="P289" s="578"/>
      <c r="AJ289" s="15"/>
    </row>
    <row r="290" spans="1:55" s="1076" customFormat="1" ht="14.4" hidden="1" x14ac:dyDescent="0.3">
      <c r="A290" s="1063" t="s">
        <v>1299</v>
      </c>
      <c r="B290" s="1098" t="s">
        <v>1765</v>
      </c>
      <c r="C290" s="1091" t="s">
        <v>1793</v>
      </c>
      <c r="D290" s="1099"/>
      <c r="E290" s="1100" t="s">
        <v>1821</v>
      </c>
      <c r="F290" s="1099" t="s">
        <v>1822</v>
      </c>
      <c r="G290" s="1100" t="s">
        <v>1823</v>
      </c>
      <c r="H290" s="1100" t="s">
        <v>1806</v>
      </c>
      <c r="I290" s="1099" t="s">
        <v>1807</v>
      </c>
      <c r="J290" s="1100" t="s">
        <v>1808</v>
      </c>
      <c r="K290" s="1100" t="s">
        <v>1824</v>
      </c>
      <c r="L290" s="1091"/>
      <c r="M290" s="1101" t="s">
        <v>1810</v>
      </c>
      <c r="N290" s="1094"/>
      <c r="O290" s="1094"/>
      <c r="P290" s="1094"/>
      <c r="Q290" s="1042" t="s">
        <v>1776</v>
      </c>
      <c r="R290" s="1042" t="s">
        <v>1777</v>
      </c>
      <c r="AJ290" s="1077"/>
    </row>
    <row r="291" spans="1:55" ht="15" hidden="1" customHeight="1" x14ac:dyDescent="0.3">
      <c r="A291" s="1063" t="s">
        <v>1299</v>
      </c>
      <c r="B291" s="1972" t="str">
        <f>IFERROR(IF(ISBLANK(B17),"",B17),"")</f>
        <v>Electricity</v>
      </c>
      <c r="C291" s="2688" t="str">
        <f>IFERROR(IF(ISBLANK($B291),"",VLOOKUP($B291,PO_Enrgy_1_Table,MATCH($C$16,PO_Enrgy_1_Hdr,0),FALSE) ),"")</f>
        <v>kWh</v>
      </c>
      <c r="D291" s="2689" t="e">
        <f>IF(C291="","",VLOOKUP(C291,ProjectEnergyTypeTable,3,FALSE))</f>
        <v>#NAME?</v>
      </c>
      <c r="E291" s="1200">
        <f ca="1">IFERROR(IF(Datacenter_Avg=TRUE,AVERAGE(VLOOKUP($B291,PO_Enrgy_11_Table,MATCH($E$272,PO_Enrgy_11_Hdr,0),FALSE),VLOOKUP($B291,PO_Enrgy_12_Table,MATCH($E$281,PO_Enrgy_12_Hdr,0),FALSE)),VLOOKUP($B291,PO_Enrgy_12_Table,MATCH($E$281,PO_Enrgy_12_Hdr,0),FALSE)),"")</f>
        <v>4665616.6550000003</v>
      </c>
      <c r="F291" s="1200">
        <f ca="1">IFERROR(E291*$R291,"")</f>
        <v>14650.036296699998</v>
      </c>
      <c r="G291" s="1164">
        <f ca="1">IFERROR(IF(Datacenter_Avg=TRUE,AVERAGE(VLOOKUP($B291,PO_Enrgy_11_Table,MATCH($G$272,PO_Enrgy_11_Hdr,0),FALSE),VLOOKUP($B291,PO_Enrgy_12_Table,MATCH($G$281,PO_Enrgy_12_Hdr,0),FALSE)),VLOOKUP($B291,PO_Enrgy_12_Table,MATCH($G$281,PO_Enrgy_12_Hdr,0),FALSE)),"")</f>
        <v>396577.415675</v>
      </c>
      <c r="H291" s="1200">
        <f ca="1">IFERROR(IF(Datacenter_Avg=TRUE,AVERAGE(VLOOKUP($B291,PO_Enrgy_11_Table,MATCH($H$272,PO_Enrgy_11_Hdr,0),FALSE),VLOOKUP($B291,PO_Enrgy_12_Table,MATCH($H$281,PO_Enrgy_12_Hdr,0),FALSE)),VLOOKUP($B291,PO_Enrgy_12_Table,MATCH($H$281,PO_Enrgy_12_Hdr,0),FALSE)),"")</f>
        <v>4152607.72</v>
      </c>
      <c r="I291" s="1200">
        <f ca="1">IFERROR(H291*$R291,"")</f>
        <v>13039.188240799998</v>
      </c>
      <c r="J291" s="1164">
        <f ca="1">IFERROR(IF(Datacenter_Avg=TRUE,AVERAGE(VLOOKUP($B291,PO_Enrgy_11_Table,MATCH($J$272,PO_Enrgy_11_Hdr,0),FALSE),VLOOKUP($B291,PO_Enrgy_12_Table,MATCH($J$281,PO_Enrgy_12_Hdr,0),FALSE)),VLOOKUP($B291,PO_Enrgy_12_Table,MATCH($J$281,PO_Enrgy_12_Hdr,0),FALSE)),"")</f>
        <v>352971.65620000003</v>
      </c>
      <c r="K291" s="2692">
        <f ca="1">IFERROR(1-H291/E291,"")</f>
        <v>0.10995522627222787</v>
      </c>
      <c r="L291" s="2691"/>
      <c r="M291" s="1201">
        <f ca="1">IFERROR(1-J291/G291,"")</f>
        <v>0.10995522627222787</v>
      </c>
      <c r="Q291" s="1043">
        <f>IFERROR(IF(ISBLANK($B291),"",VLOOKUP($B291,PO_Enrgy_1_Table,MATCH($K$16,PO_Enrgy_1_Hdr,0),FALSE)),"")</f>
        <v>9.999999999999998E-4</v>
      </c>
      <c r="R291" s="1043">
        <f>IFERROR(IF(ISBLANK($B291),"",VLOOKUP($B291,PO_Enrgy_1_Table,MATCH($M$16,PO_Enrgy_1_Hdr,0),FALSE)),"")</f>
        <v>3.1399999999999996E-3</v>
      </c>
      <c r="AH291" s="546"/>
      <c r="AI291" s="546"/>
      <c r="AJ291" s="15"/>
      <c r="AL291" s="550"/>
      <c r="AM291" s="551"/>
      <c r="AN291" s="552"/>
    </row>
    <row r="292" spans="1:55" ht="15" hidden="1" customHeight="1" x14ac:dyDescent="0.3">
      <c r="A292" s="1063" t="s">
        <v>1299</v>
      </c>
      <c r="B292" s="1972" t="str">
        <f>IFERROR(IF(ISBLANK(B18),"",B18),"")</f>
        <v>Natural Gas</v>
      </c>
      <c r="C292" s="2688" t="str">
        <f>IFERROR(IF(ISBLANK($B292),"",VLOOKUP($B292,PO_Enrgy_1_Table,MATCH($C$16,PO_Enrgy_1_Hdr,0),FALSE) ),"")</f>
        <v>therm</v>
      </c>
      <c r="D292" s="2689" t="e">
        <f>IF(C292="","",VLOOKUP(C292,ProjectEnergyTypeTable,3,FALSE))</f>
        <v>#NAME?</v>
      </c>
      <c r="E292" s="1200">
        <f>IFERROR(IF(Datacenter_Avg=TRUE,AVERAGE(VLOOKUP($B292,PO_Enrgy_11_Table,MATCH($E$272,PO_Enrgy_11_Hdr,0),FALSE),VLOOKUP($B292,PO_Enrgy_12_Table,MATCH($E$281,PO_Enrgy_12_Hdr,0),FALSE)),VLOOKUP($B292,PO_Enrgy_12_Table,MATCH($E$281,PO_Enrgy_12_Hdr,0),FALSE)),"")</f>
        <v>0</v>
      </c>
      <c r="F292" s="1200">
        <f>IFERROR(E292*$R292,"")</f>
        <v>0</v>
      </c>
      <c r="G292" s="1164">
        <f>IFERROR(IF(Datacenter_Avg=TRUE,AVERAGE(VLOOKUP($B292,PO_Enrgy_11_Table,MATCH($G$272,PO_Enrgy_11_Hdr,0),FALSE),VLOOKUP($B292,PO_Enrgy_12_Table,MATCH($G$281,PO_Enrgy_12_Hdr,0),FALSE)),VLOOKUP($B292,PO_Enrgy_12_Table,MATCH($G$281,PO_Enrgy_12_Hdr,0),FALSE)),"")</f>
        <v>0</v>
      </c>
      <c r="H292" s="1200">
        <f>IFERROR(IF(Datacenter_Avg=TRUE,AVERAGE(VLOOKUP($B292,PO_Enrgy_11_Table,MATCH($H$272,PO_Enrgy_11_Hdr,0),FALSE),VLOOKUP($B292,PO_Enrgy_12_Table,MATCH($H$281,PO_Enrgy_12_Hdr,0),FALSE)),VLOOKUP($B292,PO_Enrgy_12_Table,MATCH($H$281,PO_Enrgy_12_Hdr,0),FALSE)),"")</f>
        <v>0</v>
      </c>
      <c r="I292" s="1200">
        <f>IFERROR(H292*$R292,"")</f>
        <v>0</v>
      </c>
      <c r="J292" s="1164">
        <f>IFERROR(IF(Datacenter_Avg=TRUE,AVERAGE(VLOOKUP($B292,PO_Enrgy_11_Table,MATCH($J$272,PO_Enrgy_11_Hdr,0),FALSE),VLOOKUP($B292,PO_Enrgy_12_Table,MATCH($J$281,PO_Enrgy_12_Hdr,0),FALSE)),VLOOKUP($B292,PO_Enrgy_12_Table,MATCH($J$281,PO_Enrgy_12_Hdr,0),FALSE)),"")</f>
        <v>0</v>
      </c>
      <c r="K292" s="2692" t="str">
        <f>IFERROR(1-H292/E292,"")</f>
        <v/>
      </c>
      <c r="L292" s="2691"/>
      <c r="M292" s="1201" t="str">
        <f>IFERROR(1-J292/G292,"")</f>
        <v/>
      </c>
      <c r="Q292" s="1043">
        <f>IFERROR(IF(ISBLANK($B292),"",VLOOKUP($B292,PO_Enrgy_1_Table,MATCH($K$16,PO_Enrgy_1_Hdr,0),FALSE)),"")</f>
        <v>2.9308323563892142E-2</v>
      </c>
      <c r="R292" s="1043">
        <f>IFERROR(IF(ISBLANK($B292),"",VLOOKUP($B292,PO_Enrgy_1_Table,MATCH($M$16,PO_Enrgy_1_Hdr,0),FALSE)),"")</f>
        <v>3.0773739742086751E-2</v>
      </c>
      <c r="AH292" s="546"/>
      <c r="AI292" s="546"/>
      <c r="AJ292" s="15"/>
      <c r="AL292" s="550"/>
      <c r="AM292" s="551"/>
      <c r="AN292" s="552"/>
    </row>
    <row r="293" spans="1:55" ht="15" hidden="1" customHeight="1" x14ac:dyDescent="0.3">
      <c r="A293" s="1063" t="s">
        <v>1299</v>
      </c>
      <c r="B293" s="1972" t="str">
        <f>IFERROR(IF(ISBLANK(B19),"",B19),"")</f>
        <v>District Cooling</v>
      </c>
      <c r="C293" s="2688" t="str">
        <f>IFERROR(IF(ISBLANK($B293),"",VLOOKUP($B293,PO_Enrgy_1_Table,MATCH($C$16,PO_Enrgy_1_Hdr,0),FALSE) ),"")</f>
        <v>MWh</v>
      </c>
      <c r="D293" s="2689" t="e">
        <f>IF(C293="","",VLOOKUP(C293,ProjectEnergyTypeTable,3,FALSE))</f>
        <v>#NAME?</v>
      </c>
      <c r="E293" s="1200">
        <f>IFERROR(IF(Datacenter_Avg=TRUE,AVERAGE(VLOOKUP($B293,PO_Enrgy_11_Table,MATCH($E$272,PO_Enrgy_11_Hdr,0),FALSE),VLOOKUP($B293,PO_Enrgy_12_Table,MATCH($E$281,PO_Enrgy_12_Hdr,0),FALSE)),VLOOKUP($B293,PO_Enrgy_12_Table,MATCH($E$281,PO_Enrgy_12_Hdr,0),FALSE)),"")</f>
        <v>0</v>
      </c>
      <c r="F293" s="1200">
        <f>IFERROR(E293*$R293,"")</f>
        <v>0</v>
      </c>
      <c r="G293" s="1164">
        <f>IFERROR(IF(Datacenter_Avg=TRUE,AVERAGE(VLOOKUP($B293,PO_Enrgy_11_Table,MATCH($G$272,PO_Enrgy_11_Hdr,0),FALSE),VLOOKUP($B293,PO_Enrgy_12_Table,MATCH($G$281,PO_Enrgy_12_Hdr,0),FALSE)),VLOOKUP($B293,PO_Enrgy_12_Table,MATCH($G$281,PO_Enrgy_12_Hdr,0),FALSE)),"")</f>
        <v>0</v>
      </c>
      <c r="H293" s="1200">
        <f>IFERROR(IF(Datacenter_Avg=TRUE,AVERAGE(VLOOKUP($B293,PO_Enrgy_11_Table,MATCH($H$272,PO_Enrgy_11_Hdr,0),FALSE),VLOOKUP($B293,PO_Enrgy_12_Table,MATCH($H$281,PO_Enrgy_12_Hdr,0),FALSE)),VLOOKUP($B293,PO_Enrgy_12_Table,MATCH($H$281,PO_Enrgy_12_Hdr,0),FALSE)),"")</f>
        <v>0</v>
      </c>
      <c r="I293" s="1200">
        <f>IFERROR(H293*$R293,"")</f>
        <v>0</v>
      </c>
      <c r="J293" s="1164">
        <f>IFERROR(IF(Datacenter_Avg=TRUE,AVERAGE(VLOOKUP($B293,PO_Enrgy_11_Table,MATCH($J$272,PO_Enrgy_11_Hdr,0),FALSE),VLOOKUP($B293,PO_Enrgy_12_Table,MATCH($J$281,PO_Enrgy_12_Hdr,0),FALSE)),VLOOKUP($B293,PO_Enrgy_12_Table,MATCH($J$281,PO_Enrgy_12_Hdr,0),FALSE)),"")</f>
        <v>0</v>
      </c>
      <c r="K293" s="2692" t="str">
        <f>IFERROR(1-H293/E293,"")</f>
        <v/>
      </c>
      <c r="L293" s="2691"/>
      <c r="M293" s="1201" t="str">
        <f>IFERROR(1-J293/G293,"")</f>
        <v/>
      </c>
      <c r="Q293" s="1043">
        <f>IFERROR(IF(ISBLANK($B293),"",VLOOKUP($B293,PO_Enrgy_1_Table,MATCH($K$16,PO_Enrgy_1_Hdr,0),FALSE)),"")</f>
        <v>0.99999999999999989</v>
      </c>
      <c r="R293" s="1043">
        <f>IFERROR(IF(ISBLANK($B293),"",VLOOKUP($B293,PO_Enrgy_1_Table,MATCH($M$16,PO_Enrgy_1_Hdr,0),FALSE)),"")</f>
        <v>0.99999999999999989</v>
      </c>
      <c r="AH293" s="546"/>
      <c r="AI293" s="546"/>
      <c r="AJ293" s="15"/>
      <c r="AL293" s="550"/>
      <c r="AM293" s="551"/>
      <c r="AN293" s="552"/>
    </row>
    <row r="294" spans="1:55" s="528" customFormat="1" ht="21" hidden="1" customHeight="1" x14ac:dyDescent="0.3">
      <c r="A294" s="1063" t="s">
        <v>1299</v>
      </c>
      <c r="B294" s="2844" t="str">
        <f>"Energy Model Subtotal (" &amp; PO_SiteUnits &amp; ")"</f>
        <v>Energy Model Subtotal (MWh)</v>
      </c>
      <c r="C294" s="2845"/>
      <c r="D294" s="2845"/>
      <c r="E294" s="1183">
        <f ca="1">IFERROR(SUMPRODUCT(INDEX(PO_Enrgy_13_Table,0,MATCH(E$290,PO_Enrgy_13_Hdr,0)),INDEX(PO_Enrgy_13_Table,0,MATCH($Q$290,PO_Enrgy_13_Hdr,0))),"")</f>
        <v>4665.6166549999989</v>
      </c>
      <c r="F294" s="1184">
        <f ca="1">IFERROR(SUM(INDEX(PO_Enrgy_13_Table,0,MATCH(F$290,PO_Enrgy_12_Hdr,0))),"")</f>
        <v>14650.036296699998</v>
      </c>
      <c r="G294" s="1185">
        <f ca="1">IFERROR(SUM(INDEX(PO_Enrgy_13_Table,0,MATCH(G$290,PO_Enrgy_12_Hdr,0))),"")</f>
        <v>396577.415675</v>
      </c>
      <c r="H294" s="1183">
        <f ca="1">IFERROR(SUMPRODUCT(INDEX(PO_Enrgy_13_Table,0,MATCH(H$290,PO_Enrgy_13_Hdr,0)),INDEX(PO_Enrgy_13_Table,0,MATCH($Q$290,PO_Enrgy_13_Hdr,0))),"")</f>
        <v>4152.6077199999991</v>
      </c>
      <c r="I294" s="1184">
        <f ca="1">IFERROR(SUM(INDEX(PO_Enrgy_13_Table,0,MATCH(I$290,PO_Enrgy_12_Hdr,0))),"")</f>
        <v>13039.188240799998</v>
      </c>
      <c r="J294" s="1185">
        <f ca="1">IFERROR(SUM(INDEX(PO_Enrgy_13_Table,0,MATCH(J$290,PO_Enrgy_12_Hdr,0))),"")</f>
        <v>352971.65620000003</v>
      </c>
      <c r="K294" s="2846">
        <f ca="1">IFERROR(1-H294/E294,"")</f>
        <v>0.10995522627222787</v>
      </c>
      <c r="L294" s="2847"/>
      <c r="M294" s="1186">
        <f ca="1">IFERROR(1-J294/G294,"")</f>
        <v>0.10995522627222787</v>
      </c>
      <c r="N294" s="502"/>
      <c r="O294" s="502"/>
      <c r="P294" s="502"/>
      <c r="AJ294" s="15"/>
      <c r="AL294" s="550"/>
      <c r="AM294" s="551"/>
    </row>
    <row r="295" spans="1:55" s="528" customFormat="1" ht="30" hidden="1" customHeight="1" x14ac:dyDescent="0.25">
      <c r="A295" s="1063" t="s">
        <v>1299</v>
      </c>
      <c r="B295" s="2717"/>
      <c r="C295" s="2836"/>
      <c r="D295" s="2836"/>
      <c r="E295" s="2836"/>
      <c r="F295" s="2836"/>
      <c r="G295" s="2836"/>
      <c r="H295" s="2836"/>
      <c r="I295" s="2836"/>
      <c r="J295" s="2836"/>
      <c r="K295" s="2836"/>
      <c r="L295" s="2836"/>
      <c r="M295" s="720"/>
      <c r="N295" s="502"/>
      <c r="O295" s="502"/>
      <c r="P295" s="502"/>
      <c r="AL295" s="553"/>
      <c r="AM295" s="554"/>
    </row>
    <row r="296" spans="1:55" ht="18" customHeight="1" x14ac:dyDescent="0.3">
      <c r="A296" s="1063" t="s">
        <v>1299</v>
      </c>
      <c r="B296" s="2848" t="s">
        <v>1282</v>
      </c>
      <c r="C296" s="2815"/>
      <c r="D296" s="2815"/>
      <c r="E296" s="2815"/>
      <c r="F296" s="2815"/>
      <c r="G296" s="2849"/>
      <c r="H296" s="2849"/>
      <c r="I296" s="2849"/>
      <c r="J296" s="2849"/>
      <c r="K296" s="2850">
        <f ca="1">$M$294</f>
        <v>0.10995522627222787</v>
      </c>
      <c r="L296" s="2825"/>
      <c r="M296" s="2851"/>
      <c r="AJ296" s="15"/>
      <c r="BC296" s="1906"/>
    </row>
    <row r="297" spans="1:55" s="528" customFormat="1" ht="33" customHeight="1" x14ac:dyDescent="0.3">
      <c r="A297" s="1063" t="s">
        <v>1299</v>
      </c>
      <c r="B297" s="532"/>
      <c r="C297" s="532"/>
      <c r="D297" s="532"/>
      <c r="E297" s="533"/>
      <c r="F297" s="533"/>
      <c r="G297" s="577"/>
      <c r="H297" s="533"/>
      <c r="I297" s="533"/>
      <c r="J297" s="577"/>
      <c r="K297" s="720"/>
      <c r="L297" s="720"/>
      <c r="M297" s="720"/>
      <c r="N297" s="502"/>
      <c r="O297" s="502"/>
      <c r="P297" s="502"/>
      <c r="AL297" s="553"/>
      <c r="AM297" s="554"/>
    </row>
    <row r="298" spans="1:55" ht="21.75" customHeight="1" x14ac:dyDescent="0.3">
      <c r="A298" s="1063" t="s">
        <v>1299</v>
      </c>
      <c r="B298" s="957" t="s">
        <v>1272</v>
      </c>
      <c r="AL298" s="572"/>
      <c r="AM298" s="573"/>
    </row>
    <row r="299" spans="1:55" ht="42" customHeight="1" x14ac:dyDescent="0.3">
      <c r="A299" s="1063" t="s">
        <v>1299</v>
      </c>
      <c r="B299" s="2698" t="s">
        <v>444</v>
      </c>
      <c r="C299" s="2402" t="s">
        <v>1805</v>
      </c>
      <c r="D299" s="2699"/>
      <c r="E299" s="2741" t="s">
        <v>452</v>
      </c>
      <c r="F299" s="2741"/>
      <c r="G299" s="2741"/>
      <c r="H299" s="2700" t="s">
        <v>1173</v>
      </c>
      <c r="I299" s="2698"/>
      <c r="J299" s="2698"/>
      <c r="K299" s="2698" t="s">
        <v>451</v>
      </c>
      <c r="L299" s="2698"/>
      <c r="M299" s="2699"/>
      <c r="N299" s="2832"/>
      <c r="O299" s="2832"/>
      <c r="P299" s="2832"/>
      <c r="AJ299" s="15"/>
      <c r="AL299" s="550"/>
      <c r="AM299" s="551"/>
      <c r="AR299" s="961"/>
      <c r="AS299" s="962"/>
      <c r="AT299" s="962"/>
      <c r="AU299" s="962"/>
      <c r="AV299" s="555"/>
    </row>
    <row r="300" spans="1:55" ht="56.25" customHeight="1" x14ac:dyDescent="0.3">
      <c r="A300" s="1063" t="s">
        <v>1299</v>
      </c>
      <c r="B300" s="2699"/>
      <c r="C300" s="2699"/>
      <c r="D300" s="2699"/>
      <c r="E300" s="966" t="s">
        <v>450</v>
      </c>
      <c r="F300" s="1115" t="str">
        <f>"Source Energy Use Savings 
("  &amp; PO_SourceUnits &amp; ")"</f>
        <v>Source Energy Use Savings 
(MWh)</v>
      </c>
      <c r="G300" s="966" t="s">
        <v>449</v>
      </c>
      <c r="H300" s="966" t="s">
        <v>1117</v>
      </c>
      <c r="I300" s="1115" t="str">
        <f>"Source Energy Use 
("  &amp; PO_SourceUnits &amp; ")"</f>
        <v>Source Energy Use 
(MWh)</v>
      </c>
      <c r="J300" s="966" t="s">
        <v>446</v>
      </c>
      <c r="K300" s="2700" t="s">
        <v>447</v>
      </c>
      <c r="L300" s="2699"/>
      <c r="M300" s="966" t="s">
        <v>446</v>
      </c>
      <c r="N300" s="960"/>
      <c r="O300" s="960"/>
      <c r="P300" s="960"/>
      <c r="AJ300" s="15"/>
      <c r="AL300" s="550"/>
      <c r="AM300" s="551"/>
      <c r="AR300" s="962"/>
      <c r="AS300" s="566"/>
      <c r="AT300" s="566"/>
      <c r="AU300" s="566"/>
    </row>
    <row r="301" spans="1:55" s="1076" customFormat="1" ht="14.4" hidden="1" x14ac:dyDescent="0.3">
      <c r="A301" s="1063" t="s">
        <v>1299</v>
      </c>
      <c r="B301" s="1099" t="s">
        <v>1765</v>
      </c>
      <c r="C301" s="1091" t="s">
        <v>1793</v>
      </c>
      <c r="D301" s="1099"/>
      <c r="E301" s="1100" t="s">
        <v>1825</v>
      </c>
      <c r="F301" s="1099" t="s">
        <v>1826</v>
      </c>
      <c r="G301" s="1100" t="s">
        <v>1827</v>
      </c>
      <c r="H301" s="1100" t="s">
        <v>1806</v>
      </c>
      <c r="I301" s="1099" t="s">
        <v>1807</v>
      </c>
      <c r="J301" s="1100" t="s">
        <v>1808</v>
      </c>
      <c r="K301" s="1100" t="s">
        <v>1824</v>
      </c>
      <c r="L301" s="1091"/>
      <c r="M301" s="1100" t="s">
        <v>1810</v>
      </c>
      <c r="N301" s="1094"/>
      <c r="O301" s="1094"/>
      <c r="P301" s="1094"/>
      <c r="Q301" s="1042" t="s">
        <v>1776</v>
      </c>
      <c r="R301" s="1042" t="s">
        <v>1777</v>
      </c>
      <c r="S301" s="1042" t="s">
        <v>1882</v>
      </c>
      <c r="AJ301" s="1077"/>
    </row>
    <row r="302" spans="1:55" ht="15" customHeight="1" x14ac:dyDescent="0.3">
      <c r="A302" s="1063" t="s">
        <v>1299</v>
      </c>
      <c r="B302" s="1177" t="str">
        <f>IFERROR(IF(ISBLANK(B17),"",B17),"")</f>
        <v>Electricity</v>
      </c>
      <c r="C302" s="2840" t="str">
        <f>IFERROR(IF(ISBLANK($B302),"",VLOOKUP($B302,PO_Enrgy_1_Table,MATCH($C$16,PO_Enrgy_1_Hdr,0),FALSE) ),"")</f>
        <v>kWh</v>
      </c>
      <c r="D302" s="2841" t="e">
        <f>IF(C302="","",VLOOKUP(C302,ProjectEnergyTypeTable,3,FALSE))</f>
        <v>#NAME?</v>
      </c>
      <c r="E302" s="1188">
        <f>IFERROR(IF(PO_SiteRenewable=TRUE,VLOOKUP($B302,PO_Enrgy_2_Table,MATCH($E$37,PO_Enrgy_2_Hdr,0),FALSE),0),"")</f>
        <v>105847</v>
      </c>
      <c r="F302" s="1188">
        <f>IFERROR(E302*$R302,"")</f>
        <v>332.35957999999994</v>
      </c>
      <c r="G302" s="1164">
        <f ca="1">IFERROR(IF(PO_SiteRenewable=TRUE,VLOOKUP($B302,PO_Enrgy_2_Table,MATCH($J$37,PO_Enrgy_2_Hdr,0),FALSE),0),"")</f>
        <v>8996.9950000000008</v>
      </c>
      <c r="H302" s="1188">
        <f ca="1">IFERROR(VLOOKUP($B302,PO_Enrgy_13_Table,MATCH($H$290,PO_Enrgy_13_Hdr,0),FALSE)-IF(PO_SiteRenewable=TRUE,VLOOKUP($B302,PO_Enrgy_2_Table,MATCH($E$37,PO_Enrgy_2_Hdr,0),FALSE),0),0)</f>
        <v>4046760.72</v>
      </c>
      <c r="I302" s="1188">
        <f ca="1">IFERROR(H302*$R302,"")</f>
        <v>12706.828660799998</v>
      </c>
      <c r="J302" s="1164">
        <f ca="1">IFERROR(VLOOKUP($B302,PO_Enrgy_13_Table,MATCH($J$290,PO_Enrgy_13_Hdr,0),FALSE)-IF(PO_SiteRenewable=TRUE,VLOOKUP($B302,PO_Enrgy_2_Table,MATCH($J$37,PO_Enrgy_2_Hdr,0),FALSE),0),0)</f>
        <v>343974.66120000003</v>
      </c>
      <c r="K302" s="2842">
        <f ca="1">IFERROR(1-$H302/VLOOKUP($B302,PO_Enrgy_13_Table,MATCH($E$290,PO_Enrgy_13_Hdr,0),FALSE),"")</f>
        <v>0.1326418308149665</v>
      </c>
      <c r="L302" s="2843"/>
      <c r="M302" s="1202">
        <f ca="1">IFERROR(1-$J302/VLOOKUP($B302,PO_Enrgy_13_Table,MATCH($G$290,PO_Enrgy_13_Hdr,0),FALSE),"")</f>
        <v>0.13264183081496639</v>
      </c>
      <c r="Q302" s="1296">
        <f>IFERROR(IF(ISBLANK($B302),"",VLOOKUP($B302,PO_Enrgy_1_Table,MATCH($K$16,PO_Enrgy_1_Hdr,0),FALSE)),"")</f>
        <v>9.999999999999998E-4</v>
      </c>
      <c r="R302" s="1296">
        <f>IFERROR(IF(ISBLANK($B302),"",VLOOKUP($B302,PO_Enrgy_1_Table,MATCH($M$16,PO_Enrgy_1_Hdr,0),FALSE)),"")</f>
        <v>3.1399999999999996E-3</v>
      </c>
      <c r="S302" s="1296">
        <f ca="1">IFERROR(G302/E302,"")</f>
        <v>8.5000000000000006E-2</v>
      </c>
      <c r="AH302" s="546"/>
      <c r="AI302" s="546"/>
      <c r="AJ302" s="539"/>
      <c r="AL302" s="550"/>
      <c r="AM302" s="550"/>
      <c r="AN302" s="584"/>
      <c r="AP302" s="556"/>
      <c r="AR302" s="557"/>
      <c r="AS302" s="540"/>
      <c r="AT302" s="540"/>
      <c r="AU302" s="567"/>
      <c r="BC302" s="1906"/>
    </row>
    <row r="303" spans="1:55" ht="15" customHeight="1" x14ac:dyDescent="0.3">
      <c r="A303" s="1063" t="s">
        <v>1299</v>
      </c>
      <c r="B303" s="1177" t="str">
        <f>IFERROR(IF(ISBLANK(B18),"",B18),"")</f>
        <v>Natural Gas</v>
      </c>
      <c r="C303" s="2840" t="str">
        <f>IFERROR(IF(ISBLANK($B303),"",VLOOKUP($B303,PO_Enrgy_1_Table,MATCH($C$16,PO_Enrgy_1_Hdr,0),FALSE) ),"")</f>
        <v>therm</v>
      </c>
      <c r="D303" s="2841" t="e">
        <f>IF(C303="","",VLOOKUP(C303,ProjectEnergyTypeTable,3,FALSE))</f>
        <v>#NAME?</v>
      </c>
      <c r="E303" s="1188">
        <f>IFERROR(IF(PO_SiteRenewable=TRUE,VLOOKUP($B303,PO_Enrgy_2_Table,MATCH($E$37,PO_Enrgy_2_Hdr,0),FALSE),0),"")</f>
        <v>0</v>
      </c>
      <c r="F303" s="1188">
        <f>IFERROR(E303*$R303,"")</f>
        <v>0</v>
      </c>
      <c r="G303" s="1164">
        <f>IFERROR(IF(PO_SiteRenewable=TRUE,VLOOKUP($B303,PO_Enrgy_2_Table,MATCH($J$37,PO_Enrgy_2_Hdr,0),FALSE),0),"")</f>
        <v>0</v>
      </c>
      <c r="H303" s="1188">
        <f>IFERROR(VLOOKUP($B303,PO_Enrgy_13_Table,MATCH($H$290,PO_Enrgy_13_Hdr,0),FALSE)-IF(PO_SiteRenewable=TRUE,VLOOKUP($B303,PO_Enrgy_2_Table,MATCH($E$37,PO_Enrgy_2_Hdr,0),FALSE),0),0)</f>
        <v>0</v>
      </c>
      <c r="I303" s="1188">
        <f>IFERROR(H303*$R303,"")</f>
        <v>0</v>
      </c>
      <c r="J303" s="1164">
        <f>IFERROR(VLOOKUP($B303,PO_Enrgy_13_Table,MATCH($J$290,PO_Enrgy_13_Hdr,0),FALSE)-IF(PO_SiteRenewable=TRUE,VLOOKUP($B303,PO_Enrgy_2_Table,MATCH($J$37,PO_Enrgy_2_Hdr,0),FALSE),0),0)</f>
        <v>0</v>
      </c>
      <c r="K303" s="2842" t="str">
        <f>IFERROR(1-$H303/VLOOKUP($B303,PO_Enrgy_13_Table,MATCH($E$290,PO_Enrgy_13_Hdr,0),FALSE),"")</f>
        <v/>
      </c>
      <c r="L303" s="2843"/>
      <c r="M303" s="1202" t="str">
        <f>IFERROR(1-$J303/VLOOKUP($B303,PO_Enrgy_13_Table,MATCH($G$290,PO_Enrgy_13_Hdr,0),FALSE),"")</f>
        <v/>
      </c>
      <c r="Q303" s="1296">
        <f>IFERROR(IF(ISBLANK($B303),"",VLOOKUP($B303,PO_Enrgy_1_Table,MATCH($K$16,PO_Enrgy_1_Hdr,0),FALSE)),"")</f>
        <v>2.9308323563892142E-2</v>
      </c>
      <c r="R303" s="1296">
        <f>IFERROR(IF(ISBLANK($B303),"",VLOOKUP($B303,PO_Enrgy_1_Table,MATCH($M$16,PO_Enrgy_1_Hdr,0),FALSE)),"")</f>
        <v>3.0773739742086751E-2</v>
      </c>
      <c r="S303" s="1296" t="str">
        <f>IFERROR(G303/E303,"")</f>
        <v/>
      </c>
      <c r="AH303" s="546"/>
      <c r="AI303" s="546"/>
      <c r="AJ303" s="539"/>
      <c r="AL303" s="550"/>
      <c r="AM303" s="550"/>
      <c r="AN303" s="584"/>
      <c r="AP303" s="556"/>
      <c r="AR303" s="557"/>
      <c r="AS303" s="540"/>
      <c r="AT303" s="540"/>
      <c r="AU303" s="567"/>
      <c r="BC303" s="1906"/>
    </row>
    <row r="304" spans="1:55" ht="15" customHeight="1" x14ac:dyDescent="0.3">
      <c r="A304" s="1063" t="s">
        <v>1299</v>
      </c>
      <c r="B304" s="1177" t="str">
        <f>IFERROR(IF(ISBLANK(B19),"",B19),"")</f>
        <v>District Cooling</v>
      </c>
      <c r="C304" s="2840" t="str">
        <f>IFERROR(IF(ISBLANK($B304),"",VLOOKUP($B304,PO_Enrgy_1_Table,MATCH($C$16,PO_Enrgy_1_Hdr,0),FALSE) ),"")</f>
        <v>MWh</v>
      </c>
      <c r="D304" s="2841" t="e">
        <f>IF(C304="","",VLOOKUP(C304,ProjectEnergyTypeTable,3,FALSE))</f>
        <v>#NAME?</v>
      </c>
      <c r="E304" s="1188">
        <f>IFERROR(IF(PO_SiteRenewable=TRUE,VLOOKUP($B304,PO_Enrgy_2_Table,MATCH($E$37,PO_Enrgy_2_Hdr,0),FALSE),0),"")</f>
        <v>0</v>
      </c>
      <c r="F304" s="1188">
        <f>IFERROR(E304*$R304,"")</f>
        <v>0</v>
      </c>
      <c r="G304" s="1164">
        <f>IFERROR(IF(PO_SiteRenewable=TRUE,VLOOKUP($B304,PO_Enrgy_2_Table,MATCH($J$37,PO_Enrgy_2_Hdr,0),FALSE),0),"")</f>
        <v>0</v>
      </c>
      <c r="H304" s="1188">
        <f>IFERROR(VLOOKUP($B304,PO_Enrgy_13_Table,MATCH($H$290,PO_Enrgy_13_Hdr,0),FALSE)-IF(PO_SiteRenewable=TRUE,VLOOKUP($B304,PO_Enrgy_2_Table,MATCH($E$37,PO_Enrgy_2_Hdr,0),FALSE),0),0)</f>
        <v>0</v>
      </c>
      <c r="I304" s="1188">
        <f>IFERROR(H304*$R304,"")</f>
        <v>0</v>
      </c>
      <c r="J304" s="1164">
        <f>IFERROR(VLOOKUP($B304,PO_Enrgy_13_Table,MATCH($J$290,PO_Enrgy_13_Hdr,0),FALSE)-IF(PO_SiteRenewable=TRUE,VLOOKUP($B304,PO_Enrgy_2_Table,MATCH($J$37,PO_Enrgy_2_Hdr,0),FALSE),0),0)</f>
        <v>0</v>
      </c>
      <c r="K304" s="2842" t="str">
        <f>IFERROR(1-$H304/VLOOKUP($B304,PO_Enrgy_13_Table,MATCH($E$290,PO_Enrgy_13_Hdr,0),FALSE),"")</f>
        <v/>
      </c>
      <c r="L304" s="2843"/>
      <c r="M304" s="1202" t="str">
        <f>IFERROR(1-$J304/VLOOKUP($B304,PO_Enrgy_13_Table,MATCH($G$290,PO_Enrgy_13_Hdr,0),FALSE),"")</f>
        <v/>
      </c>
      <c r="Q304" s="1296">
        <f>IFERROR(IF(ISBLANK($B304),"",VLOOKUP($B304,PO_Enrgy_1_Table,MATCH($K$16,PO_Enrgy_1_Hdr,0),FALSE)),"")</f>
        <v>0.99999999999999989</v>
      </c>
      <c r="R304" s="1296">
        <f>IFERROR(IF(ISBLANK($B304),"",VLOOKUP($B304,PO_Enrgy_1_Table,MATCH($M$16,PO_Enrgy_1_Hdr,0),FALSE)),"")</f>
        <v>0.99999999999999989</v>
      </c>
      <c r="S304" s="1296" t="str">
        <f>IFERROR(G304/E304,"")</f>
        <v/>
      </c>
      <c r="AH304" s="546"/>
      <c r="AI304" s="546"/>
      <c r="AJ304" s="539"/>
      <c r="AL304" s="550"/>
      <c r="AM304" s="550"/>
      <c r="AN304" s="584"/>
      <c r="AP304" s="556"/>
      <c r="AR304" s="557"/>
      <c r="AS304" s="540"/>
      <c r="AT304" s="540"/>
      <c r="AU304" s="567"/>
      <c r="BC304" s="1906"/>
    </row>
    <row r="305" spans="1:55" s="528" customFormat="1" ht="21" customHeight="1" x14ac:dyDescent="0.3">
      <c r="A305" s="1063" t="s">
        <v>1299</v>
      </c>
      <c r="B305" s="2693" t="str">
        <f>"Energy model subtotal (" &amp; PO_SiteUnits &amp; ")"</f>
        <v>Energy model subtotal (MWh)</v>
      </c>
      <c r="C305" s="2693"/>
      <c r="D305" s="2693"/>
      <c r="E305" s="1188">
        <f>IFERROR(SUMPRODUCT(INDEX(PO_Enrgy_14_Table,0,MATCH(E$301,PO_Enrgy_14_Hdr,0)),INDEX(PO_Enrgy_14_Table,0,MATCH($Q$301,PO_Enrgy_14_Hdr,0))),"")</f>
        <v>105.84699999999998</v>
      </c>
      <c r="F305" s="1161">
        <f>IFERROR(SUM(INDEX(PO_Enrgy_14_Table,0,MATCH(F$301,PO_Enrgy_14_Hdr,0))),"")</f>
        <v>332.35957999999994</v>
      </c>
      <c r="G305" s="1164">
        <f ca="1">IFERROR(SUM(INDEX(PO_Enrgy_14_Table,0,MATCH(G$301,PO_Enrgy_14_Hdr,0))),"")</f>
        <v>8996.9950000000008</v>
      </c>
      <c r="H305" s="1188">
        <f ca="1">IFERROR(SUMPRODUCT(INDEX(PO_Enrgy_14_Table,0,MATCH(H$301,PO_Enrgy_14_Hdr,0)),INDEX(PO_Enrgy_14_Table,0,MATCH($Q$301,PO_Enrgy_14_Hdr,0))),"")</f>
        <v>4046.7607199999993</v>
      </c>
      <c r="I305" s="1161">
        <f ca="1">IFERROR(SUM(INDEX(PO_Enrgy_14_Table,0,MATCH(I$301,PO_Enrgy_14_Hdr,0))),"")</f>
        <v>12706.828660799998</v>
      </c>
      <c r="J305" s="1164">
        <f ca="1">IFERROR(SUM(INDEX(PO_Enrgy_14_Table,0,MATCH(J$301,PO_Enrgy_14_Hdr,0))),"")</f>
        <v>343974.66120000003</v>
      </c>
      <c r="K305" s="2869">
        <f ca="1">IFERROR(1-$H305/$E$294,"")</f>
        <v>0.1326418308149665</v>
      </c>
      <c r="L305" s="2869"/>
      <c r="M305" s="1187">
        <f ca="1">IFERROR(1-$J305/$G$294,"")</f>
        <v>0.13264183081496639</v>
      </c>
      <c r="N305" s="502"/>
      <c r="O305" s="502"/>
      <c r="P305" s="502"/>
      <c r="AJ305" s="15"/>
      <c r="AL305" s="550"/>
      <c r="AM305" s="551"/>
      <c r="AR305" s="557"/>
      <c r="AS305" s="540"/>
      <c r="AT305" s="540"/>
      <c r="AU305" s="541"/>
      <c r="BC305" s="1906"/>
    </row>
    <row r="306" spans="1:55" s="528" customFormat="1" ht="33" customHeight="1" x14ac:dyDescent="0.3">
      <c r="A306" s="1063" t="s">
        <v>1299</v>
      </c>
      <c r="B306" s="532"/>
      <c r="C306" s="532"/>
      <c r="D306" s="532"/>
      <c r="E306" s="538"/>
      <c r="F306" s="538"/>
      <c r="G306" s="577"/>
      <c r="H306" s="538"/>
      <c r="I306" s="538"/>
      <c r="J306" s="577"/>
      <c r="K306" s="720"/>
      <c r="L306" s="502"/>
      <c r="M306" s="720"/>
      <c r="N306" s="502"/>
      <c r="O306" s="502"/>
      <c r="P306" s="502"/>
      <c r="AJ306" s="15"/>
      <c r="AL306" s="550"/>
      <c r="AM306" s="551"/>
      <c r="AR306" s="557"/>
      <c r="AS306" s="540"/>
      <c r="AT306" s="540"/>
      <c r="AU306" s="541"/>
    </row>
    <row r="307" spans="1:55" ht="21.75" hidden="1" customHeight="1" x14ac:dyDescent="0.3">
      <c r="A307" s="1063" t="s">
        <v>1299</v>
      </c>
      <c r="B307" s="957" t="s">
        <v>1287</v>
      </c>
      <c r="C307" s="390"/>
      <c r="D307" s="390"/>
      <c r="E307" s="390"/>
      <c r="F307" s="390"/>
      <c r="G307" s="390"/>
      <c r="H307" s="390"/>
      <c r="I307" s="390"/>
      <c r="J307" s="390"/>
      <c r="AL307" s="572"/>
      <c r="AM307" s="573"/>
    </row>
    <row r="308" spans="1:55" ht="39.75" hidden="1" customHeight="1" x14ac:dyDescent="0.3">
      <c r="A308" s="1063" t="s">
        <v>1299</v>
      </c>
      <c r="B308" s="2697" t="str">
        <f>"Enter the IT equipment energy consumption " &amp; IF(Datacenter_Avg=FALSE, " and total building consumption by end-use including renewable energy ","") &amp; "for the Startup IT loads.  The information for the full buildout loads is tabulated from the data above.  PUE3 is calculated based on source energy."</f>
        <v>Enter the IT equipment energy consumption  and total building consumption by end-use including renewable energy for the Startup IT loads.  The information for the full buildout loads is tabulated from the data above.  PUE3 is calculated based on source energy.</v>
      </c>
      <c r="C308" s="2240"/>
      <c r="D308" s="2240"/>
      <c r="E308" s="2240"/>
      <c r="F308" s="2240"/>
      <c r="G308" s="2240"/>
      <c r="H308" s="2240"/>
      <c r="I308" s="2240"/>
      <c r="J308" s="2240"/>
      <c r="K308" s="2240"/>
      <c r="L308" s="2240"/>
      <c r="M308" s="2240"/>
      <c r="AL308" s="572"/>
      <c r="AM308" s="573"/>
    </row>
    <row r="309" spans="1:55" ht="54" hidden="1" customHeight="1" x14ac:dyDescent="0.3">
      <c r="A309" s="1063" t="s">
        <v>1299</v>
      </c>
      <c r="B309" s="2698" t="s">
        <v>444</v>
      </c>
      <c r="C309" s="2402" t="s">
        <v>1805</v>
      </c>
      <c r="D309" s="2699"/>
      <c r="E309" s="2698" t="s">
        <v>1291</v>
      </c>
      <c r="F309" s="2698"/>
      <c r="G309" s="2698"/>
      <c r="H309" s="2723"/>
      <c r="I309" s="2698" t="s">
        <v>1292</v>
      </c>
      <c r="J309" s="2852"/>
      <c r="K309" s="2852"/>
      <c r="L309" s="2852"/>
      <c r="M309" s="2852"/>
      <c r="N309" s="2832"/>
      <c r="O309" s="2832"/>
      <c r="P309" s="2832"/>
      <c r="AJ309" s="15"/>
      <c r="AL309" s="550"/>
      <c r="AM309" s="551"/>
    </row>
    <row r="310" spans="1:55" ht="48" hidden="1" customHeight="1" x14ac:dyDescent="0.3">
      <c r="A310" s="1063" t="s">
        <v>1299</v>
      </c>
      <c r="B310" s="2699"/>
      <c r="C310" s="2699"/>
      <c r="D310" s="2699"/>
      <c r="E310" s="966" t="s">
        <v>1117</v>
      </c>
      <c r="F310" s="1115" t="str">
        <f>"Source Energy Use 
("  &amp; PO_SourceUnits &amp; ")"</f>
        <v>Source Energy Use 
(MWh)</v>
      </c>
      <c r="G310" s="2700" t="s">
        <v>1118</v>
      </c>
      <c r="H310" s="2835"/>
      <c r="I310" s="966" t="s">
        <v>1117</v>
      </c>
      <c r="J310" s="1115" t="str">
        <f>"Source Energy Use 
("  &amp; PO_SourceUnits &amp; ")"</f>
        <v>Source Energy Use 
(MWh)</v>
      </c>
      <c r="K310" s="2700" t="s">
        <v>1118</v>
      </c>
      <c r="L310" s="2852"/>
      <c r="M310" s="2852"/>
      <c r="N310" s="578"/>
      <c r="O310" s="578"/>
      <c r="P310" s="578"/>
      <c r="AJ310" s="15"/>
    </row>
    <row r="311" spans="1:55" s="1076" customFormat="1" ht="14.4" hidden="1" x14ac:dyDescent="0.3">
      <c r="A311" s="1063" t="s">
        <v>1299</v>
      </c>
      <c r="B311" s="1099" t="s">
        <v>1765</v>
      </c>
      <c r="C311" s="1091" t="s">
        <v>1793</v>
      </c>
      <c r="D311" s="1099"/>
      <c r="E311" s="1100" t="s">
        <v>1828</v>
      </c>
      <c r="F311" s="1099" t="s">
        <v>1829</v>
      </c>
      <c r="G311" s="1100" t="s">
        <v>1830</v>
      </c>
      <c r="H311" s="1100"/>
      <c r="I311" s="1099" t="s">
        <v>1831</v>
      </c>
      <c r="J311" s="1100" t="s">
        <v>1832</v>
      </c>
      <c r="K311" s="1100" t="s">
        <v>1833</v>
      </c>
      <c r="L311" s="1091"/>
      <c r="M311" s="1100"/>
      <c r="N311" s="1094"/>
      <c r="O311" s="1094"/>
      <c r="P311" s="1094"/>
      <c r="Q311" s="1042" t="s">
        <v>1776</v>
      </c>
      <c r="R311" s="1042" t="s">
        <v>1777</v>
      </c>
      <c r="AJ311" s="1077"/>
    </row>
    <row r="312" spans="1:55" ht="15" hidden="1" customHeight="1" x14ac:dyDescent="0.3">
      <c r="A312" s="1063" t="s">
        <v>1299</v>
      </c>
      <c r="B312" s="1082" t="str">
        <f>B190</f>
        <v>IT equipment</v>
      </c>
      <c r="C312" s="2688" t="s">
        <v>488</v>
      </c>
      <c r="D312" s="2689" t="e">
        <f>IF(C312="","",VLOOKUP(C312,ProjectEnergyTypeTable,3,FALSE))</f>
        <v>#NAME?</v>
      </c>
      <c r="E312" s="1189"/>
      <c r="F312" s="1161">
        <f>IFERROR(E312*$R312,"")</f>
        <v>0</v>
      </c>
      <c r="G312" s="2853"/>
      <c r="H312" s="2854"/>
      <c r="I312" s="1190" t="str">
        <f ca="1">IFERROR(VLOOKUP(B312,PO_design_table,MATCH($H$169,PO_design_hdr,0),FALSE),"")</f>
        <v/>
      </c>
      <c r="J312" s="1161" t="str">
        <f ca="1">IFERROR(I312*$R312,"")</f>
        <v/>
      </c>
      <c r="K312" s="2855"/>
      <c r="L312" s="2855"/>
      <c r="M312" s="2855"/>
      <c r="Q312" s="1043">
        <f>IFERROR(VLOOKUP("Electricity",PO_Enrgy_1_Table,MATCH($K$16,PO_Enrgy_1_Hdr,0),FALSE),"")</f>
        <v>9.999999999999998E-4</v>
      </c>
      <c r="R312" s="1043">
        <f>IFERROR(VLOOKUP("electricity",PO_Enrgy_1_Table,MATCH($M$16,PO_Enrgy_1_Hdr,0),FALSE),"")</f>
        <v>3.1399999999999996E-3</v>
      </c>
      <c r="AH312" s="546"/>
      <c r="AI312" s="546"/>
      <c r="AJ312" s="15"/>
      <c r="AL312" s="550"/>
      <c r="AM312" s="551"/>
      <c r="AN312" s="552"/>
    </row>
    <row r="313" spans="1:55" ht="21" hidden="1" customHeight="1" x14ac:dyDescent="0.3">
      <c r="A313" s="1063" t="s">
        <v>1299</v>
      </c>
      <c r="B313" s="2859" t="s">
        <v>1114</v>
      </c>
      <c r="C313" s="2860"/>
      <c r="D313" s="2861"/>
      <c r="E313" s="1191"/>
      <c r="F313" s="1191"/>
      <c r="G313" s="2862"/>
      <c r="H313" s="2862"/>
      <c r="I313" s="1192"/>
      <c r="J313" s="1192"/>
      <c r="K313" s="2863"/>
      <c r="L313" s="2863"/>
      <c r="M313" s="2863"/>
      <c r="Q313" s="1042" t="s">
        <v>1776</v>
      </c>
      <c r="R313" s="1042" t="s">
        <v>1777</v>
      </c>
      <c r="AH313" s="546"/>
      <c r="AI313" s="546"/>
      <c r="AJ313" s="15"/>
      <c r="AL313" s="550"/>
      <c r="AM313" s="551"/>
      <c r="AN313" s="552"/>
    </row>
    <row r="314" spans="1:55" ht="15" hidden="1" customHeight="1" x14ac:dyDescent="0.3">
      <c r="A314" s="1063" t="s">
        <v>1299</v>
      </c>
      <c r="B314" s="1082" t="str">
        <f>IFERROR(IF(ISBLANK(B17),"",B17),"")</f>
        <v>Electricity</v>
      </c>
      <c r="C314" s="2688" t="str">
        <f>IFERROR(IF(ISBLANK($B314),"",VLOOKUP($B314,PO_Enrgy_1_Table,MATCH($C$16,PO_Enrgy_1_Hdr,0),FALSE) ),"")</f>
        <v>kWh</v>
      </c>
      <c r="D314" s="2689" t="e">
        <f>IF(C314="","",VLOOKUP(C314,ProjectEnergyTypeTable,3,FALSE))</f>
        <v>#NAME?</v>
      </c>
      <c r="E314" s="1203" t="str">
        <f>IFERROR(IF(Datacenter_Avg=TRUE,VLOOKUP($B314,PO_Enrgy_11_Table,MATCH($H$272,PO_Enrgy_11_Hdr,0),FALSE)-VLOOKUP($B314,PO_Enrgy_14_Table,MATCH($E301,PO_Enrgy_14_Hdr,0),FALSE),""),"")</f>
        <v/>
      </c>
      <c r="F314" s="1188" t="str">
        <f>IFERROR(E314*$R314,"")</f>
        <v/>
      </c>
      <c r="G314" s="2856"/>
      <c r="H314" s="2857"/>
      <c r="I314" s="1188">
        <f ca="1">IFERROR(VLOOKUP($B314,PO_Enrgy_12_Table,MATCH($H$281,PO_Enrgy_12_Hdr,0),FALSE)-VLOOKUP($B314,PO_Enrgy_14_Table,MATCH($E$301,PO_Enrgy_14_Hdr,0),FALSE),"")</f>
        <v>4046760.72</v>
      </c>
      <c r="J314" s="1188">
        <f ca="1">IFERROR(I314*$R314,"")</f>
        <v>12706.828660799998</v>
      </c>
      <c r="K314" s="2858"/>
      <c r="L314" s="2858"/>
      <c r="M314" s="2858"/>
      <c r="Q314" s="1043">
        <f>IFERROR(IF(ISBLANK($B314),"",VLOOKUP($B314,PO_Enrgy_1_Table,MATCH($K$16,PO_Enrgy_1_Hdr,0),FALSE)),"")</f>
        <v>9.999999999999998E-4</v>
      </c>
      <c r="R314" s="1043">
        <f>IFERROR(IF(ISBLANK($B314),"",VLOOKUP($B314,PO_Enrgy_1_Table,MATCH($M$16,PO_Enrgy_1_Hdr,0),FALSE)),"")</f>
        <v>3.1399999999999996E-3</v>
      </c>
      <c r="AH314" s="546"/>
      <c r="AI314" s="546"/>
      <c r="AJ314" s="1102"/>
      <c r="AK314" s="538"/>
      <c r="AL314" s="550"/>
      <c r="AM314" s="551"/>
      <c r="AN314" s="552"/>
    </row>
    <row r="315" spans="1:55" ht="15" hidden="1" customHeight="1" x14ac:dyDescent="0.3">
      <c r="A315" s="1063" t="s">
        <v>1299</v>
      </c>
      <c r="B315" s="1082" t="str">
        <f>IFERROR(IF(ISBLANK(B18),"",B18),"")</f>
        <v>Natural Gas</v>
      </c>
      <c r="C315" s="2688" t="str">
        <f>IFERROR(IF(ISBLANK($B315),"",VLOOKUP($B315,PO_Enrgy_1_Table,MATCH($C$16,PO_Enrgy_1_Hdr,0),FALSE) ),"")</f>
        <v>therm</v>
      </c>
      <c r="D315" s="2689" t="e">
        <f>IF(C315="","",VLOOKUP(C315,ProjectEnergyTypeTable,3,FALSE))</f>
        <v>#NAME?</v>
      </c>
      <c r="E315" s="1203" t="str">
        <f>IFERROR(IF(Datacenter_Avg=TRUE,VLOOKUP($B315,PO_Enrgy_11_Table,MATCH($H$272,PO_Enrgy_11_Hdr,0),FALSE)-VLOOKUP($B315,PO_Enrgy_14_Table,MATCH(#REF!,PO_Enrgy_14_Hdr,0),FALSE),""),"")</f>
        <v/>
      </c>
      <c r="F315" s="1188" t="str">
        <f>IFERROR(E315*$R315,"")</f>
        <v/>
      </c>
      <c r="G315" s="2856"/>
      <c r="H315" s="2857"/>
      <c r="I315" s="1188">
        <f>IFERROR(VLOOKUP($B315,PO_Enrgy_12_Table,MATCH($H$281,PO_Enrgy_12_Hdr,0),FALSE)-VLOOKUP($B315,PO_Enrgy_14_Table,MATCH($E$301,PO_Enrgy_14_Hdr,0),FALSE),"")</f>
        <v>0</v>
      </c>
      <c r="J315" s="1188">
        <f>IFERROR(I315*$R315,"")</f>
        <v>0</v>
      </c>
      <c r="K315" s="2858"/>
      <c r="L315" s="2858"/>
      <c r="M315" s="2858"/>
      <c r="Q315" s="1043">
        <f>IFERROR(IF(ISBLANK($B315),"",VLOOKUP($B315,PO_Enrgy_1_Table,MATCH($K$16,PO_Enrgy_1_Hdr,0),FALSE)),"")</f>
        <v>2.9308323563892142E-2</v>
      </c>
      <c r="R315" s="1043">
        <f>IFERROR(IF(ISBLANK($B315),"",VLOOKUP($B315,PO_Enrgy_1_Table,MATCH($M$16,PO_Enrgy_1_Hdr,0),FALSE)),"")</f>
        <v>3.0773739742086751E-2</v>
      </c>
      <c r="AH315" s="546"/>
      <c r="AI315" s="546"/>
      <c r="AJ315" s="1102"/>
      <c r="AK315" s="538"/>
      <c r="AL315" s="550"/>
      <c r="AM315" s="551"/>
      <c r="AN315" s="552"/>
    </row>
    <row r="316" spans="1:55" ht="15" hidden="1" customHeight="1" x14ac:dyDescent="0.3">
      <c r="A316" s="1063" t="s">
        <v>1299</v>
      </c>
      <c r="B316" s="1082" t="str">
        <f>IFERROR(IF(ISBLANK(B19),"",B19),"")</f>
        <v>District Cooling</v>
      </c>
      <c r="C316" s="2688" t="str">
        <f>IFERROR(IF(ISBLANK($B316),"",VLOOKUP($B316,PO_Enrgy_1_Table,MATCH($C$16,PO_Enrgy_1_Hdr,0),FALSE) ),"")</f>
        <v>MWh</v>
      </c>
      <c r="D316" s="2689" t="e">
        <f>IF(C316="","",VLOOKUP(C316,ProjectEnergyTypeTable,3,FALSE))</f>
        <v>#NAME?</v>
      </c>
      <c r="E316" s="1203" t="str">
        <f>IFERROR(IF(Datacenter_Avg=TRUE,VLOOKUP($B316,PO_Enrgy_11_Table,MATCH($H$272,PO_Enrgy_11_Hdr,0),FALSE)-VLOOKUP($B316,PO_Enrgy_14_Table,MATCH(#REF!,PO_Enrgy_14_Hdr,0),FALSE),""),"")</f>
        <v/>
      </c>
      <c r="F316" s="1188" t="str">
        <f>IFERROR(E316*$R316,"")</f>
        <v/>
      </c>
      <c r="G316" s="2856"/>
      <c r="H316" s="2857"/>
      <c r="I316" s="1188">
        <f>IFERROR(VLOOKUP($B316,PO_Enrgy_12_Table,MATCH($H$281,PO_Enrgy_12_Hdr,0),FALSE)-VLOOKUP($B316,PO_Enrgy_14_Table,MATCH($E$301,PO_Enrgy_14_Hdr,0),FALSE),"")</f>
        <v>0</v>
      </c>
      <c r="J316" s="1188">
        <f>IFERROR(I316*$R316,"")</f>
        <v>0</v>
      </c>
      <c r="K316" s="2858"/>
      <c r="L316" s="2858"/>
      <c r="M316" s="2858"/>
      <c r="Q316" s="1043">
        <f>IFERROR(IF(ISBLANK($B316),"",VLOOKUP($B316,PO_Enrgy_1_Table,MATCH($K$16,PO_Enrgy_1_Hdr,0),FALSE)),"")</f>
        <v>0.99999999999999989</v>
      </c>
      <c r="R316" s="1043">
        <f>IFERROR(IF(ISBLANK($B316),"",VLOOKUP($B316,PO_Enrgy_1_Table,MATCH($M$16,PO_Enrgy_1_Hdr,0),FALSE)),"")</f>
        <v>0.99999999999999989</v>
      </c>
      <c r="AH316" s="546"/>
      <c r="AI316" s="546"/>
      <c r="AJ316" s="1102"/>
      <c r="AK316" s="538"/>
      <c r="AL316" s="550"/>
      <c r="AM316" s="551"/>
      <c r="AN316" s="552"/>
    </row>
    <row r="317" spans="1:55" s="528" customFormat="1" ht="21" hidden="1" customHeight="1" x14ac:dyDescent="0.3">
      <c r="A317" s="1063" t="s">
        <v>1299</v>
      </c>
      <c r="B317" s="2693" t="str">
        <f>"Energy model subtotal (" &amp; PO_SiteUnits &amp; ")"</f>
        <v>Energy model subtotal (MWh)</v>
      </c>
      <c r="C317" s="2693"/>
      <c r="D317" s="2693"/>
      <c r="E317" s="1188">
        <f>IFERROR(SUMPRODUCT(INDEX(PO_Enrgy_15_Table,0,MATCH(E$311,PO_Enrgy_15_Hdr,0)),INDEX(PO_Enrgy_15_Table,0,MATCH($Q$311,PO_Enrgy_15_Hdr,0))),"")</f>
        <v>0</v>
      </c>
      <c r="F317" s="1161">
        <f>IFERROR(SUM(INDEX(PO_Enrgy_15_Table,0,MATCH(F$311,PO_Enrgy_15_Hdr,0))),"")</f>
        <v>0</v>
      </c>
      <c r="G317" s="2871" t="str">
        <f>IFERROR(F317/F312,"")</f>
        <v/>
      </c>
      <c r="H317" s="2872"/>
      <c r="I317" s="1188">
        <f ca="1">IFERROR(SUMPRODUCT(INDEX(PO_Enrgy_15_Table,0,MATCH(I$311,PO_Enrgy_15_Hdr,0)),INDEX(PO_Enrgy_15_Table,0,MATCH($Q$311,PO_Enrgy_15_Hdr,0))),"")</f>
        <v>4046.7607199999993</v>
      </c>
      <c r="J317" s="1161">
        <f ca="1">IFERROR(SUM(INDEX(PO_Enrgy_15_Table,0,MATCH(J$311,PO_Enrgy_15_Hdr,0))),"")</f>
        <v>12706.828660799998</v>
      </c>
      <c r="K317" s="2871" t="str">
        <f ca="1">IFERROR(J317/J312,"")</f>
        <v/>
      </c>
      <c r="L317" s="2871"/>
      <c r="M317" s="2871"/>
      <c r="N317" s="502"/>
      <c r="O317" s="502"/>
      <c r="P317" s="502"/>
      <c r="AJ317" s="15"/>
      <c r="AL317" s="550"/>
      <c r="AM317" s="551"/>
    </row>
    <row r="318" spans="1:55" s="528" customFormat="1" ht="33.75" hidden="1" customHeight="1" x14ac:dyDescent="0.3">
      <c r="A318" s="1063" t="s">
        <v>1299</v>
      </c>
      <c r="B318" s="532"/>
      <c r="C318" s="532"/>
      <c r="D318" s="532"/>
      <c r="E318" s="730"/>
      <c r="F318" s="538"/>
      <c r="G318" s="581"/>
      <c r="I318" s="538"/>
      <c r="J318" s="538"/>
      <c r="K318" s="720"/>
      <c r="L318" s="720"/>
      <c r="M318" s="720"/>
      <c r="N318" s="502"/>
      <c r="O318" s="502"/>
      <c r="P318" s="502"/>
      <c r="AJ318" s="15"/>
      <c r="AL318" s="550"/>
      <c r="AM318" s="551"/>
    </row>
    <row r="319" spans="1:55" ht="21" customHeight="1" x14ac:dyDescent="0.3">
      <c r="A319" s="1063" t="s">
        <v>1299</v>
      </c>
      <c r="B319" s="957" t="s">
        <v>1273</v>
      </c>
      <c r="AL319" s="572"/>
      <c r="AM319" s="573"/>
    </row>
    <row r="320" spans="1:55" ht="25.5" customHeight="1" x14ac:dyDescent="0.3">
      <c r="A320" s="1063" t="s">
        <v>1299</v>
      </c>
      <c r="B320" s="2698" t="s">
        <v>444</v>
      </c>
      <c r="C320" s="2402" t="s">
        <v>1805</v>
      </c>
      <c r="D320" s="2699"/>
      <c r="E320" s="2700" t="s">
        <v>347</v>
      </c>
      <c r="F320" s="2698"/>
      <c r="G320" s="2698"/>
      <c r="H320" s="2700" t="s">
        <v>348</v>
      </c>
      <c r="I320" s="2698"/>
      <c r="J320" s="2698"/>
      <c r="K320" s="2700" t="s">
        <v>448</v>
      </c>
      <c r="L320" s="2698"/>
      <c r="M320" s="2699"/>
      <c r="AJ320" s="15"/>
    </row>
    <row r="321" spans="1:60" ht="63.75" customHeight="1" x14ac:dyDescent="0.3">
      <c r="A321" s="1063" t="s">
        <v>1299</v>
      </c>
      <c r="B321" s="2699"/>
      <c r="C321" s="2699"/>
      <c r="D321" s="2699"/>
      <c r="E321" s="966" t="s">
        <v>1117</v>
      </c>
      <c r="F321" s="1115" t="str">
        <f>"Source Energy Use 
("  &amp; PO_SourceUnits &amp; ")"</f>
        <v>Source Energy Use 
(MWh)</v>
      </c>
      <c r="G321" s="966" t="s">
        <v>446</v>
      </c>
      <c r="H321" s="966" t="s">
        <v>1117</v>
      </c>
      <c r="I321" s="1115" t="str">
        <f>"Source Energy Use 
("  &amp; PO_SourceUnits &amp; ")"</f>
        <v>Source Energy Use 
(MWh)</v>
      </c>
      <c r="J321" s="966" t="s">
        <v>446</v>
      </c>
      <c r="K321" s="2700" t="s">
        <v>447</v>
      </c>
      <c r="L321" s="2699"/>
      <c r="M321" s="966" t="s">
        <v>446</v>
      </c>
      <c r="AJ321" s="15"/>
    </row>
    <row r="322" spans="1:60" s="1076" customFormat="1" ht="14.4" hidden="1" x14ac:dyDescent="0.3">
      <c r="A322" s="1063" t="s">
        <v>1299</v>
      </c>
      <c r="B322" s="1099" t="s">
        <v>1765</v>
      </c>
      <c r="C322" s="1091" t="s">
        <v>1793</v>
      </c>
      <c r="D322" s="1099"/>
      <c r="E322" s="1100" t="s">
        <v>1821</v>
      </c>
      <c r="F322" s="1099" t="s">
        <v>1822</v>
      </c>
      <c r="G322" s="1100" t="s">
        <v>1823</v>
      </c>
      <c r="H322" s="1100" t="s">
        <v>1806</v>
      </c>
      <c r="I322" s="1099" t="s">
        <v>1807</v>
      </c>
      <c r="J322" s="1100" t="s">
        <v>1808</v>
      </c>
      <c r="K322" s="1100" t="s">
        <v>1824</v>
      </c>
      <c r="L322" s="1091"/>
      <c r="M322" s="1100" t="s">
        <v>1810</v>
      </c>
      <c r="N322" s="1094"/>
      <c r="O322" s="1094"/>
      <c r="P322" s="1094"/>
      <c r="Q322" s="1042" t="s">
        <v>1776</v>
      </c>
      <c r="R322" s="1042" t="s">
        <v>1777</v>
      </c>
      <c r="AJ322" s="1077"/>
    </row>
    <row r="323" spans="1:60" ht="15" customHeight="1" x14ac:dyDescent="0.3">
      <c r="A323" s="1063" t="s">
        <v>1299</v>
      </c>
      <c r="B323" s="1082" t="str">
        <f>IFERROR(IF(ISBLANK(B17),"",B17),"")</f>
        <v>Electricity</v>
      </c>
      <c r="C323" s="2688" t="str">
        <f>IFERROR(IF(ISBLANK($B323),"",VLOOKUP($B323,PO_Enrgy_1_Table,MATCH($C$16,PO_Enrgy_1_Hdr,0),FALSE) ),"")</f>
        <v>kWh</v>
      </c>
      <c r="D323" s="2689" t="e">
        <f>IF(C323="","",VLOOKUP(C323,ProjectEnergyTypeTable,3,FALSE))</f>
        <v>#NAME?</v>
      </c>
      <c r="E323" s="1188">
        <f ca="1">IFERROR(VLOOKUP($B323,PO_Enrgy_13_Table,MATCH($E$290,PO_Enrgy_13_Hdr,0),FALSE),"")</f>
        <v>4665616.6550000003</v>
      </c>
      <c r="F323" s="1188">
        <f ca="1">IFERROR(E323*$R323,"")</f>
        <v>14650.036296699998</v>
      </c>
      <c r="G323" s="1204">
        <f ca="1">IFERROR(VLOOKUP($B323,PO_Enrgy_13_Table,MATCH($G$290,PO_Enrgy_13_Hdr,0),FALSE),"")</f>
        <v>396577.415675</v>
      </c>
      <c r="H323" s="1188">
        <f ca="1">IFERROR(VLOOKUP($B323,PO_Enrgy_14_Table,MATCH($H$290,PO_Enrgy_14_Hdr,0),FALSE),"")</f>
        <v>4046760.72</v>
      </c>
      <c r="I323" s="1188">
        <f ca="1">IFERROR(H323*$R323,"")</f>
        <v>12706.828660799998</v>
      </c>
      <c r="J323" s="1188">
        <f ca="1">IFERROR(VLOOKUP($B323,PO_Enrgy_14_Table,MATCH($J$290,PO_Enrgy_14_Hdr,0),FALSE),"")</f>
        <v>343974.66120000003</v>
      </c>
      <c r="K323" s="2692">
        <f ca="1">IFERROR(1-H323/E323,"")</f>
        <v>0.1326418308149665</v>
      </c>
      <c r="L323" s="2691"/>
      <c r="M323" s="1360">
        <f ca="1">IFERROR(1-J323/G323,"")</f>
        <v>0.13264183081496639</v>
      </c>
      <c r="Q323" s="1296">
        <f>IFERROR(IF(ISBLANK($B323),"",VLOOKUP($B323,PO_Enrgy_1_Table,MATCH($K$16,PO_Enrgy_1_Hdr,0),FALSE)),"")</f>
        <v>9.999999999999998E-4</v>
      </c>
      <c r="R323" s="1296">
        <f>IFERROR(IF(ISBLANK($B323),"",VLOOKUP($B323,PO_Enrgy_1_Table,MATCH($M$16,PO_Enrgy_1_Hdr,0),FALSE)),"")</f>
        <v>3.1399999999999996E-3</v>
      </c>
      <c r="AH323" s="546"/>
      <c r="AI323" s="546"/>
      <c r="AJ323" s="15"/>
      <c r="AL323" s="550"/>
      <c r="AM323" s="551"/>
      <c r="BC323" s="1906"/>
    </row>
    <row r="324" spans="1:60" ht="15" customHeight="1" x14ac:dyDescent="0.3">
      <c r="A324" s="1063" t="s">
        <v>1299</v>
      </c>
      <c r="B324" s="1082" t="str">
        <f>IFERROR(IF(ISBLANK(B18),"",B18),"")</f>
        <v>Natural Gas</v>
      </c>
      <c r="C324" s="2688" t="str">
        <f>IFERROR(IF(ISBLANK($B324),"",VLOOKUP($B324,PO_Enrgy_1_Table,MATCH($C$16,PO_Enrgy_1_Hdr,0),FALSE) ),"")</f>
        <v>therm</v>
      </c>
      <c r="D324" s="2689" t="e">
        <f>IF(C324="","",VLOOKUP(C324,ProjectEnergyTypeTable,3,FALSE))</f>
        <v>#NAME?</v>
      </c>
      <c r="E324" s="1188">
        <f>IFERROR(VLOOKUP($B324,PO_Enrgy_13_Table,MATCH($E$290,PO_Enrgy_13_Hdr,0),FALSE),"")</f>
        <v>0</v>
      </c>
      <c r="F324" s="1188">
        <f>IFERROR(E324*$R324,"")</f>
        <v>0</v>
      </c>
      <c r="G324" s="1204">
        <f>IFERROR(VLOOKUP($B324,PO_Enrgy_13_Table,MATCH($G$290,PO_Enrgy_13_Hdr,0),FALSE),"")</f>
        <v>0</v>
      </c>
      <c r="H324" s="1188">
        <f>IFERROR(VLOOKUP($B324,PO_Enrgy_14_Table,MATCH($H$290,PO_Enrgy_14_Hdr,0),FALSE),"")</f>
        <v>0</v>
      </c>
      <c r="I324" s="1188">
        <f>IFERROR(H324*$R324,"")</f>
        <v>0</v>
      </c>
      <c r="J324" s="1188">
        <f>IFERROR(VLOOKUP($B324,PO_Enrgy_14_Table,MATCH($J$290,PO_Enrgy_14_Hdr,0),FALSE),"")</f>
        <v>0</v>
      </c>
      <c r="K324" s="2692" t="str">
        <f>IFERROR(1-H324/E324,"")</f>
        <v/>
      </c>
      <c r="L324" s="2691"/>
      <c r="M324" s="1360" t="str">
        <f>IFERROR(1-J324/G324,"")</f>
        <v/>
      </c>
      <c r="Q324" s="1296">
        <f>IFERROR(IF(ISBLANK($B324),"",VLOOKUP($B324,PO_Enrgy_1_Table,MATCH($K$16,PO_Enrgy_1_Hdr,0),FALSE)),"")</f>
        <v>2.9308323563892142E-2</v>
      </c>
      <c r="R324" s="1296">
        <f>IFERROR(IF(ISBLANK($B324),"",VLOOKUP($B324,PO_Enrgy_1_Table,MATCH($M$16,PO_Enrgy_1_Hdr,0),FALSE)),"")</f>
        <v>3.0773739742086751E-2</v>
      </c>
      <c r="AH324" s="546"/>
      <c r="AI324" s="546"/>
      <c r="AJ324" s="15"/>
      <c r="AL324" s="550"/>
      <c r="AM324" s="551"/>
      <c r="BC324" s="1906"/>
    </row>
    <row r="325" spans="1:60" ht="15" customHeight="1" x14ac:dyDescent="0.3">
      <c r="A325" s="1063" t="s">
        <v>1299</v>
      </c>
      <c r="B325" s="1082" t="str">
        <f>IFERROR(IF(ISBLANK(B19),"",B19),"")</f>
        <v>District Cooling</v>
      </c>
      <c r="C325" s="2688" t="str">
        <f>IFERROR(IF(ISBLANK($B325),"",VLOOKUP($B325,PO_Enrgy_1_Table,MATCH($C$16,PO_Enrgy_1_Hdr,0),FALSE) ),"")</f>
        <v>MWh</v>
      </c>
      <c r="D325" s="2689" t="e">
        <f>IF(C325="","",VLOOKUP(C325,ProjectEnergyTypeTable,3,FALSE))</f>
        <v>#NAME?</v>
      </c>
      <c r="E325" s="1188">
        <f>IFERROR(VLOOKUP($B325,PO_Enrgy_13_Table,MATCH($E$290,PO_Enrgy_13_Hdr,0),FALSE),"")</f>
        <v>0</v>
      </c>
      <c r="F325" s="1188">
        <f>IFERROR(E325*$R325,"")</f>
        <v>0</v>
      </c>
      <c r="G325" s="1204">
        <f>IFERROR(VLOOKUP($B325,PO_Enrgy_13_Table,MATCH($G$290,PO_Enrgy_13_Hdr,0),FALSE),"")</f>
        <v>0</v>
      </c>
      <c r="H325" s="1188">
        <f>IFERROR(VLOOKUP($B325,PO_Enrgy_14_Table,MATCH($H$290,PO_Enrgy_14_Hdr,0),FALSE),"")</f>
        <v>0</v>
      </c>
      <c r="I325" s="1188">
        <f>IFERROR(H325*$R325,"")</f>
        <v>0</v>
      </c>
      <c r="J325" s="1188">
        <f>IFERROR(VLOOKUP($B325,PO_Enrgy_14_Table,MATCH($J$290,PO_Enrgy_14_Hdr,0),FALSE),"")</f>
        <v>0</v>
      </c>
      <c r="K325" s="2692" t="str">
        <f>IFERROR(1-H325/E325,"")</f>
        <v/>
      </c>
      <c r="L325" s="2691"/>
      <c r="M325" s="1360" t="str">
        <f>IFERROR(1-J325/G325,"")</f>
        <v/>
      </c>
      <c r="Q325" s="1296">
        <f>IFERROR(IF(ISBLANK($B325),"",VLOOKUP($B325,PO_Enrgy_1_Table,MATCH($K$16,PO_Enrgy_1_Hdr,0),FALSE)),"")</f>
        <v>0.99999999999999989</v>
      </c>
      <c r="R325" s="1296">
        <f>IFERROR(IF(ISBLANK($B325),"",VLOOKUP($B325,PO_Enrgy_1_Table,MATCH($M$16,PO_Enrgy_1_Hdr,0),FALSE)),"")</f>
        <v>0.99999999999999989</v>
      </c>
      <c r="AH325" s="546"/>
      <c r="AI325" s="546"/>
      <c r="AJ325" s="15"/>
      <c r="AL325" s="550"/>
      <c r="AM325" s="551"/>
      <c r="BC325" s="1906"/>
    </row>
    <row r="326" spans="1:60" ht="21" customHeight="1" x14ac:dyDescent="0.3">
      <c r="A326" s="1063" t="s">
        <v>1299</v>
      </c>
      <c r="B326" s="2810" t="s">
        <v>147</v>
      </c>
      <c r="C326" s="2815"/>
      <c r="D326" s="2815"/>
      <c r="E326" s="1180">
        <f ca="1">IFERROR(SUMPRODUCT(INDEX(PO_Enrgy_16_Table,0,MATCH(E$322,PO_Enrgy_16_Hdr,0)),INDEX(PO_Enrgy_16_Table,0,MATCH($Q$322,PO_Enrgy_16_Hdr,0))),"")</f>
        <v>4665.6166549999989</v>
      </c>
      <c r="F326" s="1161">
        <f ca="1">IFERROR(SUM(INDEX(PO_Enrgy_16_Table,0,MATCH(F$322,PO_Enrgy_16_Hdr,0))),"")</f>
        <v>14650.036296699998</v>
      </c>
      <c r="G326" s="1164">
        <f ca="1">IFERROR(SUM(INDEX(PO_Enrgy_16_Table,0,MATCH(G$322,PO_Enrgy_16_Hdr,0))),"")</f>
        <v>396577.415675</v>
      </c>
      <c r="H326" s="1180">
        <f ca="1">IFERROR(SUMPRODUCT(INDEX(PO_Enrgy_16_Table,0,MATCH(H$322,PO_Enrgy_16_Hdr,0)),INDEX(PO_Enrgy_16_Table,0,MATCH($Q$322,PO_Enrgy_16_Hdr,0))),"")</f>
        <v>4046.7607199999993</v>
      </c>
      <c r="I326" s="1161">
        <f ca="1">IFERROR(SUM(INDEX(PO_Enrgy_16_Table,0,MATCH(I$322,PO_Enrgy_16_Hdr,0))),"")</f>
        <v>12706.828660799998</v>
      </c>
      <c r="J326" s="1164">
        <f ca="1">IFERROR(SUM(INDEX(PO_Enrgy_16_Table,0,MATCH(J$322,PO_Enrgy_16_Hdr,0))),"")</f>
        <v>343974.66120000003</v>
      </c>
      <c r="K326" s="2690">
        <f ca="1">IFERROR(1-H326/E326,"")</f>
        <v>0.1326418308149665</v>
      </c>
      <c r="L326" s="2691"/>
      <c r="M326" s="1163">
        <f ca="1">IFERROR(1-J326/G326,"")</f>
        <v>0.13264183081496639</v>
      </c>
      <c r="AJ326" s="15"/>
      <c r="BC326" s="1906"/>
    </row>
    <row r="327" spans="1:60" ht="21" customHeight="1" x14ac:dyDescent="0.3">
      <c r="A327" s="1063" t="s">
        <v>1299</v>
      </c>
      <c r="B327" s="2866" t="s">
        <v>1283</v>
      </c>
      <c r="C327" s="2815"/>
      <c r="D327" s="2815"/>
      <c r="E327" s="2815"/>
      <c r="F327" s="2815"/>
      <c r="G327" s="2849"/>
      <c r="H327" s="2849"/>
      <c r="I327" s="2849"/>
      <c r="J327" s="2849"/>
      <c r="K327" s="2867"/>
      <c r="L327" s="2867"/>
      <c r="M327" s="1193">
        <f ca="1">$M$326</f>
        <v>0.13264183081496639</v>
      </c>
      <c r="AJ327" s="15"/>
      <c r="BC327" s="1906"/>
    </row>
    <row r="328" spans="1:60" ht="33" customHeight="1" x14ac:dyDescent="0.3">
      <c r="A328" s="1063" t="s">
        <v>1299</v>
      </c>
      <c r="C328" s="685"/>
      <c r="D328" s="685"/>
      <c r="E328" s="732"/>
      <c r="F328" s="534"/>
      <c r="G328" s="533"/>
      <c r="H328" s="534"/>
      <c r="I328" s="533"/>
      <c r="J328" s="582"/>
      <c r="AJ328" s="15"/>
    </row>
    <row r="329" spans="1:60" s="750" customFormat="1" ht="21.75" customHeight="1" x14ac:dyDescent="0.3">
      <c r="A329" s="1063" t="s">
        <v>1299</v>
      </c>
      <c r="B329" s="26" t="s">
        <v>1121</v>
      </c>
      <c r="E329" s="31"/>
      <c r="H329" s="31"/>
      <c r="I329" s="31"/>
      <c r="J329" s="31"/>
      <c r="M329" s="31"/>
      <c r="N329" s="31"/>
      <c r="O329" s="31"/>
      <c r="T329" s="100"/>
      <c r="U329" s="100"/>
      <c r="V329" s="100"/>
      <c r="W329" s="100"/>
      <c r="X329" s="100"/>
      <c r="Y329" s="100"/>
      <c r="Z329" s="100"/>
      <c r="AA329" s="100"/>
      <c r="AD329" s="100"/>
      <c r="AE329" s="100"/>
      <c r="AF329" s="100"/>
      <c r="AG329" s="100"/>
      <c r="AH329" s="100"/>
      <c r="AI329" s="100"/>
      <c r="AJ329" s="100"/>
      <c r="AK329" s="100"/>
      <c r="AL329" s="100"/>
      <c r="AM329" s="100"/>
      <c r="AN329" s="100"/>
      <c r="AO329" s="100"/>
      <c r="AP329" s="100"/>
      <c r="AQ329" s="100"/>
      <c r="AR329" s="100"/>
      <c r="AS329" s="100"/>
      <c r="AT329" s="100"/>
      <c r="AU329" s="100"/>
      <c r="AV329" s="100"/>
      <c r="AW329" s="100"/>
      <c r="AX329" s="100"/>
      <c r="AY329" s="100"/>
      <c r="AZ329" s="100"/>
      <c r="BA329" s="100"/>
      <c r="BB329" s="100"/>
      <c r="BC329" s="100"/>
      <c r="BD329" s="100"/>
      <c r="BE329" s="100"/>
      <c r="BF329" s="100"/>
      <c r="BG329" s="100"/>
      <c r="BH329" s="100"/>
    </row>
    <row r="330" spans="1:60" s="750" customFormat="1" ht="21.75" customHeight="1" x14ac:dyDescent="0.3">
      <c r="A330" s="1063"/>
      <c r="B330" s="728" t="s">
        <v>1835</v>
      </c>
      <c r="E330" s="31"/>
      <c r="H330" s="31"/>
      <c r="I330" s="31"/>
      <c r="J330" s="31"/>
      <c r="M330" s="31"/>
      <c r="N330" s="31"/>
      <c r="O330" s="31"/>
      <c r="T330" s="100"/>
      <c r="U330" s="100"/>
      <c r="V330" s="100"/>
      <c r="W330" s="100"/>
      <c r="X330" s="100"/>
      <c r="Y330" s="100"/>
      <c r="Z330" s="100"/>
      <c r="AA330" s="100"/>
      <c r="AD330" s="100"/>
      <c r="AE330" s="100"/>
      <c r="AF330" s="100"/>
      <c r="AG330" s="100"/>
      <c r="AH330" s="100"/>
      <c r="AI330" s="100"/>
      <c r="AJ330" s="100"/>
      <c r="AK330" s="100"/>
      <c r="AL330" s="100"/>
      <c r="AM330" s="100"/>
      <c r="AN330" s="100"/>
      <c r="AO330" s="100"/>
      <c r="AP330" s="100"/>
      <c r="AQ330" s="100"/>
      <c r="AR330" s="100"/>
      <c r="AS330" s="100"/>
      <c r="AT330" s="100"/>
      <c r="AU330" s="100"/>
      <c r="AV330" s="100"/>
      <c r="AW330" s="100"/>
      <c r="AX330" s="100"/>
      <c r="AY330" s="100"/>
      <c r="AZ330" s="100"/>
      <c r="BA330" s="100"/>
      <c r="BB330" s="100"/>
      <c r="BC330" s="100"/>
      <c r="BD330" s="100"/>
      <c r="BE330" s="100"/>
      <c r="BF330" s="100"/>
      <c r="BG330" s="100"/>
      <c r="BH330" s="100"/>
    </row>
    <row r="331" spans="1:60" ht="33" customHeight="1" x14ac:dyDescent="0.3">
      <c r="A331" s="1063" t="s">
        <v>1299</v>
      </c>
      <c r="B331" s="2722" t="s">
        <v>1121</v>
      </c>
      <c r="C331" s="2722"/>
      <c r="D331" s="2722"/>
      <c r="E331" s="2722"/>
      <c r="F331" s="2722" t="s">
        <v>347</v>
      </c>
      <c r="G331" s="2723"/>
      <c r="H331" s="2723"/>
      <c r="I331" s="2722" t="s">
        <v>348</v>
      </c>
      <c r="J331" s="2723"/>
      <c r="K331" s="2723"/>
      <c r="L331" s="2723"/>
      <c r="M331" s="2723"/>
    </row>
    <row r="332" spans="1:60" ht="15" customHeight="1" x14ac:dyDescent="0.3">
      <c r="A332" s="1063" t="s">
        <v>1299</v>
      </c>
      <c r="B332" s="2780" t="s">
        <v>443</v>
      </c>
      <c r="C332" s="2868"/>
      <c r="D332" s="2868"/>
      <c r="E332" s="2868"/>
      <c r="F332" s="2726">
        <v>0</v>
      </c>
      <c r="G332" s="2725"/>
      <c r="H332" s="2725"/>
      <c r="I332" s="2724">
        <v>96</v>
      </c>
      <c r="J332" s="2725"/>
      <c r="K332" s="2725"/>
      <c r="L332" s="2725"/>
      <c r="M332" s="2725"/>
      <c r="BC332" s="1906"/>
    </row>
    <row r="333" spans="1:60" ht="15" customHeight="1" x14ac:dyDescent="0.3">
      <c r="A333" s="1063" t="s">
        <v>1299</v>
      </c>
      <c r="B333" s="2780" t="s">
        <v>442</v>
      </c>
      <c r="C333" s="2868"/>
      <c r="D333" s="2868"/>
      <c r="E333" s="2868"/>
      <c r="F333" s="2726">
        <v>112</v>
      </c>
      <c r="G333" s="2725"/>
      <c r="H333" s="2725"/>
      <c r="I333" s="2724">
        <v>195</v>
      </c>
      <c r="J333" s="2725"/>
      <c r="K333" s="2725"/>
      <c r="L333" s="2725"/>
      <c r="M333" s="2725"/>
      <c r="BC333" s="1906"/>
    </row>
    <row r="334" spans="1:60" ht="18" customHeight="1" x14ac:dyDescent="0.3">
      <c r="A334" s="1063" t="s">
        <v>1299</v>
      </c>
      <c r="B334" s="2859" t="s">
        <v>147</v>
      </c>
      <c r="C334" s="2811"/>
      <c r="D334" s="2811"/>
      <c r="E334" s="2811"/>
      <c r="F334" s="2720">
        <f>IF(ISERROR(F332+F333),0,F332+F333)</f>
        <v>112</v>
      </c>
      <c r="G334" s="2461"/>
      <c r="H334" s="2461"/>
      <c r="I334" s="2720">
        <f>IF(ISERROR(I332+I333),0,I332+I333)</f>
        <v>291</v>
      </c>
      <c r="J334" s="2461"/>
      <c r="K334" s="2461"/>
      <c r="L334" s="2461"/>
      <c r="M334" s="2461"/>
      <c r="BC334" s="1906"/>
    </row>
    <row r="335" spans="1:60" ht="18" customHeight="1" x14ac:dyDescent="0.3">
      <c r="A335" s="1063" t="s">
        <v>1299</v>
      </c>
      <c r="B335" s="2859" t="s">
        <v>441</v>
      </c>
      <c r="C335" s="2811"/>
      <c r="D335" s="2811"/>
      <c r="E335" s="2811"/>
      <c r="F335" s="2720" t="str">
        <f>IF(ISERROR(OR(F332+F333,I332+I333)),"Enter numbers only",
     IF(OR(F334&gt;300,I334&gt;300),"No","Yes"))</f>
        <v>Yes</v>
      </c>
      <c r="G335" s="2721"/>
      <c r="H335" s="2721"/>
      <c r="I335" s="2461"/>
      <c r="J335" s="2461"/>
      <c r="K335" s="2461"/>
      <c r="L335" s="2461"/>
      <c r="M335" s="2461"/>
      <c r="BC335" s="1906"/>
    </row>
    <row r="336" spans="1:60" ht="33" customHeight="1" x14ac:dyDescent="0.3">
      <c r="C336" s="2864" t="str">
        <f>IF(ISERROR(F334+I334),"",IF(OR(I334&gt;300,F334&gt;300),"Revise the model so that the unmet load hours for both the baseline and proposed case are 300 hours or less",""))</f>
        <v/>
      </c>
      <c r="D336" s="2865"/>
      <c r="E336" s="2865"/>
      <c r="F336" s="2865"/>
      <c r="G336" s="2865"/>
      <c r="H336" s="558"/>
    </row>
    <row r="337" spans="2:13" ht="30" customHeight="1" x14ac:dyDescent="0.3">
      <c r="B337" s="568" t="s">
        <v>808</v>
      </c>
    </row>
    <row r="338" spans="2:13" ht="15" customHeight="1" x14ac:dyDescent="0.3">
      <c r="B338" s="2707" t="str">
        <f>IF(MultipleBuildingsExist="No","General information","Multiple Building Details")</f>
        <v>General information</v>
      </c>
      <c r="C338" s="1701" t="str">
        <f>"Total Area "&amp;IF(SI_IP_Units="IP","(sq ft)","(sq m)")</f>
        <v>Total Area (sq m)</v>
      </c>
      <c r="D338" s="1669"/>
      <c r="E338" s="1669"/>
      <c r="F338" s="1669"/>
      <c r="G338" s="1669"/>
      <c r="H338" s="1669"/>
      <c r="I338" s="1669"/>
      <c r="J338" s="1669"/>
      <c r="K338" s="1669"/>
      <c r="L338" s="1669"/>
      <c r="M338" s="1670"/>
    </row>
    <row r="339" spans="2:13" x14ac:dyDescent="0.3">
      <c r="B339" s="2708"/>
      <c r="C339" s="1702">
        <f ca="1">IFERROR(IF(MultipleBuildingsExist="No",
GI_BldgArea,
SUMIF(MBD_BS_Index,$H$5,OFFSET(MBD_BS_Index,0,MATCH('Multiple Buildings Details'!$G$22,MBD_BS_Hdr,0)-1,1,1))+SUMIF(MBD_BS_Index,$H$5,OFFSET(MBD_BS_Index,0,MATCH('Multiple Buildings Details'!$H$22,MBD_BS_Hdr,0)-1,1,1))),"")</f>
        <v>19873.38</v>
      </c>
      <c r="D339" s="1672"/>
      <c r="E339" s="1672"/>
      <c r="F339" s="1672"/>
      <c r="G339" s="1672"/>
      <c r="H339" s="1672"/>
      <c r="I339" s="1672"/>
      <c r="J339" s="1672"/>
      <c r="K339" s="1672"/>
      <c r="L339" s="1672"/>
      <c r="M339" s="1673"/>
    </row>
    <row r="340" spans="2:13" ht="42" customHeight="1" x14ac:dyDescent="0.3">
      <c r="B340" s="2707" t="s">
        <v>301</v>
      </c>
      <c r="C340" s="1700" t="str">
        <f>"Total Area "&amp;IF(SI_IP_Units="IP","(sq ft)","(sq m)")</f>
        <v>Total Area (sq m)</v>
      </c>
      <c r="D340" s="1666" t="s">
        <v>1861</v>
      </c>
      <c r="E340" s="1666"/>
      <c r="F340" s="1665" t="s">
        <v>1860</v>
      </c>
      <c r="G340" s="1665" t="s">
        <v>2020</v>
      </c>
      <c r="H340" s="1665" t="s">
        <v>2021</v>
      </c>
      <c r="I340" s="1665" t="s">
        <v>2022</v>
      </c>
      <c r="J340" s="1665" t="s">
        <v>2023</v>
      </c>
      <c r="K340" s="1668"/>
      <c r="L340" s="1674"/>
      <c r="M340" s="1670"/>
    </row>
    <row r="341" spans="2:13" x14ac:dyDescent="0.3">
      <c r="B341" s="2708"/>
      <c r="C341" s="1690">
        <f ca="1">IFERROR(IF(L_LPDmethod=1,SUMIF(L_BAMInput_Index,$H$5,OFFSET(L_BAMInput_Index,0,MATCH(Lighting!$D$31,Lighting_Residential_Hdr,0)-1)),SUMIF(L_SxSInput_Index,$H$5,OFFSET(L_SxSInput_Index,0,MATCH(Lighting!$D$56,Lighting_SxS_Residential_Hdr,0)-1))),"")</f>
        <v>19873.399999999998</v>
      </c>
      <c r="D341" s="1658">
        <f ca="1">IFERROR(OFFSET(L_IL_SumTable,MATCH($H$5,L_IL_SumIndex,0)-1,MATCH(Lighting!$L$111,L_IL_SumHdr,0)-1,1,1),"")</f>
        <v>212.02428</v>
      </c>
      <c r="E341" s="1659"/>
      <c r="F341" s="1697">
        <f ca="1">IFERROR(OFFSET(L_IL_SumTable,MATCH($H$5,L_IL_SumIndex,0)-1,MATCH(Lighting!$O$111,L_IL_SumHdr,0)-1,1,1),"")</f>
        <v>151.09268899999995</v>
      </c>
      <c r="G341" s="1698">
        <f ca="1">IFERROR(OFFSET(L_ExtSum_Table,1,MATCH(Lighting!$J$160,L_ExtSum_Hdr,0)-1,1,1),"")</f>
        <v>62.22372</v>
      </c>
      <c r="H341" s="1653">
        <f ca="1">IFERROR(OFFSET(L_ExtSum_Table,1,MATCH(Lighting!$M$160,L_ExtSum_Hdr,0)-1,1,1),"")</f>
        <v>26.027999999999999</v>
      </c>
      <c r="I341" s="1653">
        <f ca="1">IFERROR(OFFSET(L_LtgZone_Table,1,MATCH(Lighting!$M$129,L_LtgZone_Hdr,0)-1,1,1)+OFFSET(L_NTSurface_Table,MATCH(Lighting!$B$156,L_NTSurface_Index,0)-1,MATCH(Lighting!$J$149,L_NTSurface_Hdr,0)-1,1,1),"")</f>
        <v>750</v>
      </c>
      <c r="J341" s="1699">
        <f ca="1">IFERROR(OFFSET(L_NTSurface_Table,MATCH(Lighting!$B$156,L_NTSurface_Index,0)-1,MATCH(Lighting!$M$149,L_NTSurface_Hdr,0)-1,1,1),"")</f>
        <v>0</v>
      </c>
      <c r="K341" s="1671"/>
      <c r="L341" s="1672"/>
      <c r="M341" s="1673"/>
    </row>
    <row r="342" spans="2:13" ht="15" customHeight="1" x14ac:dyDescent="0.3">
      <c r="B342" s="2707" t="s">
        <v>1033</v>
      </c>
      <c r="C342" s="1691" t="s">
        <v>1854</v>
      </c>
      <c r="D342" s="1643" t="s">
        <v>1855</v>
      </c>
      <c r="E342" s="1643"/>
      <c r="F342" s="1675" t="s">
        <v>2006</v>
      </c>
      <c r="G342" s="1668"/>
      <c r="H342" s="1669"/>
      <c r="I342" s="1669"/>
      <c r="J342" s="1669"/>
      <c r="K342" s="1669"/>
      <c r="L342" s="1669"/>
      <c r="M342" s="1670"/>
    </row>
    <row r="343" spans="2:13" x14ac:dyDescent="0.3">
      <c r="B343" s="2708"/>
      <c r="C343" s="1692">
        <f ca="1">IFERROR(SUMIF('Shading and Fenestration'!O:O,$H$5,'Shading and Fenestration'!P:P),"")</f>
        <v>0</v>
      </c>
      <c r="D343" s="1651" t="b">
        <f ca="1">IF(IFERROR(COUNTIFS('Shading and Fenestration'!O:O,$H$5,'Shading and Fenestration'!Q:Q,TRUE),"")&gt;0,TRUE,FALSE)</f>
        <v>0</v>
      </c>
      <c r="E343" s="1659"/>
      <c r="F343" s="1650" t="str">
        <f ca="1">IFERROR(OFFSET('Shading and Fenestration'!O:Q,MATCH(CONCATENATE($H$5, " zones"),'Shading and Fenestration'!O:O,0)-1,1,1,1),"")</f>
        <v/>
      </c>
      <c r="G343" s="1671"/>
      <c r="H343" s="1672"/>
      <c r="I343" s="1672"/>
      <c r="J343" s="1672"/>
      <c r="K343" s="1672"/>
      <c r="L343" s="1672"/>
      <c r="M343" s="1673"/>
    </row>
    <row r="344" spans="2:13" ht="42.75" customHeight="1" x14ac:dyDescent="0.3">
      <c r="B344" s="2707" t="s">
        <v>2019</v>
      </c>
      <c r="C344" s="1693" t="s">
        <v>1856</v>
      </c>
      <c r="D344" s="1666" t="s">
        <v>1857</v>
      </c>
      <c r="E344" s="1666"/>
      <c r="F344" s="1665" t="s">
        <v>1861</v>
      </c>
      <c r="G344" s="1665" t="s">
        <v>1860</v>
      </c>
      <c r="H344" s="1665" t="s">
        <v>2024</v>
      </c>
      <c r="I344" s="1665" t="s">
        <v>2025</v>
      </c>
      <c r="J344" s="1665" t="s">
        <v>2026</v>
      </c>
      <c r="K344" s="1666" t="s">
        <v>1862</v>
      </c>
      <c r="L344" s="1666"/>
      <c r="M344" s="1676"/>
    </row>
    <row r="345" spans="2:13" x14ac:dyDescent="0.3">
      <c r="B345" s="2709"/>
      <c r="C345" s="1694">
        <f ca="1">IFERROR(MAX(OFFSET(PO_design_table,MATCH($B$170,PO_design_index,0)-2,MATCH($S$169,PO_design_hdr,0)-1,1,1)),"")</f>
        <v>2846.4335547426231</v>
      </c>
      <c r="D345" s="1646">
        <f ca="1">IFERROR(MAX(OFFSET(PO_design_table,MATCH($B$170,PO_design_index,0)-2,MATCH($T$169,PO_design_hdr,0)-1,1,1)),"")</f>
        <v>2983.9137626131287</v>
      </c>
      <c r="E345" s="1645"/>
      <c r="F345" s="1642">
        <f ca="1">IFERROR(MAX(OFFSET(PO_design_table,MATCH($B$170,PO_design_index,0)-1,MATCH($G$169,PO_design_hdr,0)-1,1,1)),"")</f>
        <v>139.07124999999999</v>
      </c>
      <c r="G345" s="1642">
        <f ca="1">IFERROR(MAX(OFFSET(PO_design_table,MATCH($B$170,PO_design_index,0)-1,MATCH($H$169,PO_design_hdr,0)-1,1,1)),"")</f>
        <v>96.13</v>
      </c>
      <c r="H345" s="1642">
        <f ca="1">IFERROR(MAX(OFFSET(PO_design_table,MATCH($B$172,PO_design_index,0)-2,MATCH($G$169,PO_design_hdr,0)-1,1,1)),"")</f>
        <v>271545.75</v>
      </c>
      <c r="I345" s="1642">
        <f ca="1">IFERROR(MAX(OFFSET(PO_design_table,MATCH($B$172,PO_design_index,0)-2,MATCH($H$169,PO_design_hdr,0)-1,1,1)),"")</f>
        <v>113464.09</v>
      </c>
      <c r="J345" s="1642">
        <f ca="1">IFERROR(MAX(OFFSET(PO_design_table,MATCH($B$172,PO_design_index,0)-2,MATCH($S$169,PO_design_hdr,0)-1,1,1)),"")</f>
        <v>4364.0034391874524</v>
      </c>
      <c r="K345" s="1645">
        <f ca="1">IFERROR(MAX(OFFSET(PO_design_table,MATCH($B$172,PO_design_index,0)-2,MATCH($T$169,PO_design_hdr,0)-1,1,1)),"")</f>
        <v>4364.0034615384611</v>
      </c>
      <c r="L345" s="1651"/>
      <c r="M345" s="1677"/>
    </row>
    <row r="346" spans="2:13" ht="26.4" x14ac:dyDescent="0.3">
      <c r="B346" s="2709"/>
      <c r="C346" s="1689" t="s">
        <v>2020</v>
      </c>
      <c r="D346" s="1666" t="s">
        <v>2021</v>
      </c>
      <c r="E346" s="1666"/>
      <c r="F346" s="1665" t="s">
        <v>2027</v>
      </c>
      <c r="G346" s="1665" t="s">
        <v>2028</v>
      </c>
      <c r="H346" s="1665" t="s">
        <v>2029</v>
      </c>
      <c r="I346" s="1665" t="s">
        <v>2030</v>
      </c>
      <c r="J346" s="1665" t="s">
        <v>2031</v>
      </c>
      <c r="K346" s="1666" t="s">
        <v>2032</v>
      </c>
      <c r="L346" s="1666"/>
      <c r="M346" s="1665" t="s">
        <v>1875</v>
      </c>
    </row>
    <row r="347" spans="2:13" x14ac:dyDescent="0.3">
      <c r="B347" s="2709"/>
      <c r="C347" s="1690">
        <f ca="1">IFERROR(MAX(OFFSET(PO_design_table,MATCH($B$172,PO_design_index,0)-1,MATCH($G$169,PO_design_hdr,0)-1,1,1)),"")</f>
        <v>62.223999999999997</v>
      </c>
      <c r="D347" s="1645">
        <f ca="1">IFERROR(MAX(OFFSET(PO_design_table,MATCH($B$172,PO_design_index,0)-1,MATCH($H$169,PO_design_hdr,0)-1,1,1)),"")</f>
        <v>26</v>
      </c>
      <c r="E347" s="1645"/>
      <c r="F347" s="1642">
        <f ca="1">IFERROR((OFFSET(PO_design_table,MATCH($B$188,PO_design_index,0)-2,MATCH($G$169,PO_design_hdr,0)-1,1,1)*OFFSET(PO_design_table,MATCH($B$188,PO_design_index,0)-2,MATCH($Q$169,PO_design_hdr,0)-1,1,1))/OFFSET(PO_ModelSubtotal,0,4,1,1),"")</f>
        <v>0.25120792312500867</v>
      </c>
      <c r="G347" s="1642">
        <f ca="1">IFERROR((OFFSET(PO_design_table,MATCH($B$188,PO_design_index,0)-2,MATCH($H$169,PO_design_hdr,0)-1,1,1)*OFFSET(PO_design_table,MATCH($B$188,PO_design_index,0)-2,MATCH($Q$169,PO_design_hdr,0)-1,1,1))/OFFSET(PO_ModelSubtotal,0,7,1,1),"")</f>
        <v>0.28224189449804327</v>
      </c>
      <c r="H347" s="1642"/>
      <c r="I347" s="1642">
        <f ca="1">IFERROR((OFFSET(PO_design_table,MATCH($B$186,PO_design_index,0)-2,MATCH($G$169,PO_design_hdr,0)-1,1,1)*OFFSET(PO_design_table,MATCH($B$186,PO_design_index,0)-2,MATCH($Q$169,PO_design_hdr,0)-1,1,1))/OFFSET(PO_ModelSubtotal,0,4,1,1),"")</f>
        <v>0.10780510481095236</v>
      </c>
      <c r="J347" s="1642">
        <f ca="1">IFERROR((OFFSET(PO_design_table,MATCH($B$186,PO_design_index,0)-2,MATCH($H$169,PO_design_hdr,0)-1,1,1)*OFFSET(PO_design_table,MATCH($B$186,PO_design_index,0)-2,MATCH($Q$169,PO_design_hdr,0)-1,1,1))/OFFSET(PO_ModelSubtotal,0,7,1,1),"")</f>
        <v>5.8542645102051684E-2</v>
      </c>
      <c r="K347" s="1645">
        <f ca="1">IFERROR(MAX(OFFSET(PO_design_table,MATCH($B$178,PO_design_index,0)-2,MATCH($G$169,PO_design_hdr,0)-1,1,1)),"")</f>
        <v>310644.88750000001</v>
      </c>
      <c r="L347" s="1645"/>
      <c r="M347" s="1647">
        <f ca="1">IFERROR(MAX(OFFSET(PO_design_table,MATCH($B$182,PO_design_index,0)-2,MATCH($S$169,PO_design_hdr,0)-1,1,1)),"")</f>
        <v>2243.7344038503606</v>
      </c>
    </row>
    <row r="348" spans="2:13" ht="39.6" x14ac:dyDescent="0.3">
      <c r="B348" s="2709"/>
      <c r="C348" s="1689" t="s">
        <v>1876</v>
      </c>
      <c r="D348" s="1666" t="s">
        <v>1877</v>
      </c>
      <c r="E348" s="1666"/>
      <c r="F348" s="1665" t="s">
        <v>1878</v>
      </c>
      <c r="G348" s="1665" t="s">
        <v>1881</v>
      </c>
      <c r="H348" s="1665" t="s">
        <v>2033</v>
      </c>
      <c r="I348" s="1665" t="s">
        <v>2034</v>
      </c>
      <c r="J348" s="1665" t="s">
        <v>2035</v>
      </c>
      <c r="K348" s="1666" t="s">
        <v>2036</v>
      </c>
      <c r="L348" s="1666"/>
      <c r="M348" s="1665" t="s">
        <v>2037</v>
      </c>
    </row>
    <row r="349" spans="2:13" x14ac:dyDescent="0.3">
      <c r="B349" s="2708"/>
      <c r="C349" s="1690">
        <f ca="1">IFERROR(IFERROR(MAX(OFFSET(PO_design_table,MATCH($B$182,PO_design_index,0)-2,MATCH($T$169,PO_design_hdr,0)-1,1,1)),""),"")</f>
        <v>2148.4349899984613</v>
      </c>
      <c r="D349" s="1645">
        <f ca="1">IFERROR(IFERROR(MAX(OFFSET(PO_design_table,MATCH($B$182,PO_design_index,0)-1,MATCH($G$169,PO_design_hdr,0)-1,1,1)),""),"")</f>
        <v>285.6875</v>
      </c>
      <c r="E349" s="1645"/>
      <c r="F349" s="1653">
        <f ca="1">IFERROR(IFERROR(MAX(OFFSET(PO_design_table,MATCH($B$182,PO_design_index,0)-1,MATCH($H$169,PO_design_hdr,0)-1,1,1)),""),"")</f>
        <v>194.97</v>
      </c>
      <c r="G349" s="1653">
        <f ca="1">IFERROR(MAX(IFERROR(OFFSET(PO_renewable_table,MATCH("Photovoltaic system",PO_renewable_Index,0)-2,MATCH($S$32,PO_renewable_hdr,0)-1,1,1),0),
IFERROR(OFFSET(PO_renewable_table,MATCH("Solar thermal system",PO_renewable_Index,0)-2,MATCH($S$32,PO_renewable_hdr,0)-1,1,1),0)),"")</f>
        <v>1735.1967213114754</v>
      </c>
      <c r="H349" s="1653"/>
      <c r="I349" s="1653">
        <f ca="1">IFERROR(OFFSET(PO_Enrgy_8_Table,MATCH("Electricity",PO_Enrgy_8_Index,0)-2,MATCH($H$231,PO_Enrgy_8_Hdr,0)-1,1,1),"")</f>
        <v>8.5000000000000006E-2</v>
      </c>
      <c r="J349" s="1653" t="str">
        <f ca="1">IFERROR(OFFSET(PO_Enrgy_8_Table,MATCH("Natural Gas",PO_Enrgy_8_Index,0)-2,MATCH($H$231,PO_Enrgy_8_Hdr,0)-1,1,1),"")</f>
        <v/>
      </c>
      <c r="K349" s="1654" t="str">
        <f ca="1">IFERROR(GetPerformanceOutputRangeSums("PO_QA_BaseExtLtgDem"),"")</f>
        <v/>
      </c>
      <c r="L349" s="1654"/>
      <c r="M349" s="1655" t="str">
        <f ca="1">IFERROR(GetPerformanceOutputRangeSums("PO_QA_DesignExtLtgDem"),"")</f>
        <v/>
      </c>
    </row>
    <row r="350" spans="2:13" ht="15" customHeight="1" x14ac:dyDescent="0.3">
      <c r="B350" s="2707" t="s">
        <v>284</v>
      </c>
      <c r="C350" s="1695" t="s">
        <v>1869</v>
      </c>
      <c r="D350" s="1648" t="s">
        <v>1870</v>
      </c>
      <c r="E350" s="1688"/>
      <c r="F350" s="1678"/>
      <c r="G350" s="1679"/>
      <c r="H350" s="1679"/>
      <c r="I350" s="1679"/>
      <c r="J350" s="1679"/>
      <c r="K350" s="1679"/>
      <c r="L350" s="1679"/>
      <c r="M350" s="1680"/>
    </row>
    <row r="351" spans="2:13" x14ac:dyDescent="0.3">
      <c r="B351" s="2708"/>
      <c r="C351" s="1694">
        <f ca="1">COUNTIFS(OFFSET(GHVAC_BHVACST_Index,0,MATCH('General HVAC'!$D$28,GHVAC_BSysType_Hdr,0)-1),"System 2 - PTHP",
OFFSET(GHVAC_BHVACST_Index,0,MATCH('General HVAC'!$B$28,GHVAC_BSysType_Hdr,0)-1),$H$5)+
COUNTIFS(OFFSET(GHVAC_BHVACST_Index,0,MATCH('General HVAC'!$D$28,GHVAC_BSysType_Hdr,0)-1),"System 3 - PSZ-AC",
OFFSET(GHVAC_BHVACST_Index,0,MATCH('General HVAC'!$B$28,GHVAC_BSysType_Hdr,0)-1),$H$5)+
COUNTIFS(OFFSET(GHVAC_BHVACST_Index,0,MATCH('General HVAC'!$D$28,GHVAC_BSysType_Hdr,0)-1),"System 4 - PSZ-HP",
OFFSET(GHVAC_BHVACST_Index,0,MATCH('General HVAC'!$B$28,GHVAC_BSysType_Hdr,0)-1),$H$5)+
COUNTIFS(OFFSET(GHVAC_BHVACST_Index,0,MATCH('General HVAC'!$D$28,GHVAC_BSysType_Hdr,0)-1),"System 6 - Packaged VAV with PFP Boxes",
OFFSET(GHVAC_BHVACST_Index,0,MATCH('General HVAC'!$B$28,GHVAC_BSysType_Hdr,0)-1),$H$5)+
COUNTIFS(OFFSET(GHVAC_BHVACST_Index,0,MATCH('General HVAC'!$D$28,GHVAC_BSysType_Hdr,0)-1),"System 8 - VAV with PFP Boxes",
OFFSET(GHVAC_BHVACST_Index,0,MATCH('General HVAC'!$B$28,GHVAC_BSysType_Hdr,0)-1),$H$5)+
COUNTIFS(OFFSET(GHVAC_BHVACST_Index,0,MATCH('General HVAC'!$D$28,GHVAC_BSysType_Hdr,0)-1),"System 9 - Heating and Ventilation",
OFFSET(GHVAC_BHVACST_Index,0,MATCH('General HVAC'!$B$28,GHVAC_BSysType_Hdr,0)-1),$H$5)+
COUNTIFS(OFFSET(GHVAC_BHVACST_Index,0,MATCH('General HVAC'!$D$28,GHVAC_BSysType_Hdr,0)-1),"System 10 - Heating and Ventilation",
OFFSET(GHVAC_BHVACST_Index,0,MATCH('General HVAC'!$B$28,GHVAC_BSysType_Hdr,0)-1),$H$5)</f>
        <v>2</v>
      </c>
      <c r="D351" s="1646">
        <f ca="1">COUNTIFS(OFFSET(GHVAC_BHVACST_Index,0,MATCH('General HVAC'!$D$28,GHVAC_BSysType_Hdr,0)-1),"System 1 - PTAC",
OFFSET(GHVAC_BHVACST_Index,0,MATCH('General HVAC'!$B$28,GHVAC_BSysType_Hdr,0)-1),$H$5)+
COUNTIFS(OFFSET(GHVAC_BHVACST_Index,0,MATCH('General HVAC'!$D$28,GHVAC_BSysType_Hdr,0)-1),"System 5 - Packaged VAV with Reheat",
OFFSET(GHVAC_BHVACST_Index,0,MATCH('General HVAC'!$B$28,GHVAC_BSysType_Hdr,0)-1),$H$5)+
COUNTIFS(OFFSET(GHVAC_BHVACST_Index,0,MATCH('General HVAC'!$D$28,GHVAC_BSysType_Hdr,0)-1),"System 7 - VAV with Reheat",
OFFSET(GHVAC_BHVACST_Index,0,MATCH('General HVAC'!$B$28,GHVAC_BSysType_Hdr,0)-1),$H$5)</f>
        <v>1</v>
      </c>
      <c r="E351" s="1651"/>
      <c r="F351" s="1681"/>
      <c r="G351" s="1682"/>
      <c r="H351" s="1682"/>
      <c r="I351" s="1682"/>
      <c r="J351" s="1682"/>
      <c r="K351" s="1682"/>
      <c r="L351" s="1682"/>
      <c r="M351" s="1683"/>
    </row>
    <row r="352" spans="2:13" ht="31.5" customHeight="1" x14ac:dyDescent="0.3">
      <c r="B352" s="2707" t="s">
        <v>1044</v>
      </c>
      <c r="C352" s="1689" t="s">
        <v>1873</v>
      </c>
      <c r="D352" s="1666" t="s">
        <v>1874</v>
      </c>
      <c r="E352" s="1666"/>
      <c r="F352" s="1667" t="s">
        <v>1871</v>
      </c>
      <c r="G352" s="1667" t="s">
        <v>1872</v>
      </c>
      <c r="H352" s="1665" t="s">
        <v>2038</v>
      </c>
      <c r="I352" s="1665" t="s">
        <v>2039</v>
      </c>
      <c r="J352" s="1665" t="s">
        <v>2040</v>
      </c>
      <c r="K352" s="1666" t="s">
        <v>2041</v>
      </c>
      <c r="L352" s="1666"/>
      <c r="M352" s="1676"/>
    </row>
    <row r="353" spans="2:18" x14ac:dyDescent="0.3">
      <c r="B353" s="2709"/>
      <c r="C353" s="1690">
        <f>IFERROR(SUMIFS(AHVAC_Base_FanFlow,AHVAC_Base_ID,$H$5),"")</f>
        <v>0</v>
      </c>
      <c r="D353" s="1645">
        <f>IFERROR(SUMIFS(AHVAC_Design_FanFlow,AHVAC_Design_ID,$H$5),"")</f>
        <v>0</v>
      </c>
      <c r="E353" s="1645"/>
      <c r="F353" s="1656">
        <f>IFERROR(SUMIFS(AHVAC_Base_FanPower,AHVAC_Base_ID,$H$5),"")</f>
        <v>0</v>
      </c>
      <c r="G353" s="1656">
        <f>IFERROR(SUMIFS(AHVAC_Design_FanPower,AHVAC_Design_ID,$H$5),"")</f>
        <v>0</v>
      </c>
      <c r="H353" s="1653">
        <f>IFERROR(SUMIFS(AHVAC_Base_CoolingCap,AHVAC_Base_ID,$H$5),"")</f>
        <v>0</v>
      </c>
      <c r="I353" s="1653">
        <f>IFERROR(SUMIFS(AHVAC_Design_CoolingCap,AHVAC_Design_ID,$H$5),"")</f>
        <v>0</v>
      </c>
      <c r="J353" s="1653">
        <f>IFERROR(SUMIFS(AHVAC_Base_HeatingCap,AHVAC_Base_ID,$H$5),"")</f>
        <v>0</v>
      </c>
      <c r="K353" s="1654">
        <f>IFERROR(SUMIFS(AHVAC_Design_HeatingCap,AHVAC_Design_ID,$H$5),"")</f>
        <v>0</v>
      </c>
      <c r="L353" s="1657"/>
      <c r="M353" s="1677"/>
    </row>
    <row r="354" spans="2:18" x14ac:dyDescent="0.3">
      <c r="B354" s="2709"/>
      <c r="C354" s="1691" t="s">
        <v>1879</v>
      </c>
      <c r="D354" s="1644" t="s">
        <v>1880</v>
      </c>
      <c r="E354" s="1688"/>
      <c r="F354" s="1684"/>
      <c r="G354" s="1685"/>
      <c r="H354" s="1679"/>
      <c r="I354" s="1679"/>
      <c r="J354" s="1679"/>
      <c r="K354" s="1679"/>
      <c r="L354" s="1679"/>
      <c r="M354" s="1680"/>
    </row>
    <row r="355" spans="2:18" x14ac:dyDescent="0.3">
      <c r="B355" s="2708"/>
      <c r="C355" s="1696">
        <f>IFERROR(SUMIFS(AHVAC_Base_OAFlow,AHVAC_Base_ID,$H$5),"")</f>
        <v>0</v>
      </c>
      <c r="D355" s="1649">
        <f>IFERROR(SUMIFS(AHVAC_Design_OAFlow,AHVAC_Design_ID,$H$5),"")</f>
        <v>0</v>
      </c>
      <c r="E355" s="1652"/>
      <c r="F355" s="1686"/>
      <c r="G355" s="1687"/>
      <c r="H355" s="1682"/>
      <c r="I355" s="1682"/>
      <c r="J355" s="1682"/>
      <c r="K355" s="1682"/>
      <c r="L355" s="1682"/>
      <c r="M355" s="1683"/>
    </row>
    <row r="356" spans="2:18" x14ac:dyDescent="0.3">
      <c r="B356" s="2873" t="s">
        <v>2224</v>
      </c>
      <c r="C356" s="1691" t="s">
        <v>2225</v>
      </c>
      <c r="D356" s="1644" t="s">
        <v>2226</v>
      </c>
      <c r="E356" s="1688"/>
      <c r="F356" s="1965"/>
      <c r="G356" s="1965"/>
      <c r="H356" s="1966"/>
      <c r="I356" s="1966"/>
      <c r="J356" s="1966"/>
      <c r="K356" s="1966"/>
      <c r="L356" s="1966"/>
      <c r="M356" s="1966"/>
    </row>
    <row r="357" spans="2:18" x14ac:dyDescent="0.3">
      <c r="B357" s="2874"/>
      <c r="C357" s="1696" t="str">
        <f>IF(SimTool="Trace",SUMIF('Results from Trace'!A7:A21,"&lt;&gt;Total Building Consumption",'Results from Trace'!G7:G21),
IF(SimTool="eQUEST",SUM('Results from eQuest'!$L$12:$W$12)*0.003412+SUM('Results from eQuest'!$AX$12:$BI$12)*0.1,""))</f>
        <v/>
      </c>
      <c r="D357" s="1649" t="str">
        <f>IF(SimTool="Trace",SUMIF('Results from Trace'!A7:A21,"&lt;&gt;Total Building Consumption",'Results from Trace'!H7:H21),
IF(SimTool="eQUEST",SUM('Results from eQuest'!$L$13:$W$13)*0.003412+SUM('Results from eQuest'!$AX$13:$BI$13)*0.1,""))</f>
        <v/>
      </c>
      <c r="E357" s="1652"/>
      <c r="F357" s="1965"/>
      <c r="G357" s="1965"/>
      <c r="H357" s="1966"/>
      <c r="I357" s="1966"/>
      <c r="J357" s="1966"/>
      <c r="K357" s="1966"/>
      <c r="L357" s="1966"/>
      <c r="M357" s="1966"/>
    </row>
    <row r="358" spans="2:18" ht="30" customHeight="1" x14ac:dyDescent="0.3">
      <c r="C358" s="1229"/>
      <c r="D358" s="1230"/>
      <c r="E358" s="1230"/>
    </row>
    <row r="359" spans="2:18" ht="23.25" customHeight="1" x14ac:dyDescent="0.3">
      <c r="B359" s="2876" t="s">
        <v>439</v>
      </c>
      <c r="C359" s="2877"/>
      <c r="D359" s="2877"/>
      <c r="E359" s="2877"/>
      <c r="F359" s="2877"/>
      <c r="G359" s="2877"/>
      <c r="H359" s="2877"/>
      <c r="I359" s="2877" t="s">
        <v>1883</v>
      </c>
      <c r="J359" s="2877"/>
      <c r="K359" s="2877"/>
      <c r="L359" s="2877"/>
      <c r="M359" s="2878"/>
      <c r="Q359" s="1296" t="s">
        <v>1046</v>
      </c>
      <c r="R359" s="1296" t="s">
        <v>1853</v>
      </c>
    </row>
    <row r="360" spans="2:18" ht="25.5" customHeight="1" x14ac:dyDescent="0.3">
      <c r="B360" s="2710" t="str">
        <f>"The total building area reported in the "&amp;IF(MultipleBuildingsExist="No","General Information", "Multiple Building Details")&amp; " tab differs from the total building area reported in the Lighting tab (Interior Lighting section) by more than 10%. Please check for consistency and verify that the building areas reported are accurate."</f>
        <v>The total building area reported in the General Information tab differs from the total building area reported in the Lighting tab (Interior Lighting section) by more than 10%. Please check for consistency and verify that the building areas reported are accurate.</v>
      </c>
      <c r="C360" s="2711"/>
      <c r="D360" s="2711"/>
      <c r="E360" s="2711"/>
      <c r="F360" s="2711"/>
      <c r="G360" s="2711"/>
      <c r="H360" s="2711"/>
      <c r="I360" s="2703"/>
      <c r="J360" s="2703"/>
      <c r="K360" s="2703"/>
      <c r="L360" s="2703"/>
      <c r="M360" s="2704"/>
      <c r="R360" s="1296" t="b">
        <f ca="1">IFERROR(IF(ABS(C339-C341)/MIN(C339,C341)&gt;0.1,TRUE,FALSE),TRUE)</f>
        <v>0</v>
      </c>
    </row>
    <row r="361" spans="2:18" ht="25.5" customHeight="1" x14ac:dyDescent="0.3">
      <c r="B361" s="2710" t="s">
        <v>1838</v>
      </c>
      <c r="C361" s="2711"/>
      <c r="D361" s="2711"/>
      <c r="E361" s="2711"/>
      <c r="F361" s="2711"/>
      <c r="G361" s="2711"/>
      <c r="H361" s="2711"/>
      <c r="I361" s="2703"/>
      <c r="J361" s="2703"/>
      <c r="K361" s="2703"/>
      <c r="L361" s="2703"/>
      <c r="M361" s="2704"/>
      <c r="R361" s="1296" t="b">
        <f ca="1">IFERROR(IF(C343&gt;0.01,TRUE,FALSE),TRUE)</f>
        <v>0</v>
      </c>
    </row>
    <row r="362" spans="2:18" ht="25.5" customHeight="1" x14ac:dyDescent="0.3">
      <c r="B362" s="2710" t="s">
        <v>1312</v>
      </c>
      <c r="C362" s="2711"/>
      <c r="D362" s="2711"/>
      <c r="E362" s="2711"/>
      <c r="F362" s="2711"/>
      <c r="G362" s="2711"/>
      <c r="H362" s="2711"/>
      <c r="I362" s="2703"/>
      <c r="J362" s="2703"/>
      <c r="K362" s="2703"/>
      <c r="L362" s="2703"/>
      <c r="M362" s="2704"/>
      <c r="R362" s="1296" t="b">
        <f ca="1">IFERROR(IF(D343=TRUE,TRUE,FALSE),TRUE)</f>
        <v>0</v>
      </c>
    </row>
    <row r="363" spans="2:18" ht="38.25" customHeight="1" x14ac:dyDescent="0.3">
      <c r="B363" s="2710" t="s">
        <v>1313</v>
      </c>
      <c r="C363" s="2711"/>
      <c r="D363" s="2711"/>
      <c r="E363" s="2711"/>
      <c r="F363" s="2711"/>
      <c r="G363" s="2711"/>
      <c r="H363" s="2711"/>
      <c r="I363" s="2703"/>
      <c r="J363" s="2703"/>
      <c r="K363" s="2703"/>
      <c r="L363" s="2703"/>
      <c r="M363" s="2704"/>
      <c r="R363" s="1296" t="b">
        <f ca="1">IFERROR(IF(OR(C345&gt;4000,D345&gt;4000),TRUE,FALSE),TRUE)</f>
        <v>0</v>
      </c>
    </row>
    <row r="364" spans="2:18" ht="25.5" customHeight="1" x14ac:dyDescent="0.3">
      <c r="B364" s="2710" t="s">
        <v>1314</v>
      </c>
      <c r="C364" s="2711"/>
      <c r="D364" s="2711"/>
      <c r="E364" s="2711"/>
      <c r="F364" s="2711"/>
      <c r="G364" s="2711"/>
      <c r="H364" s="2711"/>
      <c r="I364" s="2703"/>
      <c r="J364" s="2703"/>
      <c r="K364" s="2703"/>
      <c r="L364" s="2703"/>
      <c r="M364" s="2704"/>
      <c r="R364" s="1296" t="b">
        <f ca="1">IFERROR(IF(OR(ABS(C345-D345)/MIN(C345,D345)&gt;0.1,MIN(C345,D345)=0),TRUE,FALSE),TRUE)</f>
        <v>0</v>
      </c>
    </row>
    <row r="365" spans="2:18" ht="38.25" customHeight="1" x14ac:dyDescent="0.3">
      <c r="B365" s="2710" t="s">
        <v>1315</v>
      </c>
      <c r="C365" s="2711"/>
      <c r="D365" s="2711"/>
      <c r="E365" s="2711"/>
      <c r="F365" s="2711"/>
      <c r="G365" s="2711"/>
      <c r="H365" s="2711"/>
      <c r="I365" s="2703"/>
      <c r="J365" s="2703"/>
      <c r="K365" s="2703"/>
      <c r="L365" s="2703"/>
      <c r="M365" s="2704"/>
      <c r="R365" s="1296" t="b">
        <f ca="1">IFERROR(IF(OR(((F345-D341)/MIN(F345,D341))&gt;0.05,((G345-F341)/MIN(G345,F341))&gt;0.05),TRUE,FALSE),TRUE)</f>
        <v>0</v>
      </c>
    </row>
    <row r="366" spans="2:18" ht="76.5" customHeight="1" x14ac:dyDescent="0.3">
      <c r="B366" s="2710" t="s">
        <v>1316</v>
      </c>
      <c r="C366" s="2711"/>
      <c r="D366" s="2711"/>
      <c r="E366" s="2711"/>
      <c r="F366" s="2711"/>
      <c r="G366" s="2711"/>
      <c r="H366" s="2711"/>
      <c r="I366" s="2703"/>
      <c r="J366" s="2703"/>
      <c r="K366" s="2703"/>
      <c r="L366" s="2703"/>
      <c r="M366" s="2704"/>
      <c r="R366" s="1296" t="b">
        <f ca="1">IFERROR(IF(OR(H345=0,I345=0),TRUE,FALSE),TRUE)</f>
        <v>0</v>
      </c>
    </row>
    <row r="367" spans="2:18" ht="38.25" customHeight="1" x14ac:dyDescent="0.3">
      <c r="B367" s="2710" t="s">
        <v>1317</v>
      </c>
      <c r="C367" s="2711"/>
      <c r="D367" s="2711"/>
      <c r="E367" s="2711"/>
      <c r="F367" s="2711"/>
      <c r="G367" s="2711"/>
      <c r="H367" s="2711"/>
      <c r="I367" s="2703"/>
      <c r="J367" s="2703"/>
      <c r="K367" s="2703"/>
      <c r="L367" s="2703"/>
      <c r="M367" s="2704"/>
      <c r="R367" s="1296" t="b">
        <f ca="1">IFERROR(IF(OR(J345&gt;5110,K345&gt;5110),TRUE,FALSE),TRUE)</f>
        <v>0</v>
      </c>
    </row>
    <row r="368" spans="2:18" ht="38.25" customHeight="1" x14ac:dyDescent="0.3">
      <c r="B368" s="2710" t="s">
        <v>1318</v>
      </c>
      <c r="C368" s="2711"/>
      <c r="D368" s="2711"/>
      <c r="E368" s="2711"/>
      <c r="F368" s="2711"/>
      <c r="G368" s="2711"/>
      <c r="H368" s="2711"/>
      <c r="I368" s="2703"/>
      <c r="J368" s="2703"/>
      <c r="K368" s="2703"/>
      <c r="L368" s="2703"/>
      <c r="M368" s="2704"/>
      <c r="R368" s="1296" t="b">
        <f ca="1">IFERROR(IF(ABS(J345-K345)/MIN(J345,K345)&gt;0.05,TRUE,FALSE),TRUE)</f>
        <v>0</v>
      </c>
    </row>
    <row r="369" spans="2:18" ht="76.5" customHeight="1" x14ac:dyDescent="0.3">
      <c r="B369" s="2710" t="s">
        <v>1319</v>
      </c>
      <c r="C369" s="2711"/>
      <c r="D369" s="2711"/>
      <c r="E369" s="2711"/>
      <c r="F369" s="2711"/>
      <c r="G369" s="2711"/>
      <c r="H369" s="2711"/>
      <c r="I369" s="2703"/>
      <c r="J369" s="2703"/>
      <c r="K369" s="2703"/>
      <c r="L369" s="2703"/>
      <c r="M369" s="2704"/>
      <c r="R369" s="1296" t="b">
        <f ca="1">IFERROR(IF(ABS(H345-I345)/MIN(H345,I345)&lt;0.01,TRUE,FALSE),TRUE)</f>
        <v>0</v>
      </c>
    </row>
    <row r="370" spans="2:18" ht="51" customHeight="1" x14ac:dyDescent="0.3">
      <c r="B370" s="2710" t="s">
        <v>1321</v>
      </c>
      <c r="C370" s="2711"/>
      <c r="D370" s="2711"/>
      <c r="E370" s="2711"/>
      <c r="F370" s="2711"/>
      <c r="G370" s="2711"/>
      <c r="H370" s="2711"/>
      <c r="I370" s="2703"/>
      <c r="J370" s="2703"/>
      <c r="K370" s="2703"/>
      <c r="L370" s="2703"/>
      <c r="M370" s="2704"/>
      <c r="R370" s="1296" t="b">
        <f ca="1">IFERROR(IF(OR(F347&gt;0.4,G347&gt;0.4,F347&lt;0.1,G347&lt;0.1),TRUE,FALSE),TRUE)</f>
        <v>0</v>
      </c>
    </row>
    <row r="371" spans="2:18" ht="38.25" customHeight="1" x14ac:dyDescent="0.3">
      <c r="B371" s="2710" t="s">
        <v>1322</v>
      </c>
      <c r="C371" s="2711"/>
      <c r="D371" s="2711"/>
      <c r="E371" s="2711"/>
      <c r="F371" s="2711"/>
      <c r="G371" s="2711"/>
      <c r="H371" s="2711"/>
      <c r="I371" s="2703"/>
      <c r="J371" s="2703"/>
      <c r="K371" s="2703"/>
      <c r="L371" s="2703"/>
      <c r="M371" s="2704"/>
      <c r="R371" s="1296" t="b">
        <f ca="1">IFERROR(IF(COUNTIFS(INDEX(PO_design_table,,MATCH($D$169,PO_design_hdr,0)),"x",INDEX(PO_design_table,,MATCH($I$169,PO_design_hdr,0)),"&gt;0.03")+COUNTIFS(INDEX(PO_design_table,,MATCH($D$169,PO_design_hdr,0)),"x",INDEX(PO_design_table,,MATCH($I$169,PO_design_hdr,0)),"&lt;-0.03")&gt;0,TRUE,FALSE),TRUE)</f>
        <v>0</v>
      </c>
    </row>
    <row r="372" spans="2:18" ht="63.75" customHeight="1" x14ac:dyDescent="0.3">
      <c r="B372" s="2710" t="s">
        <v>1323</v>
      </c>
      <c r="C372" s="2711"/>
      <c r="D372" s="2711"/>
      <c r="E372" s="2711"/>
      <c r="F372" s="2711"/>
      <c r="G372" s="2711"/>
      <c r="H372" s="2711"/>
      <c r="I372" s="2703"/>
      <c r="J372" s="2703"/>
      <c r="K372" s="2703"/>
      <c r="L372" s="2703"/>
      <c r="M372" s="2704"/>
      <c r="R372" s="1296" t="b">
        <f ca="1">IFERROR(IF(OR(I347&gt;0.15,J347&gt;0.15),TRUE,FALSE),TRUE)</f>
        <v>0</v>
      </c>
    </row>
    <row r="373" spans="2:18" ht="25.5" customHeight="1" x14ac:dyDescent="0.3">
      <c r="B373" s="2710" t="s">
        <v>2222</v>
      </c>
      <c r="C373" s="2711"/>
      <c r="D373" s="2711"/>
      <c r="E373" s="2711"/>
      <c r="F373" s="2711"/>
      <c r="G373" s="2711"/>
      <c r="H373" s="2711"/>
      <c r="I373" s="2703"/>
      <c r="J373" s="2703"/>
      <c r="K373" s="2703"/>
      <c r="L373" s="2703"/>
      <c r="M373" s="2704"/>
      <c r="R373" s="1296" t="b">
        <f ca="1">IFERROR(IF(AND(C351&gt;0,D351&lt;1),TRUE,FALSE),TRUE)</f>
        <v>0</v>
      </c>
    </row>
    <row r="374" spans="2:18" ht="51" customHeight="1" x14ac:dyDescent="0.3">
      <c r="B374" s="2710" t="s">
        <v>1309</v>
      </c>
      <c r="C374" s="2711"/>
      <c r="D374" s="2711"/>
      <c r="E374" s="2711"/>
      <c r="F374" s="2711"/>
      <c r="G374" s="2711"/>
      <c r="H374" s="2711"/>
      <c r="I374" s="2705" t="s">
        <v>2346</v>
      </c>
      <c r="J374" s="2705"/>
      <c r="K374" s="2705"/>
      <c r="L374" s="2705"/>
      <c r="M374" s="2706"/>
      <c r="R374" s="1296" t="b">
        <f>IFERROR(IF(ABS(C353-D353)/MIN(C353,D353),TRUE,FALSE),TRUE)</f>
        <v>1</v>
      </c>
    </row>
    <row r="375" spans="2:18" ht="38.25" customHeight="1" x14ac:dyDescent="0.3">
      <c r="B375" s="2710" t="s">
        <v>1324</v>
      </c>
      <c r="C375" s="2711"/>
      <c r="D375" s="2711"/>
      <c r="E375" s="2711"/>
      <c r="F375" s="2711"/>
      <c r="G375" s="2711"/>
      <c r="H375" s="2711"/>
      <c r="I375" s="2703"/>
      <c r="J375" s="2703"/>
      <c r="K375" s="2703"/>
      <c r="L375" s="2703"/>
      <c r="M375" s="2704"/>
      <c r="R375" s="1296" t="b">
        <f ca="1">IFERROR(IF(OR(M347&gt;4000,C349&gt;4000),TRUE,FALSE),TRUE)</f>
        <v>0</v>
      </c>
    </row>
    <row r="376" spans="2:18" ht="38.25" customHeight="1" x14ac:dyDescent="0.3">
      <c r="B376" s="2710" t="s">
        <v>1325</v>
      </c>
      <c r="C376" s="2711"/>
      <c r="D376" s="2711"/>
      <c r="E376" s="2711"/>
      <c r="F376" s="2711"/>
      <c r="G376" s="2711"/>
      <c r="H376" s="2711"/>
      <c r="I376" s="2703"/>
      <c r="J376" s="2703"/>
      <c r="K376" s="2703"/>
      <c r="L376" s="2703"/>
      <c r="M376" s="2704"/>
      <c r="R376" s="1296" t="b">
        <f ca="1">IFERROR(IF(ABS(M347-C349)/MIN(M347,C349)&gt;0.25,TRUE,FALSE),TRUE)</f>
        <v>0</v>
      </c>
    </row>
    <row r="377" spans="2:18" ht="38.25" customHeight="1" x14ac:dyDescent="0.3">
      <c r="B377" s="2710" t="s">
        <v>1326</v>
      </c>
      <c r="C377" s="2711"/>
      <c r="D377" s="2711"/>
      <c r="E377" s="2711"/>
      <c r="F377" s="2711"/>
      <c r="G377" s="2711"/>
      <c r="H377" s="2711"/>
      <c r="I377" s="2703"/>
      <c r="J377" s="2703"/>
      <c r="K377" s="2703"/>
      <c r="L377" s="2703"/>
      <c r="M377" s="2704"/>
      <c r="R377" s="1296" t="b">
        <f ca="1">IFERROR(IF(OR(((D349-F353)/MIN(D349,F353))&gt;0.05,((F349-G353)/MIN(F349,G353))&gt;0.05),TRUE,FALSE),TRUE)</f>
        <v>1</v>
      </c>
    </row>
    <row r="378" spans="2:18" ht="38.25" customHeight="1" x14ac:dyDescent="0.3">
      <c r="B378" s="2710" t="s">
        <v>1327</v>
      </c>
      <c r="C378" s="2711"/>
      <c r="D378" s="2711"/>
      <c r="E378" s="2711"/>
      <c r="F378" s="2711"/>
      <c r="G378" s="2711"/>
      <c r="H378" s="2711"/>
      <c r="I378" s="2703"/>
      <c r="J378" s="2703"/>
      <c r="K378" s="2703"/>
      <c r="L378" s="2703"/>
      <c r="M378" s="2704"/>
      <c r="R378" s="1296" t="b">
        <f ca="1">IFERROR(IF(OR(1-(D349/F353)&gt;0.6,1-(F349/G353)&gt;0.6),TRUE,FALSE),TRUE)</f>
        <v>1</v>
      </c>
    </row>
    <row r="379" spans="2:18" ht="76.5" customHeight="1" x14ac:dyDescent="0.3">
      <c r="B379" s="2710" t="s">
        <v>1310</v>
      </c>
      <c r="C379" s="2711"/>
      <c r="D379" s="2711"/>
      <c r="E379" s="2711"/>
      <c r="F379" s="2711"/>
      <c r="G379" s="2711"/>
      <c r="H379" s="2711"/>
      <c r="I379" s="2703"/>
      <c r="J379" s="2703"/>
      <c r="K379" s="2703"/>
      <c r="L379" s="2703"/>
      <c r="M379" s="2704"/>
      <c r="N379" s="529"/>
      <c r="R379" s="1296" t="b">
        <f>IFERROR(IF(OR(ABS(H353-I353)/MIN(H353,I353)&gt;0.35,ABS(J353-K353)/MIN(J353,K353)&gt;0.35),TRUE,FALSE),TRUE)</f>
        <v>1</v>
      </c>
    </row>
    <row r="380" spans="2:18" ht="76.5" customHeight="1" x14ac:dyDescent="0.3">
      <c r="B380" s="2710" t="s">
        <v>1311</v>
      </c>
      <c r="C380" s="2711"/>
      <c r="D380" s="2711"/>
      <c r="E380" s="2711"/>
      <c r="F380" s="2711"/>
      <c r="G380" s="2711"/>
      <c r="H380" s="2711"/>
      <c r="I380" s="2703"/>
      <c r="J380" s="2703"/>
      <c r="K380" s="2703"/>
      <c r="L380" s="2703"/>
      <c r="M380" s="2704"/>
      <c r="R380" s="1296" t="b">
        <f>IFERROR(IF(C355&gt;D355,TRUE,FALSE),TRUE)</f>
        <v>0</v>
      </c>
    </row>
    <row r="381" spans="2:18" ht="51" customHeight="1" x14ac:dyDescent="0.3">
      <c r="B381" s="2710" t="s">
        <v>1328</v>
      </c>
      <c r="C381" s="2711"/>
      <c r="D381" s="2711"/>
      <c r="E381" s="2711"/>
      <c r="F381" s="2711"/>
      <c r="G381" s="2711"/>
      <c r="H381" s="2711"/>
      <c r="I381" s="2705" t="s">
        <v>2347</v>
      </c>
      <c r="J381" s="2705"/>
      <c r="K381" s="2705"/>
      <c r="L381" s="2705"/>
      <c r="M381" s="2706"/>
      <c r="R381" s="1296" t="b">
        <f ca="1">IFERROR(IF(G349&gt;1500,TRUE,FALSE),TRUE)</f>
        <v>1</v>
      </c>
    </row>
    <row r="382" spans="2:18" ht="51" customHeight="1" x14ac:dyDescent="0.3">
      <c r="B382" s="2710" t="s">
        <v>1329</v>
      </c>
      <c r="C382" s="2711"/>
      <c r="D382" s="2711"/>
      <c r="E382" s="2711"/>
      <c r="F382" s="2711"/>
      <c r="G382" s="2711"/>
      <c r="H382" s="2711"/>
      <c r="I382" s="2703"/>
      <c r="J382" s="2703"/>
      <c r="K382" s="2703"/>
      <c r="L382" s="2703"/>
      <c r="M382" s="2704"/>
      <c r="R382" s="1296" t="b">
        <f ca="1">IFERROR(IF(COUNTIF(INDEX(PO_Enrgy_8_Table,,MATCH($K$231,PO_Enrgy_8_Hdr,0)),"&gt;0.1")+COUNTIF(INDEX(PO_Enrgy_8_Table,,MATCH($K$231,PO_Enrgy_8_Hdr,0)),"&lt;-0.1")&gt;0,TRUE,FALSE),TRUE)</f>
        <v>0</v>
      </c>
    </row>
    <row r="383" spans="2:18" ht="25.5" customHeight="1" x14ac:dyDescent="0.3">
      <c r="B383" s="2710" t="s">
        <v>1330</v>
      </c>
      <c r="C383" s="2711"/>
      <c r="D383" s="2711"/>
      <c r="E383" s="2711"/>
      <c r="F383" s="2711"/>
      <c r="G383" s="2711"/>
      <c r="H383" s="2711"/>
      <c r="I383" s="2703"/>
      <c r="J383" s="2703"/>
      <c r="K383" s="2703"/>
      <c r="L383" s="2703"/>
      <c r="M383" s="2704"/>
      <c r="R383" s="1296" t="b">
        <f ca="1">IFERROR(IF(PO_SiteRenewable=TRUE,IF(COUNTIF(INDEX(PO_renewable_table,,MATCH($U$32,PO_renewable_hdr,0)),"&gt;0.05")+COUNTIF(INDEX(PO_renewable_table,,MATCH($U$32,PO_renewable_hdr,0)),"&lt;-0.05")&gt;0,TRUE,FALSE),FALSE),TRUE)</f>
        <v>0</v>
      </c>
    </row>
    <row r="384" spans="2:18" ht="25.5" customHeight="1" x14ac:dyDescent="0.3">
      <c r="B384" s="2710" t="s">
        <v>1956</v>
      </c>
      <c r="C384" s="2711"/>
      <c r="D384" s="2711"/>
      <c r="E384" s="2711"/>
      <c r="F384" s="2711"/>
      <c r="G384" s="2711"/>
      <c r="H384" s="2711"/>
      <c r="I384" s="2703"/>
      <c r="J384" s="2703"/>
      <c r="K384" s="2703"/>
      <c r="L384" s="2703"/>
      <c r="M384" s="2704"/>
      <c r="N384" s="15"/>
      <c r="O384" s="15"/>
      <c r="P384" s="15"/>
      <c r="Q384" s="15"/>
      <c r="R384" s="1296" t="b">
        <f>IFERROR(IF(PO_ShowExCalc=TRUE,IF(COUNTIF(INDEX(PO_ExCalc_Table,,MATCH($U$55,PO_ExCalc_Hdr,0)),"&gt;0.05")+COUNTIF(INDEX(PO_ExCalc_Table,,MATCH($U$55,PO_ExCalc_Hdr,0)),"&lt;-0.05")&gt;0,TRUE,FALSE),FALSE),TRUE)</f>
        <v>0</v>
      </c>
    </row>
    <row r="385" spans="2:18" ht="25.5" customHeight="1" x14ac:dyDescent="0.3">
      <c r="B385" s="2710" t="s">
        <v>1331</v>
      </c>
      <c r="C385" s="2711"/>
      <c r="D385" s="2711"/>
      <c r="E385" s="2711"/>
      <c r="F385" s="2711"/>
      <c r="G385" s="2711"/>
      <c r="H385" s="2711"/>
      <c r="I385" s="2705"/>
      <c r="J385" s="2705"/>
      <c r="K385" s="2705"/>
      <c r="L385" s="2705"/>
      <c r="M385" s="2706"/>
      <c r="R385" s="1296" t="b">
        <f ca="1">IFERROR(IF(OR(I349&lt;0.06,I349&gt;0.25),TRUE,FALSE),TRUE)</f>
        <v>0</v>
      </c>
    </row>
    <row r="386" spans="2:18" ht="25.5" customHeight="1" x14ac:dyDescent="0.3">
      <c r="B386" s="2710" t="s">
        <v>1957</v>
      </c>
      <c r="C386" s="2711"/>
      <c r="D386" s="2711"/>
      <c r="E386" s="2711"/>
      <c r="F386" s="2711"/>
      <c r="G386" s="2711"/>
      <c r="H386" s="2711"/>
      <c r="I386" s="2705" t="s">
        <v>2348</v>
      </c>
      <c r="J386" s="2705"/>
      <c r="K386" s="2705"/>
      <c r="L386" s="2705"/>
      <c r="M386" s="2706"/>
      <c r="R386" s="1296" t="b">
        <f ca="1">IFERROR(IF(OR(J349&lt;0.5,J349&gt;2),TRUE,FALSE),TRUE)</f>
        <v>1</v>
      </c>
    </row>
    <row r="387" spans="2:18" ht="38.25" customHeight="1" x14ac:dyDescent="0.3">
      <c r="B387" s="2710" t="s">
        <v>1332</v>
      </c>
      <c r="C387" s="2711"/>
      <c r="D387" s="2711"/>
      <c r="E387" s="2711"/>
      <c r="F387" s="2711"/>
      <c r="G387" s="2711"/>
      <c r="H387" s="2711"/>
      <c r="I387" s="2703"/>
      <c r="J387" s="2703"/>
      <c r="K387" s="2703"/>
      <c r="L387" s="2703"/>
      <c r="M387" s="2704"/>
      <c r="R387" s="1296" t="b">
        <f>IFERROR(IF(PO_EnergyReportingMethod&gt;2,TRUE,FALSE),FALSE)</f>
        <v>0</v>
      </c>
    </row>
    <row r="388" spans="2:18" ht="63.75" customHeight="1" x14ac:dyDescent="0.3">
      <c r="B388" s="2710" t="s">
        <v>1333</v>
      </c>
      <c r="C388" s="2711"/>
      <c r="D388" s="2711"/>
      <c r="E388" s="2711"/>
      <c r="F388" s="2711"/>
      <c r="G388" s="2711"/>
      <c r="H388" s="2711"/>
      <c r="I388" s="2703"/>
      <c r="J388" s="2703"/>
      <c r="K388" s="2703"/>
      <c r="L388" s="2703"/>
      <c r="M388" s="2704"/>
      <c r="R388" s="1296" t="b">
        <f>IFERROR(IF(AND(COUNTIFS(INDEX(PO_design_table,,MATCH($E$169,PO_design_hdr,0)),"Electricity",INDEX(PO_design_table,,MATCH($B$169,PO_design_hdr,0)),"Space Heating",INDEX(PO_design_table,,MATCH($G$169,PO_design_hdr,0)),"&gt;0")&gt;0,COUNTIFS(INDEX(PO_design_table,,MATCH($E$169,PO_design_hdr,0)),"&lt;&gt;Electricity",INDEX(PO_design_table,,MATCH($B$169,PO_design_hdr,0)),"Space Heating",INDEX(PO_design_table,,MATCH($G$169,PO_design_hdr,0)),"&gt;0")&gt;0),TRUE,FALSE),TRUE)</f>
        <v>0</v>
      </c>
    </row>
    <row r="389" spans="2:18" ht="25.5" customHeight="1" x14ac:dyDescent="0.3">
      <c r="B389" s="2710" t="s">
        <v>1334</v>
      </c>
      <c r="C389" s="2711"/>
      <c r="D389" s="2711"/>
      <c r="E389" s="2711"/>
      <c r="F389" s="2711"/>
      <c r="G389" s="2711"/>
      <c r="H389" s="2711"/>
      <c r="I389" s="2703"/>
      <c r="J389" s="2703"/>
      <c r="K389" s="2703"/>
      <c r="L389" s="2703"/>
      <c r="M389" s="2704"/>
      <c r="R389" s="1296" t="b">
        <f>IFERROR(IF(MAX(F334:M334)&gt;300,TRUE,FALSE),TRUE)</f>
        <v>0</v>
      </c>
    </row>
    <row r="390" spans="2:18" ht="38.25" customHeight="1" x14ac:dyDescent="0.3">
      <c r="B390" s="2710" t="str">
        <f ca="1">"The three largest end use contributors to the cost savings are "&amp;CONCATENATE(VLOOKUP(1,QCEnSaveRank,2,FALSE),", ", VLOOKUP(2,QCEnSaveRank,2,FALSE), ", ",VLOOKUP(3,QCEnSaveRank,2,FALSE))&amp;" (as reported in the Performance Outputs tab). Please provide a narrative to justify the savings of these end uses, such as the energy conservation measures which contribute to the savings claimed."</f>
        <v>The three largest end use contributors to the cost savings are Service water heating, Fans - interior ventilation, Exterior lighting (as reported in the Performance Outputs tab). Please provide a narrative to justify the savings of these end uses, such as the energy conservation measures which contribute to the savings claimed.</v>
      </c>
      <c r="C390" s="2711"/>
      <c r="D390" s="2711"/>
      <c r="E390" s="2711"/>
      <c r="F390" s="2711"/>
      <c r="G390" s="2711"/>
      <c r="H390" s="2711"/>
      <c r="I390" s="2705" t="s">
        <v>2349</v>
      </c>
      <c r="J390" s="2705"/>
      <c r="K390" s="2705"/>
      <c r="L390" s="2705"/>
      <c r="M390" s="2706"/>
      <c r="R390" s="1296" t="b">
        <f>TRUE</f>
        <v>1</v>
      </c>
    </row>
    <row r="391" spans="2:18" ht="25.5" customHeight="1" x14ac:dyDescent="0.3">
      <c r="B391" s="2710" t="s">
        <v>2004</v>
      </c>
      <c r="C391" s="2711"/>
      <c r="D391" s="2711"/>
      <c r="E391" s="2711"/>
      <c r="F391" s="2711"/>
      <c r="G391" s="2711"/>
      <c r="H391" s="2711"/>
      <c r="I391" s="2703"/>
      <c r="J391" s="2703"/>
      <c r="K391" s="2703"/>
      <c r="L391" s="2703"/>
      <c r="M391" s="2704"/>
      <c r="R391" s="1296" t="b">
        <f>IF(RatingSystemSelection="LEED v4 BD+C: Data Centers",TRUE,FALSE)</f>
        <v>0</v>
      </c>
    </row>
    <row r="392" spans="2:18" ht="25.5" customHeight="1" x14ac:dyDescent="0.3">
      <c r="B392" s="2684" t="s">
        <v>2007</v>
      </c>
      <c r="C392" s="2685"/>
      <c r="D392" s="2685"/>
      <c r="E392" s="2685"/>
      <c r="F392" s="2685"/>
      <c r="G392" s="2685"/>
      <c r="H392" s="2685"/>
      <c r="I392" s="2686"/>
      <c r="J392" s="2686"/>
      <c r="K392" s="2686"/>
      <c r="L392" s="2686"/>
      <c r="M392" s="2687"/>
      <c r="R392" s="1296" t="b">
        <f ca="1">IFERROR(IF(F343&lt;10,TRUE,FALSE),TRUE)</f>
        <v>0</v>
      </c>
    </row>
    <row r="393" spans="2:18" ht="40.5" customHeight="1" x14ac:dyDescent="0.3">
      <c r="B393" s="2684" t="s">
        <v>1320</v>
      </c>
      <c r="C393" s="2685"/>
      <c r="D393" s="2685"/>
      <c r="E393" s="2685"/>
      <c r="F393" s="2685"/>
      <c r="G393" s="2685"/>
      <c r="H393" s="2685"/>
      <c r="I393" s="2686"/>
      <c r="J393" s="2686"/>
      <c r="K393" s="2686"/>
      <c r="L393" s="2686"/>
      <c r="M393" s="2687"/>
      <c r="O393" s="15"/>
      <c r="Q393" s="856"/>
      <c r="R393" s="1296" t="b">
        <f ca="1">IFERROR(IF(OR((K349-G341)/MIN(K349,G341)&gt;0.05,(M349-G341)/MIN(M349,G341)&gt;0.05),TRUE,FALSE),TRUE)</f>
        <v>1</v>
      </c>
    </row>
    <row r="394" spans="2:18" ht="39.75" customHeight="1" x14ac:dyDescent="0.3">
      <c r="B394" s="2684" t="s">
        <v>1308</v>
      </c>
      <c r="C394" s="2685"/>
      <c r="D394" s="2685"/>
      <c r="E394" s="2685"/>
      <c r="F394" s="2685"/>
      <c r="G394" s="2685"/>
      <c r="H394" s="2685"/>
      <c r="I394" s="2686"/>
      <c r="J394" s="2686"/>
      <c r="K394" s="2686"/>
      <c r="L394" s="2686"/>
      <c r="M394" s="2687"/>
      <c r="O394" s="15"/>
      <c r="Q394" s="856"/>
      <c r="R394" s="1296" t="b">
        <f ca="1">IFERROR(IF(H341&gt;G341,TRUE,FALSE),TRUE)</f>
        <v>0</v>
      </c>
    </row>
    <row r="395" spans="2:18" ht="63" customHeight="1" x14ac:dyDescent="0.3">
      <c r="B395" s="2684" t="s">
        <v>1338</v>
      </c>
      <c r="C395" s="2685"/>
      <c r="D395" s="2685"/>
      <c r="E395" s="2685"/>
      <c r="F395" s="2685"/>
      <c r="G395" s="2685"/>
      <c r="H395" s="2685"/>
      <c r="I395" s="2686"/>
      <c r="J395" s="2686"/>
      <c r="K395" s="2686"/>
      <c r="L395" s="2686"/>
      <c r="M395" s="2687"/>
      <c r="O395" s="15"/>
      <c r="Q395" s="856"/>
      <c r="R395" s="1296" t="b">
        <f ca="1">IFERROR(IF(J341&gt;I341,TRUE,FALSE),TRUE)</f>
        <v>0</v>
      </c>
    </row>
    <row r="396" spans="2:18" ht="49.8" customHeight="1" x14ac:dyDescent="0.3">
      <c r="B396" s="2684" t="s">
        <v>2227</v>
      </c>
      <c r="C396" s="2685"/>
      <c r="D396" s="2685"/>
      <c r="E396" s="2685"/>
      <c r="F396" s="2685"/>
      <c r="G396" s="2685"/>
      <c r="H396" s="2685"/>
      <c r="I396" s="2686"/>
      <c r="J396" s="2686"/>
      <c r="K396" s="2686"/>
      <c r="L396" s="2686"/>
      <c r="M396" s="2687"/>
      <c r="O396" s="15"/>
      <c r="Q396" s="856"/>
      <c r="R396" s="1296" t="b">
        <f>IFERROR(IF(OR(SimTool="Trace",SimTool="eQUEST"),IF(ABS(($C$357-$E$226)/$E$226) &gt; 0.05, TRUE,FALSE)),TRUE)</f>
        <v>0</v>
      </c>
    </row>
    <row r="397" spans="2:18" ht="49.8" customHeight="1" x14ac:dyDescent="0.3">
      <c r="B397" s="2684" t="s">
        <v>2228</v>
      </c>
      <c r="C397" s="2685"/>
      <c r="D397" s="2685"/>
      <c r="E397" s="2685"/>
      <c r="F397" s="2685"/>
      <c r="G397" s="2685"/>
      <c r="H397" s="2685"/>
      <c r="I397" s="2686"/>
      <c r="J397" s="2686"/>
      <c r="K397" s="2686"/>
      <c r="L397" s="2686"/>
      <c r="M397" s="2687"/>
      <c r="O397" s="15"/>
      <c r="Q397" s="856"/>
      <c r="R397" s="1296" t="b">
        <f>IFERROR(IF(OR(SimTool="Trace",SimTool="eQUEST"),IF(ABS(($D$357-$H$226)/$H$226) &gt; 0.05, TRUE,FALSE)),TRUE)</f>
        <v>0</v>
      </c>
    </row>
  </sheetData>
  <sheetProtection algorithmName="SHA-512" hashValue="n4/raC0nuNQRvgGfvHyll+h2XNCzVnElNIyLvfeTkZ9qlqRbv0IgQnjuKOhxzHMomyZuhsDNBaW1lc1KwloI2A==" saltValue="4cb1hK2mxIoPFgHP+mjWFQ==" spinCount="100000" sheet="1" objects="1" scenarios="1"/>
  <mergeCells count="724">
    <mergeCell ref="BF167:BI167"/>
    <mergeCell ref="BF93:BI93"/>
    <mergeCell ref="B392:H392"/>
    <mergeCell ref="B359:H359"/>
    <mergeCell ref="I359:M359"/>
    <mergeCell ref="B393:H393"/>
    <mergeCell ref="B394:H394"/>
    <mergeCell ref="B395:H395"/>
    <mergeCell ref="B383:H383"/>
    <mergeCell ref="B384:H384"/>
    <mergeCell ref="B385:H385"/>
    <mergeCell ref="B386:H386"/>
    <mergeCell ref="B387:H387"/>
    <mergeCell ref="B388:H388"/>
    <mergeCell ref="B389:H389"/>
    <mergeCell ref="B390:H390"/>
    <mergeCell ref="B391:H391"/>
    <mergeCell ref="B374:H374"/>
    <mergeCell ref="B375:H375"/>
    <mergeCell ref="B376:H376"/>
    <mergeCell ref="B377:H377"/>
    <mergeCell ref="B378:H378"/>
    <mergeCell ref="B379:H379"/>
    <mergeCell ref="B380:H380"/>
    <mergeCell ref="B334:E334"/>
    <mergeCell ref="B317:D317"/>
    <mergeCell ref="G317:H317"/>
    <mergeCell ref="K317:M317"/>
    <mergeCell ref="H320:J320"/>
    <mergeCell ref="K320:M320"/>
    <mergeCell ref="C316:D316"/>
    <mergeCell ref="B335:E335"/>
    <mergeCell ref="I366:M366"/>
    <mergeCell ref="G316:H316"/>
    <mergeCell ref="K316:M316"/>
    <mergeCell ref="C325:D325"/>
    <mergeCell ref="K325:L325"/>
    <mergeCell ref="B356:B357"/>
    <mergeCell ref="K305:L305"/>
    <mergeCell ref="B308:M308"/>
    <mergeCell ref="E309:H309"/>
    <mergeCell ref="I309:M309"/>
    <mergeCell ref="B250:D250"/>
    <mergeCell ref="C251:D251"/>
    <mergeCell ref="C252:D252"/>
    <mergeCell ref="B254:D254"/>
    <mergeCell ref="C255:D255"/>
    <mergeCell ref="C256:D256"/>
    <mergeCell ref="C304:D304"/>
    <mergeCell ref="K304:L304"/>
    <mergeCell ref="B305:D305"/>
    <mergeCell ref="I393:M393"/>
    <mergeCell ref="I394:M394"/>
    <mergeCell ref="I395:M395"/>
    <mergeCell ref="K321:L321"/>
    <mergeCell ref="I365:M365"/>
    <mergeCell ref="C336:G336"/>
    <mergeCell ref="B327:L327"/>
    <mergeCell ref="B331:E331"/>
    <mergeCell ref="B332:E332"/>
    <mergeCell ref="B333:E333"/>
    <mergeCell ref="C323:D323"/>
    <mergeCell ref="K323:L323"/>
    <mergeCell ref="C324:D324"/>
    <mergeCell ref="K324:L324"/>
    <mergeCell ref="B326:D326"/>
    <mergeCell ref="K326:L326"/>
    <mergeCell ref="I363:M363"/>
    <mergeCell ref="I364:M364"/>
    <mergeCell ref="I360:M360"/>
    <mergeCell ref="I361:M361"/>
    <mergeCell ref="I362:M362"/>
    <mergeCell ref="B320:B321"/>
    <mergeCell ref="C320:D321"/>
    <mergeCell ref="E320:G320"/>
    <mergeCell ref="N309:P309"/>
    <mergeCell ref="G310:H310"/>
    <mergeCell ref="K310:M310"/>
    <mergeCell ref="C312:D312"/>
    <mergeCell ref="G312:H312"/>
    <mergeCell ref="K312:M312"/>
    <mergeCell ref="C315:D315"/>
    <mergeCell ref="G315:H315"/>
    <mergeCell ref="K315:M315"/>
    <mergeCell ref="B313:D313"/>
    <mergeCell ref="G313:H313"/>
    <mergeCell ref="K313:M313"/>
    <mergeCell ref="C314:D314"/>
    <mergeCell ref="G314:H314"/>
    <mergeCell ref="K314:M314"/>
    <mergeCell ref="B309:B310"/>
    <mergeCell ref="C309:D310"/>
    <mergeCell ref="N299:P299"/>
    <mergeCell ref="K300:L300"/>
    <mergeCell ref="C302:D302"/>
    <mergeCell ref="K302:L302"/>
    <mergeCell ref="C303:D303"/>
    <mergeCell ref="K303:L303"/>
    <mergeCell ref="B294:D294"/>
    <mergeCell ref="K294:L294"/>
    <mergeCell ref="B295:L295"/>
    <mergeCell ref="B296:J296"/>
    <mergeCell ref="K296:M296"/>
    <mergeCell ref="B299:B300"/>
    <mergeCell ref="C299:D300"/>
    <mergeCell ref="E299:G299"/>
    <mergeCell ref="H299:J299"/>
    <mergeCell ref="K299:M299"/>
    <mergeCell ref="N288:P288"/>
    <mergeCell ref="K289:L289"/>
    <mergeCell ref="C291:D291"/>
    <mergeCell ref="K291:L291"/>
    <mergeCell ref="C292:D292"/>
    <mergeCell ref="K292:L292"/>
    <mergeCell ref="B285:D285"/>
    <mergeCell ref="K285:L285"/>
    <mergeCell ref="B286:L286"/>
    <mergeCell ref="B288:B289"/>
    <mergeCell ref="C288:D289"/>
    <mergeCell ref="E288:G288"/>
    <mergeCell ref="H288:J288"/>
    <mergeCell ref="K288:M288"/>
    <mergeCell ref="N279:P279"/>
    <mergeCell ref="K280:L280"/>
    <mergeCell ref="C282:D282"/>
    <mergeCell ref="K282:L282"/>
    <mergeCell ref="C283:D283"/>
    <mergeCell ref="K283:L283"/>
    <mergeCell ref="B276:D276"/>
    <mergeCell ref="K276:L276"/>
    <mergeCell ref="B277:L277"/>
    <mergeCell ref="B279:B280"/>
    <mergeCell ref="C279:D280"/>
    <mergeCell ref="E279:G279"/>
    <mergeCell ref="H279:J279"/>
    <mergeCell ref="K279:M279"/>
    <mergeCell ref="N270:P270"/>
    <mergeCell ref="K271:L271"/>
    <mergeCell ref="C273:D273"/>
    <mergeCell ref="K273:L273"/>
    <mergeCell ref="C274:D274"/>
    <mergeCell ref="K274:L274"/>
    <mergeCell ref="B265:D265"/>
    <mergeCell ref="K265:L265"/>
    <mergeCell ref="B266:D266"/>
    <mergeCell ref="B268:M268"/>
    <mergeCell ref="B270:B271"/>
    <mergeCell ref="C270:D271"/>
    <mergeCell ref="E270:G270"/>
    <mergeCell ref="H270:J270"/>
    <mergeCell ref="K270:M270"/>
    <mergeCell ref="N259:P259"/>
    <mergeCell ref="K260:L260"/>
    <mergeCell ref="C262:D262"/>
    <mergeCell ref="K262:L262"/>
    <mergeCell ref="C263:D263"/>
    <mergeCell ref="K263:L263"/>
    <mergeCell ref="B258:D258"/>
    <mergeCell ref="B259:B260"/>
    <mergeCell ref="C259:D260"/>
    <mergeCell ref="E259:G259"/>
    <mergeCell ref="H259:J259"/>
    <mergeCell ref="K259:M259"/>
    <mergeCell ref="N237:P237"/>
    <mergeCell ref="K238:L238"/>
    <mergeCell ref="C240:D240"/>
    <mergeCell ref="K240:L240"/>
    <mergeCell ref="C241:D241"/>
    <mergeCell ref="K241:L241"/>
    <mergeCell ref="C233:D233"/>
    <mergeCell ref="E233:G233"/>
    <mergeCell ref="H233:J233"/>
    <mergeCell ref="K233:M233"/>
    <mergeCell ref="B236:L236"/>
    <mergeCell ref="B237:B238"/>
    <mergeCell ref="C237:D238"/>
    <mergeCell ref="E237:G237"/>
    <mergeCell ref="H237:J237"/>
    <mergeCell ref="K237:M237"/>
    <mergeCell ref="C234:D234"/>
    <mergeCell ref="E234:G234"/>
    <mergeCell ref="H234:J234"/>
    <mergeCell ref="K234:M234"/>
    <mergeCell ref="B229:L229"/>
    <mergeCell ref="B230:D230"/>
    <mergeCell ref="E230:G230"/>
    <mergeCell ref="H230:J230"/>
    <mergeCell ref="K230:M230"/>
    <mergeCell ref="C232:D232"/>
    <mergeCell ref="E232:G232"/>
    <mergeCell ref="H232:J232"/>
    <mergeCell ref="K232:M232"/>
    <mergeCell ref="C223:D223"/>
    <mergeCell ref="K223:L223"/>
    <mergeCell ref="C224:D224"/>
    <mergeCell ref="K224:L224"/>
    <mergeCell ref="B226:D226"/>
    <mergeCell ref="K226:L226"/>
    <mergeCell ref="B220:B221"/>
    <mergeCell ref="C220:D221"/>
    <mergeCell ref="E220:G220"/>
    <mergeCell ref="H220:J220"/>
    <mergeCell ref="K220:M220"/>
    <mergeCell ref="K221:L221"/>
    <mergeCell ref="C225:D225"/>
    <mergeCell ref="K225:L225"/>
    <mergeCell ref="AF214:AG215"/>
    <mergeCell ref="B216:C217"/>
    <mergeCell ref="D216:D217"/>
    <mergeCell ref="E216:E217"/>
    <mergeCell ref="J216:J217"/>
    <mergeCell ref="K216:L217"/>
    <mergeCell ref="M216:M217"/>
    <mergeCell ref="AF216:AG217"/>
    <mergeCell ref="B214:C215"/>
    <mergeCell ref="D214:D215"/>
    <mergeCell ref="E214:E215"/>
    <mergeCell ref="J214:J215"/>
    <mergeCell ref="K214:L215"/>
    <mergeCell ref="M214:M215"/>
    <mergeCell ref="AF210:AG211"/>
    <mergeCell ref="B212:C213"/>
    <mergeCell ref="D212:D213"/>
    <mergeCell ref="E212:E213"/>
    <mergeCell ref="J212:J213"/>
    <mergeCell ref="K212:L213"/>
    <mergeCell ref="M212:M213"/>
    <mergeCell ref="AF212:AG213"/>
    <mergeCell ref="B210:C211"/>
    <mergeCell ref="D210:D211"/>
    <mergeCell ref="E210:E211"/>
    <mergeCell ref="J210:J211"/>
    <mergeCell ref="K210:L211"/>
    <mergeCell ref="M210:M211"/>
    <mergeCell ref="AF206:AG207"/>
    <mergeCell ref="B208:C209"/>
    <mergeCell ref="D208:D209"/>
    <mergeCell ref="E208:E209"/>
    <mergeCell ref="J208:J209"/>
    <mergeCell ref="K208:L209"/>
    <mergeCell ref="M208:M209"/>
    <mergeCell ref="AF208:AG209"/>
    <mergeCell ref="B206:C207"/>
    <mergeCell ref="D206:D207"/>
    <mergeCell ref="E206:E207"/>
    <mergeCell ref="J206:J207"/>
    <mergeCell ref="K206:L207"/>
    <mergeCell ref="M206:M207"/>
    <mergeCell ref="AF202:AG203"/>
    <mergeCell ref="B204:C205"/>
    <mergeCell ref="D204:D205"/>
    <mergeCell ref="E204:E205"/>
    <mergeCell ref="J204:J205"/>
    <mergeCell ref="K204:L205"/>
    <mergeCell ref="M204:M205"/>
    <mergeCell ref="AF204:AG205"/>
    <mergeCell ref="B202:C203"/>
    <mergeCell ref="D202:D203"/>
    <mergeCell ref="E202:E203"/>
    <mergeCell ref="J202:J203"/>
    <mergeCell ref="K202:L203"/>
    <mergeCell ref="M202:M203"/>
    <mergeCell ref="AF198:AG199"/>
    <mergeCell ref="B200:C201"/>
    <mergeCell ref="D200:D201"/>
    <mergeCell ref="E200:E201"/>
    <mergeCell ref="J200:J201"/>
    <mergeCell ref="K200:L201"/>
    <mergeCell ref="M200:M201"/>
    <mergeCell ref="AF200:AG201"/>
    <mergeCell ref="B198:C199"/>
    <mergeCell ref="D198:D199"/>
    <mergeCell ref="E198:E199"/>
    <mergeCell ref="J198:J199"/>
    <mergeCell ref="K198:L199"/>
    <mergeCell ref="M198:M199"/>
    <mergeCell ref="AF194:AG195"/>
    <mergeCell ref="B196:C197"/>
    <mergeCell ref="D196:D197"/>
    <mergeCell ref="E196:E197"/>
    <mergeCell ref="J196:J197"/>
    <mergeCell ref="K196:L197"/>
    <mergeCell ref="M196:M197"/>
    <mergeCell ref="AF196:AG197"/>
    <mergeCell ref="B194:C195"/>
    <mergeCell ref="D194:D195"/>
    <mergeCell ref="E194:E195"/>
    <mergeCell ref="J194:J195"/>
    <mergeCell ref="K194:L195"/>
    <mergeCell ref="M194:M195"/>
    <mergeCell ref="AF190:AG191"/>
    <mergeCell ref="B192:C193"/>
    <mergeCell ref="D192:D193"/>
    <mergeCell ref="E192:E193"/>
    <mergeCell ref="J192:J193"/>
    <mergeCell ref="K192:L193"/>
    <mergeCell ref="M192:M193"/>
    <mergeCell ref="AF192:AG193"/>
    <mergeCell ref="B190:C191"/>
    <mergeCell ref="D190:D191"/>
    <mergeCell ref="E190:E191"/>
    <mergeCell ref="J190:J191"/>
    <mergeCell ref="K190:L191"/>
    <mergeCell ref="M190:M191"/>
    <mergeCell ref="AF186:AG187"/>
    <mergeCell ref="B188:C189"/>
    <mergeCell ref="D188:D189"/>
    <mergeCell ref="E188:E189"/>
    <mergeCell ref="J188:J189"/>
    <mergeCell ref="K188:L189"/>
    <mergeCell ref="M188:M189"/>
    <mergeCell ref="AF188:AG189"/>
    <mergeCell ref="B186:C187"/>
    <mergeCell ref="D186:D187"/>
    <mergeCell ref="E186:E187"/>
    <mergeCell ref="J186:J187"/>
    <mergeCell ref="K186:L187"/>
    <mergeCell ref="M186:M187"/>
    <mergeCell ref="AF182:AG183"/>
    <mergeCell ref="B184:C185"/>
    <mergeCell ref="D184:D185"/>
    <mergeCell ref="E184:E185"/>
    <mergeCell ref="J184:J185"/>
    <mergeCell ref="K184:L185"/>
    <mergeCell ref="M184:M185"/>
    <mergeCell ref="AF184:AG185"/>
    <mergeCell ref="B182:C183"/>
    <mergeCell ref="D182:D183"/>
    <mergeCell ref="E182:E183"/>
    <mergeCell ref="J182:J183"/>
    <mergeCell ref="K182:L183"/>
    <mergeCell ref="M182:M183"/>
    <mergeCell ref="AF178:AG179"/>
    <mergeCell ref="B180:C181"/>
    <mergeCell ref="D180:D181"/>
    <mergeCell ref="E180:E181"/>
    <mergeCell ref="J180:J181"/>
    <mergeCell ref="K180:L181"/>
    <mergeCell ref="M180:M181"/>
    <mergeCell ref="AF180:AG181"/>
    <mergeCell ref="B178:C179"/>
    <mergeCell ref="D178:D179"/>
    <mergeCell ref="E178:E179"/>
    <mergeCell ref="J178:J179"/>
    <mergeCell ref="K178:L179"/>
    <mergeCell ref="M178:M179"/>
    <mergeCell ref="B176:C177"/>
    <mergeCell ref="D176:D177"/>
    <mergeCell ref="E176:E177"/>
    <mergeCell ref="J176:J177"/>
    <mergeCell ref="K176:L177"/>
    <mergeCell ref="M176:M177"/>
    <mergeCell ref="AF176:AG177"/>
    <mergeCell ref="B174:C175"/>
    <mergeCell ref="D174:D175"/>
    <mergeCell ref="E174:E175"/>
    <mergeCell ref="J174:J175"/>
    <mergeCell ref="K174:L175"/>
    <mergeCell ref="M174:M175"/>
    <mergeCell ref="AF170:AG171"/>
    <mergeCell ref="B172:C173"/>
    <mergeCell ref="D172:D173"/>
    <mergeCell ref="E172:E173"/>
    <mergeCell ref="J172:J173"/>
    <mergeCell ref="K172:L173"/>
    <mergeCell ref="M172:M173"/>
    <mergeCell ref="AF172:AG173"/>
    <mergeCell ref="AF174:AG175"/>
    <mergeCell ref="B168:C168"/>
    <mergeCell ref="K168:L168"/>
    <mergeCell ref="B170:C171"/>
    <mergeCell ref="D170:D171"/>
    <mergeCell ref="E170:E171"/>
    <mergeCell ref="J170:J171"/>
    <mergeCell ref="K170:L171"/>
    <mergeCell ref="B161:M161"/>
    <mergeCell ref="B162:M162"/>
    <mergeCell ref="B163:M163"/>
    <mergeCell ref="B164:M164"/>
    <mergeCell ref="B165:M165"/>
    <mergeCell ref="B166:M166"/>
    <mergeCell ref="M170:M171"/>
    <mergeCell ref="B154:E154"/>
    <mergeCell ref="K154:M154"/>
    <mergeCell ref="B155:E155"/>
    <mergeCell ref="K155:M155"/>
    <mergeCell ref="B157:F157"/>
    <mergeCell ref="K157:M157"/>
    <mergeCell ref="K146:M146"/>
    <mergeCell ref="B148:F148"/>
    <mergeCell ref="K148:M148"/>
    <mergeCell ref="B149:F149"/>
    <mergeCell ref="K149:M149"/>
    <mergeCell ref="B152:F152"/>
    <mergeCell ref="K152:M152"/>
    <mergeCell ref="B146:D146"/>
    <mergeCell ref="B147:D147"/>
    <mergeCell ref="K147:M147"/>
    <mergeCell ref="B156:E156"/>
    <mergeCell ref="K156:M156"/>
    <mergeCell ref="B142:C143"/>
    <mergeCell ref="D142:D143"/>
    <mergeCell ref="E142:E143"/>
    <mergeCell ref="K142:M142"/>
    <mergeCell ref="K143:M143"/>
    <mergeCell ref="K145:M145"/>
    <mergeCell ref="B138:C139"/>
    <mergeCell ref="D138:D139"/>
    <mergeCell ref="E138:E139"/>
    <mergeCell ref="K138:M138"/>
    <mergeCell ref="K139:M139"/>
    <mergeCell ref="B140:C141"/>
    <mergeCell ref="D140:D141"/>
    <mergeCell ref="E140:E141"/>
    <mergeCell ref="K140:M140"/>
    <mergeCell ref="K141:M141"/>
    <mergeCell ref="B145:D145"/>
    <mergeCell ref="B134:C135"/>
    <mergeCell ref="D134:D135"/>
    <mergeCell ref="E134:E135"/>
    <mergeCell ref="K134:M134"/>
    <mergeCell ref="K135:M135"/>
    <mergeCell ref="B136:C137"/>
    <mergeCell ref="D136:D137"/>
    <mergeCell ref="E136:E137"/>
    <mergeCell ref="K136:M136"/>
    <mergeCell ref="K137:M137"/>
    <mergeCell ref="B130:C131"/>
    <mergeCell ref="D130:D131"/>
    <mergeCell ref="E130:E131"/>
    <mergeCell ref="K130:M130"/>
    <mergeCell ref="K131:M131"/>
    <mergeCell ref="B132:C133"/>
    <mergeCell ref="D132:D133"/>
    <mergeCell ref="E132:E133"/>
    <mergeCell ref="K132:M132"/>
    <mergeCell ref="K133:M133"/>
    <mergeCell ref="B126:C127"/>
    <mergeCell ref="D126:D127"/>
    <mergeCell ref="E126:E127"/>
    <mergeCell ref="K126:M126"/>
    <mergeCell ref="K127:M127"/>
    <mergeCell ref="B128:C129"/>
    <mergeCell ref="D128:D129"/>
    <mergeCell ref="E128:E129"/>
    <mergeCell ref="K128:M128"/>
    <mergeCell ref="K129:M129"/>
    <mergeCell ref="B122:C123"/>
    <mergeCell ref="D122:D123"/>
    <mergeCell ref="E122:E123"/>
    <mergeCell ref="K122:M122"/>
    <mergeCell ref="K123:M123"/>
    <mergeCell ref="B124:C125"/>
    <mergeCell ref="D124:D125"/>
    <mergeCell ref="E124:E125"/>
    <mergeCell ref="K124:M124"/>
    <mergeCell ref="K125:M125"/>
    <mergeCell ref="B118:C119"/>
    <mergeCell ref="D118:D119"/>
    <mergeCell ref="E118:E119"/>
    <mergeCell ref="K118:M118"/>
    <mergeCell ref="K119:M119"/>
    <mergeCell ref="B120:C121"/>
    <mergeCell ref="D120:D121"/>
    <mergeCell ref="E120:E121"/>
    <mergeCell ref="K120:M120"/>
    <mergeCell ref="K121:M121"/>
    <mergeCell ref="B114:C115"/>
    <mergeCell ref="D114:D115"/>
    <mergeCell ref="E114:E115"/>
    <mergeCell ref="K114:M114"/>
    <mergeCell ref="K115:M115"/>
    <mergeCell ref="B116:C117"/>
    <mergeCell ref="D116:D117"/>
    <mergeCell ref="E116:E117"/>
    <mergeCell ref="K116:M116"/>
    <mergeCell ref="K117:M117"/>
    <mergeCell ref="B110:C111"/>
    <mergeCell ref="D110:D111"/>
    <mergeCell ref="E110:E111"/>
    <mergeCell ref="K110:M110"/>
    <mergeCell ref="K111:M111"/>
    <mergeCell ref="B112:C113"/>
    <mergeCell ref="D112:D113"/>
    <mergeCell ref="E112:E113"/>
    <mergeCell ref="K112:M112"/>
    <mergeCell ref="K113:M113"/>
    <mergeCell ref="B106:C107"/>
    <mergeCell ref="D106:D107"/>
    <mergeCell ref="E106:E107"/>
    <mergeCell ref="K106:M106"/>
    <mergeCell ref="K107:M107"/>
    <mergeCell ref="B108:C109"/>
    <mergeCell ref="D108:D109"/>
    <mergeCell ref="E108:E109"/>
    <mergeCell ref="K108:M108"/>
    <mergeCell ref="K109:M109"/>
    <mergeCell ref="B102:C103"/>
    <mergeCell ref="D102:D103"/>
    <mergeCell ref="E102:E103"/>
    <mergeCell ref="K102:M102"/>
    <mergeCell ref="K103:M103"/>
    <mergeCell ref="B104:C105"/>
    <mergeCell ref="D104:D105"/>
    <mergeCell ref="E104:E105"/>
    <mergeCell ref="K104:M104"/>
    <mergeCell ref="K105:M105"/>
    <mergeCell ref="B98:C99"/>
    <mergeCell ref="D98:D99"/>
    <mergeCell ref="E98:E99"/>
    <mergeCell ref="K98:M98"/>
    <mergeCell ref="K99:M99"/>
    <mergeCell ref="B100:C101"/>
    <mergeCell ref="D100:D101"/>
    <mergeCell ref="E100:E101"/>
    <mergeCell ref="K100:M100"/>
    <mergeCell ref="K101:M101"/>
    <mergeCell ref="B92:M92"/>
    <mergeCell ref="B94:C94"/>
    <mergeCell ref="K94:M94"/>
    <mergeCell ref="B96:C97"/>
    <mergeCell ref="D96:D97"/>
    <mergeCell ref="E96:E97"/>
    <mergeCell ref="K96:M96"/>
    <mergeCell ref="K97:M97"/>
    <mergeCell ref="B83:M83"/>
    <mergeCell ref="B87:M87"/>
    <mergeCell ref="B88:M88"/>
    <mergeCell ref="B89:M89"/>
    <mergeCell ref="B90:M90"/>
    <mergeCell ref="B91:M91"/>
    <mergeCell ref="B72:M72"/>
    <mergeCell ref="B75:M75"/>
    <mergeCell ref="B76:M76"/>
    <mergeCell ref="B78:M78"/>
    <mergeCell ref="B80:M80"/>
    <mergeCell ref="B82:M82"/>
    <mergeCell ref="B68:F68"/>
    <mergeCell ref="J68:K68"/>
    <mergeCell ref="L68:M68"/>
    <mergeCell ref="B70:F70"/>
    <mergeCell ref="J70:K70"/>
    <mergeCell ref="L70:M70"/>
    <mergeCell ref="B69:F69"/>
    <mergeCell ref="J69:K69"/>
    <mergeCell ref="L69:M69"/>
    <mergeCell ref="B63:F63"/>
    <mergeCell ref="J63:K63"/>
    <mergeCell ref="L63:M63"/>
    <mergeCell ref="B65:E65"/>
    <mergeCell ref="B67:F67"/>
    <mergeCell ref="J67:K67"/>
    <mergeCell ref="L67:M67"/>
    <mergeCell ref="J59:K59"/>
    <mergeCell ref="L59:M59"/>
    <mergeCell ref="B60:E60"/>
    <mergeCell ref="B62:F62"/>
    <mergeCell ref="J62:K62"/>
    <mergeCell ref="L62:M62"/>
    <mergeCell ref="D59:E59"/>
    <mergeCell ref="B64:F64"/>
    <mergeCell ref="J64:K64"/>
    <mergeCell ref="L64:M64"/>
    <mergeCell ref="J56:K56"/>
    <mergeCell ref="L56:M56"/>
    <mergeCell ref="J58:K58"/>
    <mergeCell ref="L58:M58"/>
    <mergeCell ref="B48:M48"/>
    <mergeCell ref="B51:M51"/>
    <mergeCell ref="C53:C54"/>
    <mergeCell ref="G53:K53"/>
    <mergeCell ref="L53:M54"/>
    <mergeCell ref="G54:H54"/>
    <mergeCell ref="J54:K54"/>
    <mergeCell ref="B53:B54"/>
    <mergeCell ref="D55:E55"/>
    <mergeCell ref="D53:E54"/>
    <mergeCell ref="D56:E56"/>
    <mergeCell ref="D58:E58"/>
    <mergeCell ref="F53:F54"/>
    <mergeCell ref="D57:E57"/>
    <mergeCell ref="J57:K57"/>
    <mergeCell ref="L57:M57"/>
    <mergeCell ref="B41:F41"/>
    <mergeCell ref="H41:I41"/>
    <mergeCell ref="J41:M41"/>
    <mergeCell ref="B42:I42"/>
    <mergeCell ref="J42:M42"/>
    <mergeCell ref="B43:L43"/>
    <mergeCell ref="B38:D38"/>
    <mergeCell ref="H38:I38"/>
    <mergeCell ref="J38:M38"/>
    <mergeCell ref="B39:D39"/>
    <mergeCell ref="H39:I39"/>
    <mergeCell ref="J39:M39"/>
    <mergeCell ref="B40:D40"/>
    <mergeCell ref="H40:I40"/>
    <mergeCell ref="J40:M40"/>
    <mergeCell ref="B34:M34"/>
    <mergeCell ref="B35:D36"/>
    <mergeCell ref="E35:G35"/>
    <mergeCell ref="H35:I36"/>
    <mergeCell ref="J35:M36"/>
    <mergeCell ref="E36:F36"/>
    <mergeCell ref="B31:D31"/>
    <mergeCell ref="F31:G31"/>
    <mergeCell ref="H31:I31"/>
    <mergeCell ref="J31:M31"/>
    <mergeCell ref="B33:D33"/>
    <mergeCell ref="J33:M33"/>
    <mergeCell ref="B20:K20"/>
    <mergeCell ref="L20:M20"/>
    <mergeCell ref="B21:K21"/>
    <mergeCell ref="L21:M21"/>
    <mergeCell ref="B28:M28"/>
    <mergeCell ref="B29:M29"/>
    <mergeCell ref="C16:D16"/>
    <mergeCell ref="C17:D17"/>
    <mergeCell ref="F17:G17"/>
    <mergeCell ref="H17:J17"/>
    <mergeCell ref="K17:L17"/>
    <mergeCell ref="C18:D18"/>
    <mergeCell ref="F18:G18"/>
    <mergeCell ref="H18:J18"/>
    <mergeCell ref="K18:L18"/>
    <mergeCell ref="C19:D19"/>
    <mergeCell ref="F19:G19"/>
    <mergeCell ref="H19:J19"/>
    <mergeCell ref="K19:L19"/>
    <mergeCell ref="H5:M5"/>
    <mergeCell ref="B7:M7"/>
    <mergeCell ref="B8:M8"/>
    <mergeCell ref="B9:M9"/>
    <mergeCell ref="B10:M10"/>
    <mergeCell ref="B11:M11"/>
    <mergeCell ref="F335:M335"/>
    <mergeCell ref="F331:H331"/>
    <mergeCell ref="I331:M331"/>
    <mergeCell ref="I332:M332"/>
    <mergeCell ref="I333:M333"/>
    <mergeCell ref="F332:H332"/>
    <mergeCell ref="F333:H333"/>
    <mergeCell ref="F334:H334"/>
    <mergeCell ref="I334:M334"/>
    <mergeCell ref="B12:M12"/>
    <mergeCell ref="B13:M13"/>
    <mergeCell ref="B14:B15"/>
    <mergeCell ref="C14:D15"/>
    <mergeCell ref="E14:E15"/>
    <mergeCell ref="F14:G15"/>
    <mergeCell ref="H14:J15"/>
    <mergeCell ref="K14:M14"/>
    <mergeCell ref="K15:L15"/>
    <mergeCell ref="I386:M386"/>
    <mergeCell ref="I382:M382"/>
    <mergeCell ref="I383:M383"/>
    <mergeCell ref="I384:M384"/>
    <mergeCell ref="B360:H360"/>
    <mergeCell ref="B361:H361"/>
    <mergeCell ref="B362:H362"/>
    <mergeCell ref="B363:H363"/>
    <mergeCell ref="B364:H364"/>
    <mergeCell ref="B365:H365"/>
    <mergeCell ref="B366:H366"/>
    <mergeCell ref="B367:H367"/>
    <mergeCell ref="B368:H368"/>
    <mergeCell ref="B369:H369"/>
    <mergeCell ref="B370:H370"/>
    <mergeCell ref="B371:H371"/>
    <mergeCell ref="B382:H382"/>
    <mergeCell ref="I368:M368"/>
    <mergeCell ref="I367:M367"/>
    <mergeCell ref="B381:H381"/>
    <mergeCell ref="I369:M369"/>
    <mergeCell ref="I370:M370"/>
    <mergeCell ref="I381:M381"/>
    <mergeCell ref="I391:M391"/>
    <mergeCell ref="I387:M387"/>
    <mergeCell ref="I389:M389"/>
    <mergeCell ref="I390:M390"/>
    <mergeCell ref="B338:B339"/>
    <mergeCell ref="B340:B341"/>
    <mergeCell ref="B342:B343"/>
    <mergeCell ref="B350:B351"/>
    <mergeCell ref="B352:B355"/>
    <mergeCell ref="I372:M372"/>
    <mergeCell ref="I373:M373"/>
    <mergeCell ref="I374:M374"/>
    <mergeCell ref="I375:M375"/>
    <mergeCell ref="I376:M376"/>
    <mergeCell ref="I377:M377"/>
    <mergeCell ref="I378:M378"/>
    <mergeCell ref="I379:M379"/>
    <mergeCell ref="I380:M380"/>
    <mergeCell ref="I371:M371"/>
    <mergeCell ref="I388:M388"/>
    <mergeCell ref="B344:B349"/>
    <mergeCell ref="B372:H372"/>
    <mergeCell ref="B373:H373"/>
    <mergeCell ref="I385:M385"/>
    <mergeCell ref="B396:H396"/>
    <mergeCell ref="I396:M396"/>
    <mergeCell ref="B397:H397"/>
    <mergeCell ref="I397:M397"/>
    <mergeCell ref="C242:D242"/>
    <mergeCell ref="K242:L242"/>
    <mergeCell ref="C264:D264"/>
    <mergeCell ref="K264:L264"/>
    <mergeCell ref="C275:D275"/>
    <mergeCell ref="K275:L275"/>
    <mergeCell ref="C284:D284"/>
    <mergeCell ref="K284:L284"/>
    <mergeCell ref="C293:D293"/>
    <mergeCell ref="K293:L293"/>
    <mergeCell ref="B243:D243"/>
    <mergeCell ref="K243:L243"/>
    <mergeCell ref="B245:L245"/>
    <mergeCell ref="B246:M246"/>
    <mergeCell ref="B247:B248"/>
    <mergeCell ref="C247:D248"/>
    <mergeCell ref="E247:G247"/>
    <mergeCell ref="H247:J247"/>
    <mergeCell ref="K247:L247"/>
    <mergeCell ref="I392:M392"/>
  </mergeCells>
  <conditionalFormatting sqref="F335 K296:L296">
    <cfRule type="cellIs" dxfId="49" priority="295" operator="equal">
      <formula>"No"</formula>
    </cfRule>
  </conditionalFormatting>
  <conditionalFormatting sqref="K232:K233">
    <cfRule type="expression" dxfId="48" priority="294">
      <formula>IFERROR(AND(K232&gt;0.1,K232&lt;&gt;""),FALSE)</formula>
    </cfRule>
  </conditionalFormatting>
  <conditionalFormatting sqref="B323:M324 B314:M315 B273:M274 B282:M283 B262:M263 B302:M303 B291:M292">
    <cfRule type="expression" dxfId="47" priority="280">
      <formula>AND(DESPath=3,OR($B262="District Cooling",$B262="District Hot Water",$B262="District Steam"))</formula>
    </cfRule>
  </conditionalFormatting>
  <conditionalFormatting sqref="E232:J233">
    <cfRule type="expression" dxfId="46" priority="1472">
      <formula>AND(DESPath=3,$B$252=$B232,ISERROR(1/VLOOKUP($B232,PO_Enrgy_7_Table,MATCH($G$222,PO_Enrgy_7_Hdr,0),FALSE)))</formula>
    </cfRule>
  </conditionalFormatting>
  <conditionalFormatting sqref="B360:H395">
    <cfRule type="expression" dxfId="45" priority="164">
      <formula>IF($R360=TRUE,TRUE,FALSE)</formula>
    </cfRule>
  </conditionalFormatting>
  <conditionalFormatting sqref="I360:M397">
    <cfRule type="expression" dxfId="44" priority="163">
      <formula>IF($R360=TRUE,TRUE,FALSE)</formula>
    </cfRule>
  </conditionalFormatting>
  <conditionalFormatting sqref="K234">
    <cfRule type="expression" dxfId="43" priority="16">
      <formula>IFERROR(AND(K234&gt;0.1,K234&lt;&gt;""),FALSE)</formula>
    </cfRule>
  </conditionalFormatting>
  <conditionalFormatting sqref="E234:J234">
    <cfRule type="expression" dxfId="42" priority="17">
      <formula>AND(DESPath=3,$B$252=$B234,ISERROR(1/VLOOKUP($B234,PO_Enrgy_7_Table,MATCH($G$222,PO_Enrgy_7_Hdr,0),FALSE)))</formula>
    </cfRule>
  </conditionalFormatting>
  <conditionalFormatting sqref="B264:M264">
    <cfRule type="expression" dxfId="41" priority="15">
      <formula>AND(DESPath=3,OR($B264="District Cooling",$B264="District Hot Water",$B264="District Steam"))</formula>
    </cfRule>
  </conditionalFormatting>
  <conditionalFormatting sqref="B275:M275">
    <cfRule type="expression" dxfId="40" priority="14">
      <formula>AND(DESPath=3,OR($B275="District Cooling",$B275="District Hot Water",$B275="District Steam"))</formula>
    </cfRule>
  </conditionalFormatting>
  <conditionalFormatting sqref="B284:M284">
    <cfRule type="expression" dxfId="39" priority="13">
      <formula>AND(DESPath=3,OR($B284="District Cooling",$B284="District Hot Water",$B284="District Steam"))</formula>
    </cfRule>
  </conditionalFormatting>
  <conditionalFormatting sqref="B293:M293">
    <cfRule type="expression" dxfId="38" priority="12">
      <formula>AND(DESPath=3,OR($B293="District Cooling",$B293="District Hot Water",$B293="District Steam"))</formula>
    </cfRule>
  </conditionalFormatting>
  <conditionalFormatting sqref="B304:M304">
    <cfRule type="expression" dxfId="37" priority="11">
      <formula>AND(DESPath=3,OR($B304="District Cooling",$B304="District Hot Water",$B304="District Steam"))</formula>
    </cfRule>
  </conditionalFormatting>
  <conditionalFormatting sqref="B316:M316">
    <cfRule type="expression" dxfId="36" priority="10">
      <formula>AND(DESPath=3,OR($B316="District Cooling",$B316="District Hot Water",$B316="District Steam"))</formula>
    </cfRule>
  </conditionalFormatting>
  <conditionalFormatting sqref="B325:M325">
    <cfRule type="expression" dxfId="35" priority="9">
      <formula>AND(DESPath=3,OR($B325="District Cooling",$B325="District Hot Water",$B325="District Steam"))</formula>
    </cfRule>
  </conditionalFormatting>
  <conditionalFormatting sqref="B396:H396">
    <cfRule type="expression" dxfId="34" priority="8">
      <formula>IF($R396=TRUE,TRUE,FALSE)</formula>
    </cfRule>
  </conditionalFormatting>
  <conditionalFormatting sqref="I396:M396">
    <cfRule type="expression" dxfId="33" priority="7">
      <formula>IF($R396=TRUE,TRUE,FALSE)</formula>
    </cfRule>
  </conditionalFormatting>
  <conditionalFormatting sqref="B397:H397">
    <cfRule type="expression" dxfId="32" priority="6">
      <formula>IF($R397=TRUE,TRUE,FALSE)</formula>
    </cfRule>
  </conditionalFormatting>
  <conditionalFormatting sqref="I397:M397">
    <cfRule type="expression" dxfId="31" priority="5">
      <formula>IF($R397=TRUE,TRUE,FALSE)</formula>
    </cfRule>
  </conditionalFormatting>
  <conditionalFormatting sqref="BF94:BF149">
    <cfRule type="expression" dxfId="30" priority="4">
      <formula>IF(SimTool&lt;&gt;"eQUEST",TRUE,FALSE)</formula>
    </cfRule>
  </conditionalFormatting>
  <conditionalFormatting sqref="BG94:BI149">
    <cfRule type="expression" dxfId="29" priority="3">
      <formula>IF(SimTool&lt;&gt;"Trace",TRUE,FALSE)</formula>
    </cfRule>
  </conditionalFormatting>
  <conditionalFormatting sqref="BF168:BF223">
    <cfRule type="expression" dxfId="28" priority="2">
      <formula>IF(SimTool&lt;&gt;"eQUEST",TRUE,FALSE)</formula>
    </cfRule>
  </conditionalFormatting>
  <conditionalFormatting sqref="BG168:BI223">
    <cfRule type="expression" dxfId="27" priority="1">
      <formula>IF(SimTool&lt;&gt;"Trace",TRUE,FALSE)</formula>
    </cfRule>
  </conditionalFormatting>
  <dataValidations count="21">
    <dataValidation type="list" allowBlank="1" showErrorMessage="1" errorTitle="Not a valid energy type" error="This energy type has not yet been listed in the energy sources table above. Please fill out the energy sources table above; then select from the list of energy types." promptTitle="Select Energy Type" sqref="E96:E143 E170:E217 C60:D60 D56:D59" xr:uid="{00000000-0002-0000-1300-000000000000}">
      <formula1>INDEX(PO_Enrgy_1_Table,,1)</formula1>
    </dataValidation>
    <dataValidation type="list" allowBlank="1" showInputMessage="1" showErrorMessage="1" sqref="F56:F59" xr:uid="{00000000-0002-0000-1300-000001000000}">
      <formula1>"Add to Baseline, Subtract from Proposed"</formula1>
    </dataValidation>
    <dataValidation allowBlank="1" showInputMessage="1" showErrorMessage="1" errorTitle="Not a valid energy type" error="This energy type has not yet been listed in the energy sources table above. Please fill out the energy sources table above; then select from the list of energy types." sqref="B56:C59" xr:uid="{00000000-0002-0000-1300-000002000000}"/>
    <dataValidation type="list" allowBlank="1" showInputMessage="1" showErrorMessage="1" prompt="Select &quot;Add to Baseline&quot; if the exceptional calculation adjusts the Baseline building energy consumption and cost up, or &quot;Subtract from Proposed&quot; if the exceptional calculation adjusts the Proposed building energy consumption and cost down." sqref="AR56:AR59" xr:uid="{00000000-0002-0000-1300-000003000000}">
      <formula1>"Apply to Baseline, Subtract from Proposed"</formula1>
    </dataValidation>
    <dataValidation allowBlank="1" showInputMessage="1" showErrorMessage="1" prompt="Enter energy savings as a positive number. If the exceptional calculation method leads to energy penalties for this energy type (i.e. increased proposed case energy usage or decreased baseline case usage), enter the penalty as a negative number." sqref="AW56:AY59 AS56:AU59" xr:uid="{00000000-0002-0000-1300-000004000000}"/>
    <dataValidation type="whole" allowBlank="1" showErrorMessage="1" errorTitle="Input Error" error="Please enter a whole number between 0 and 8,760 hours." sqref="F332:F333" xr:uid="{00000000-0002-0000-1300-000005000000}">
      <formula1>0</formula1>
      <formula2>8760</formula2>
    </dataValidation>
    <dataValidation type="list" allowBlank="1" showErrorMessage="1" errorTitle="Required Input" error="The units must be selected from the provided list." promptTitle="Energy Consumption Units:" prompt="kWh: Kilowatt hour  = 3,412 Btu_x000a_MWh: Megawatt hour = 3,412,000 Btu_x000a_kBtu = 1,000 Btu_x000a_Therm = 100,000 Btu_x000a_Btu x 10^6 = 1,000,000 Btu_x000a_MJ: Megajoules = 948 Btu_x000a_Ton Hours = 12,000 Btu" sqref="L20:L21" xr:uid="{00000000-0002-0000-1300-000006000000}">
      <formula1>ConsumptionUnits</formula1>
    </dataValidation>
    <dataValidation allowBlank="1" promptTitle="Energy End Use" prompt="Select the energy end use or enter the end use if not listed." sqref="B170:C217 B96:C143" xr:uid="{00000000-0002-0000-1300-000007000000}"/>
    <dataValidation type="list" allowBlank="1" showInputMessage="1" showErrorMessage="1" promptTitle="Energy Type" sqref="E33" xr:uid="{00000000-0002-0000-1300-000008000000}">
      <formula1>INDEX(PO_Enrgy_1_Table,,1)</formula1>
    </dataValidation>
    <dataValidation type="list" allowBlank="1" showInputMessage="1" promptTitle="Renewable Source" sqref="B33:D33" xr:uid="{00000000-0002-0000-1300-000009000000}">
      <formula1>RenewableSource</formula1>
    </dataValidation>
    <dataValidation allowBlank="1" showErrorMessage="1" promptTitle="Calculated Automatically" prompt="This value is calculated automatically based on the virtual energy rates" sqref="T33 J33" xr:uid="{00000000-0002-0000-1300-00000A000000}"/>
    <dataValidation allowBlank="1" showInputMessage="1" sqref="H33" xr:uid="{00000000-0002-0000-1300-00000B000000}"/>
    <dataValidation type="list" showInputMessage="1" sqref="D170:D217 D96:D143" xr:uid="{00000000-0002-0000-1300-00000C000000}">
      <formula1>" x"</formula1>
    </dataValidation>
    <dataValidation type="list" allowBlank="1" showInputMessage="1" showErrorMessage="1" errorTitle="Not a valid energy type" error="This energy type has not yet been listed in the energy sources table above. Please fill out the energy sources table above; then select from the list of energy types." promptTitle="Select Energy Type" prompt="Fill out the energy sources above. Then select from the list of energy types." sqref="E218" xr:uid="{00000000-0002-0000-1300-00000D000000}">
      <formula1>PO_EnergyType</formula1>
    </dataValidation>
    <dataValidation type="list" allowBlank="1" promptTitle="Fossil Fuel" prompt="Select the fossil fuel used within the District Plant for generating District Cooling (if applicable)." sqref="B252" xr:uid="{00000000-0002-0000-1300-00000E000000}">
      <formula1>INDEX(PO_Enrgy_1_Table,,1)</formula1>
    </dataValidation>
    <dataValidation allowBlank="1" showErrorMessage="1" sqref="B319 B307:B308 B287 B269 B236 B298 B245 B250 B278 B254" xr:uid="{00000000-0002-0000-1300-00000F000000}"/>
    <dataValidation type="list" allowBlank="1" showInputMessage="1" promptTitle="Utility Rate Structure" sqref="H17:H19" xr:uid="{00000000-0002-0000-1300-000010000000}">
      <formula1>UtilityRateStructure</formula1>
    </dataValidation>
    <dataValidation type="list" allowBlank="1" showInputMessage="1" showErrorMessage="1" errorTitle="Required Input" error="The units must be selected from the provided list." promptTitle="Energy Consumption Units:" sqref="C17:C19" xr:uid="{00000000-0002-0000-1300-000011000000}">
      <formula1>ConsumptionUnits</formula1>
    </dataValidation>
    <dataValidation allowBlank="1" showInputMessage="1" showErrorMessage="1" promptTitle="Utility Rate Name" sqref="F17:F19 N17:O19" xr:uid="{00000000-0002-0000-1300-000012000000}"/>
    <dataValidation type="list" allowBlank="1" showInputMessage="1" showErrorMessage="1" errorTitle="Invalid Entry" error="Please select from the list of values shown." promptTitle="Project Energy Types" sqref="B17:B19" xr:uid="{00000000-0002-0000-1300-000013000000}">
      <formula1>FuelTypes</formula1>
    </dataValidation>
    <dataValidation type="list" errorStyle="warning" allowBlank="1" showInputMessage="1" showErrorMessage="1" errorTitle="Required Input" error="The units must be selected from the provided list." promptTitle="Select the demand units:" sqref="E17:E19" xr:uid="{00000000-0002-0000-1300-000014000000}">
      <formula1>DemandUnits</formula1>
    </dataValidation>
  </dataValidations>
  <pageMargins left="0.5" right="0.5" top="0.75" bottom="0.75" header="0.5" footer="0.5"/>
  <pageSetup scale="10" orientation="landscape" r:id="rId1"/>
  <headerFooter alignWithMargins="0">
    <oddFooter>&amp;LU S Green Building Council&amp;C&amp;"Arial,Bold"&amp;A&amp;RLEED&amp;XTM&amp;X v. 2.2</oddFooter>
  </headerFooter>
  <ignoredErrors>
    <ignoredError sqref="BF170:BI223 BI96:BI149"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39265" r:id="rId4" name="btnAddUtility">
              <controlPr defaultSize="0" print="0" autoFill="0" autoPict="0" macro="[0]!AddEnergyType">
                <anchor moveWithCells="1">
                  <from>
                    <xdr:col>1</xdr:col>
                    <xdr:colOff>0</xdr:colOff>
                    <xdr:row>21</xdr:row>
                    <xdr:rowOff>99060</xdr:rowOff>
                  </from>
                  <to>
                    <xdr:col>1</xdr:col>
                    <xdr:colOff>1333500</xdr:colOff>
                    <xdr:row>21</xdr:row>
                    <xdr:rowOff>365760</xdr:rowOff>
                  </to>
                </anchor>
              </controlPr>
            </control>
          </mc:Choice>
        </mc:AlternateContent>
        <mc:AlternateContent xmlns:mc="http://schemas.openxmlformats.org/markup-compatibility/2006">
          <mc:Choice Requires="x14">
            <control shapeId="139266" r:id="rId5" name="btnDeleteUtility">
              <controlPr defaultSize="0" print="0" autoFill="0" autoPict="0" macro="[0]!DeleteEnergyType">
                <anchor moveWithCells="1">
                  <from>
                    <xdr:col>1</xdr:col>
                    <xdr:colOff>1379220</xdr:colOff>
                    <xdr:row>21</xdr:row>
                    <xdr:rowOff>106680</xdr:rowOff>
                  </from>
                  <to>
                    <xdr:col>2</xdr:col>
                    <xdr:colOff>1325880</xdr:colOff>
                    <xdr:row>21</xdr:row>
                    <xdr:rowOff>350520</xdr:rowOff>
                  </to>
                </anchor>
              </controlPr>
            </control>
          </mc:Choice>
        </mc:AlternateContent>
        <mc:AlternateContent xmlns:mc="http://schemas.openxmlformats.org/markup-compatibility/2006">
          <mc:Choice Requires="x14">
            <control shapeId="139267" r:id="rId6" name="btnAddRenewable">
              <controlPr defaultSize="0" print="0" autoFill="0" autoPict="0" macro="[0]!addA">
                <anchor moveWithCells="1">
                  <from>
                    <xdr:col>1</xdr:col>
                    <xdr:colOff>60960</xdr:colOff>
                    <xdr:row>42</xdr:row>
                    <xdr:rowOff>106680</xdr:rowOff>
                  </from>
                  <to>
                    <xdr:col>1</xdr:col>
                    <xdr:colOff>1417320</xdr:colOff>
                    <xdr:row>42</xdr:row>
                    <xdr:rowOff>373380</xdr:rowOff>
                  </to>
                </anchor>
              </controlPr>
            </control>
          </mc:Choice>
        </mc:AlternateContent>
        <mc:AlternateContent xmlns:mc="http://schemas.openxmlformats.org/markup-compatibility/2006">
          <mc:Choice Requires="x14">
            <control shapeId="139268" r:id="rId7" name="btbDeleteRenewable">
              <controlPr defaultSize="0" print="0" autoFill="0" autoPict="0" macro="[0]!DeleteSome">
                <anchor moveWithCells="1">
                  <from>
                    <xdr:col>2</xdr:col>
                    <xdr:colOff>30480</xdr:colOff>
                    <xdr:row>42</xdr:row>
                    <xdr:rowOff>106680</xdr:rowOff>
                  </from>
                  <to>
                    <xdr:col>2</xdr:col>
                    <xdr:colOff>1402080</xdr:colOff>
                    <xdr:row>42</xdr:row>
                    <xdr:rowOff>373380</xdr:rowOff>
                  </to>
                </anchor>
              </controlPr>
            </control>
          </mc:Choice>
        </mc:AlternateContent>
        <mc:AlternateContent xmlns:mc="http://schemas.openxmlformats.org/markup-compatibility/2006">
          <mc:Choice Requires="x14">
            <control shapeId="139269" r:id="rId8" name="rbOutputReporting1">
              <controlPr defaultSize="0" autoFill="0" autoLine="0" autoPict="0" macro="[0]!ShowBaselineTable">
                <anchor moveWithCells="1">
                  <from>
                    <xdr:col>1</xdr:col>
                    <xdr:colOff>121920</xdr:colOff>
                    <xdr:row>75</xdr:row>
                    <xdr:rowOff>60960</xdr:rowOff>
                  </from>
                  <to>
                    <xdr:col>1</xdr:col>
                    <xdr:colOff>464820</xdr:colOff>
                    <xdr:row>75</xdr:row>
                    <xdr:rowOff>266700</xdr:rowOff>
                  </to>
                </anchor>
              </controlPr>
            </control>
          </mc:Choice>
        </mc:AlternateContent>
        <mc:AlternateContent xmlns:mc="http://schemas.openxmlformats.org/markup-compatibility/2006">
          <mc:Choice Requires="x14">
            <control shapeId="139270" r:id="rId9" name="rbOutputReporting2">
              <controlPr defaultSize="0" autoFill="0" autoLine="0" autoPict="0" macro="[0]!HideBaselineTable">
                <anchor moveWithCells="1">
                  <from>
                    <xdr:col>1</xdr:col>
                    <xdr:colOff>99060</xdr:colOff>
                    <xdr:row>76</xdr:row>
                    <xdr:rowOff>60960</xdr:rowOff>
                  </from>
                  <to>
                    <xdr:col>1</xdr:col>
                    <xdr:colOff>419100</xdr:colOff>
                    <xdr:row>77</xdr:row>
                    <xdr:rowOff>190500</xdr:rowOff>
                  </to>
                </anchor>
              </controlPr>
            </control>
          </mc:Choice>
        </mc:AlternateContent>
        <mc:AlternateContent xmlns:mc="http://schemas.openxmlformats.org/markup-compatibility/2006">
          <mc:Choice Requires="x14">
            <control shapeId="139271" r:id="rId10" name="rbOutputReporting4">
              <controlPr defaultSize="0" autoFill="0" autoLine="0" autoPict="0" macro="[0]!HideBaselineTable">
                <anchor moveWithCells="1">
                  <from>
                    <xdr:col>1</xdr:col>
                    <xdr:colOff>99060</xdr:colOff>
                    <xdr:row>80</xdr:row>
                    <xdr:rowOff>60960</xdr:rowOff>
                  </from>
                  <to>
                    <xdr:col>1</xdr:col>
                    <xdr:colOff>441960</xdr:colOff>
                    <xdr:row>81</xdr:row>
                    <xdr:rowOff>213360</xdr:rowOff>
                  </to>
                </anchor>
              </controlPr>
            </control>
          </mc:Choice>
        </mc:AlternateContent>
        <mc:AlternateContent xmlns:mc="http://schemas.openxmlformats.org/markup-compatibility/2006">
          <mc:Choice Requires="x14">
            <control shapeId="139272" r:id="rId11" name="rbgOutputReporting">
              <controlPr defaultSize="0" print="0" autoFill="0" autoPict="0">
                <anchor moveWithCells="1">
                  <from>
                    <xdr:col>0</xdr:col>
                    <xdr:colOff>137160</xdr:colOff>
                    <xdr:row>73</xdr:row>
                    <xdr:rowOff>365760</xdr:rowOff>
                  </from>
                  <to>
                    <xdr:col>13</xdr:col>
                    <xdr:colOff>0</xdr:colOff>
                    <xdr:row>83</xdr:row>
                    <xdr:rowOff>0</xdr:rowOff>
                  </to>
                </anchor>
              </controlPr>
            </control>
          </mc:Choice>
        </mc:AlternateContent>
        <mc:AlternateContent xmlns:mc="http://schemas.openxmlformats.org/markup-compatibility/2006">
          <mc:Choice Requires="x14">
            <control shapeId="139273" r:id="rId12" name="SiteRenewable Checkbox">
              <controlPr defaultSize="0" autoFill="0" autoLine="0" autoPict="0" macro="[0]!SiteRenewable_Change">
                <anchor moveWithCells="1">
                  <from>
                    <xdr:col>1</xdr:col>
                    <xdr:colOff>60960</xdr:colOff>
                    <xdr:row>24</xdr:row>
                    <xdr:rowOff>99060</xdr:rowOff>
                  </from>
                  <to>
                    <xdr:col>1</xdr:col>
                    <xdr:colOff>403860</xdr:colOff>
                    <xdr:row>25</xdr:row>
                    <xdr:rowOff>213360</xdr:rowOff>
                  </to>
                </anchor>
              </controlPr>
            </control>
          </mc:Choice>
        </mc:AlternateContent>
        <mc:AlternateContent xmlns:mc="http://schemas.openxmlformats.org/markup-compatibility/2006">
          <mc:Choice Requires="x14">
            <control shapeId="139274" r:id="rId13" name="ExcCalcCheckbox">
              <controlPr locked="0" defaultSize="0" autoFill="0" autoLine="0" autoPict="0" macro="[0]!ExCalc_Change">
                <anchor moveWithCells="1">
                  <from>
                    <xdr:col>1</xdr:col>
                    <xdr:colOff>22860</xdr:colOff>
                    <xdr:row>45</xdr:row>
                    <xdr:rowOff>76200</xdr:rowOff>
                  </from>
                  <to>
                    <xdr:col>1</xdr:col>
                    <xdr:colOff>403860</xdr:colOff>
                    <xdr:row>46</xdr:row>
                    <xdr:rowOff>251460</xdr:rowOff>
                  </to>
                </anchor>
              </controlPr>
            </control>
          </mc:Choice>
        </mc:AlternateContent>
        <mc:AlternateContent xmlns:mc="http://schemas.openxmlformats.org/markup-compatibility/2006">
          <mc:Choice Requires="x14">
            <control shapeId="139275" r:id="rId14" name="rbOutputReporting3">
              <controlPr defaultSize="0" autoFill="0" autoLine="0" autoPict="0" macro="[0]!HideBaselineTable">
                <anchor moveWithCells="1">
                  <from>
                    <xdr:col>1</xdr:col>
                    <xdr:colOff>99060</xdr:colOff>
                    <xdr:row>78</xdr:row>
                    <xdr:rowOff>60960</xdr:rowOff>
                  </from>
                  <to>
                    <xdr:col>1</xdr:col>
                    <xdr:colOff>419100</xdr:colOff>
                    <xdr:row>79</xdr:row>
                    <xdr:rowOff>213360</xdr:rowOff>
                  </to>
                </anchor>
              </controlPr>
            </control>
          </mc:Choice>
        </mc:AlternateContent>
        <mc:AlternateContent xmlns:mc="http://schemas.openxmlformats.org/markup-compatibility/2006">
          <mc:Choice Requires="x14">
            <control shapeId="139276" r:id="rId15" name="btnRestoreRenewCost">
              <controlPr defaultSize="0" print="0" autoFill="0" autoPict="0" macro="[0]!Copy_Default_Renewable_Cost">
                <anchor moveWithCells="1">
                  <from>
                    <xdr:col>10</xdr:col>
                    <xdr:colOff>426720</xdr:colOff>
                    <xdr:row>42</xdr:row>
                    <xdr:rowOff>152400</xdr:rowOff>
                  </from>
                  <to>
                    <xdr:col>12</xdr:col>
                    <xdr:colOff>1074420</xdr:colOff>
                    <xdr:row>42</xdr:row>
                    <xdr:rowOff>411480</xdr:rowOff>
                  </to>
                </anchor>
              </controlPr>
            </control>
          </mc:Choice>
        </mc:AlternateContent>
        <mc:AlternateContent xmlns:mc="http://schemas.openxmlformats.org/markup-compatibility/2006">
          <mc:Choice Requires="x14">
            <control shapeId="139277" r:id="rId16" name="btnAddExCalc">
              <controlPr defaultSize="0" print="0" autoFill="0" autoPict="0" macro="[0]!addB">
                <anchor moveWithCells="1">
                  <from>
                    <xdr:col>1</xdr:col>
                    <xdr:colOff>60960</xdr:colOff>
                    <xdr:row>70</xdr:row>
                    <xdr:rowOff>175260</xdr:rowOff>
                  </from>
                  <to>
                    <xdr:col>1</xdr:col>
                    <xdr:colOff>1417320</xdr:colOff>
                    <xdr:row>70</xdr:row>
                    <xdr:rowOff>441960</xdr:rowOff>
                  </to>
                </anchor>
              </controlPr>
            </control>
          </mc:Choice>
        </mc:AlternateContent>
        <mc:AlternateContent xmlns:mc="http://schemas.openxmlformats.org/markup-compatibility/2006">
          <mc:Choice Requires="x14">
            <control shapeId="139278" r:id="rId17" name="btnDeleteExCalc">
              <controlPr defaultSize="0" print="0" autoFill="0" autoPict="0" macro="[0]!DeleteSome">
                <anchor moveWithCells="1">
                  <from>
                    <xdr:col>2</xdr:col>
                    <xdr:colOff>60960</xdr:colOff>
                    <xdr:row>70</xdr:row>
                    <xdr:rowOff>160020</xdr:rowOff>
                  </from>
                  <to>
                    <xdr:col>2</xdr:col>
                    <xdr:colOff>1432560</xdr:colOff>
                    <xdr:row>70</xdr:row>
                    <xdr:rowOff>441960</xdr:rowOff>
                  </to>
                </anchor>
              </controlPr>
            </control>
          </mc:Choice>
        </mc:AlternateContent>
        <mc:AlternateContent xmlns:mc="http://schemas.openxmlformats.org/markup-compatibility/2006">
          <mc:Choice Requires="x14">
            <control shapeId="139279" r:id="rId18" name="btnRestoreExCalCost">
              <controlPr defaultSize="0" print="0" autoFill="0" autoPict="0" macro="[0]!Copy_Default_ExCalc_Cost">
                <anchor moveWithCells="1">
                  <from>
                    <xdr:col>10</xdr:col>
                    <xdr:colOff>426720</xdr:colOff>
                    <xdr:row>70</xdr:row>
                    <xdr:rowOff>144780</xdr:rowOff>
                  </from>
                  <to>
                    <xdr:col>12</xdr:col>
                    <xdr:colOff>1074420</xdr:colOff>
                    <xdr:row>70</xdr:row>
                    <xdr:rowOff>403860</xdr:rowOff>
                  </to>
                </anchor>
              </controlPr>
            </control>
          </mc:Choice>
        </mc:AlternateContent>
        <mc:AlternateContent xmlns:mc="http://schemas.openxmlformats.org/markup-compatibility/2006">
          <mc:Choice Requires="x14">
            <control shapeId="139292" r:id="rId19" name="Button 28">
              <controlPr defaultSize="0" print="0" autoFill="0" autoPict="0" macro="[0]!Copy_Default_PO_VR_Table">
                <anchor moveWithCells="1">
                  <from>
                    <xdr:col>10</xdr:col>
                    <xdr:colOff>518160</xdr:colOff>
                    <xdr:row>234</xdr:row>
                    <xdr:rowOff>144780</xdr:rowOff>
                  </from>
                  <to>
                    <xdr:col>12</xdr:col>
                    <xdr:colOff>1165860</xdr:colOff>
                    <xdr:row>235</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pageSetUpPr fitToPage="1"/>
  </sheetPr>
  <dimension ref="A1:BI394"/>
  <sheetViews>
    <sheetView showGridLines="0" zoomScale="90" zoomScaleNormal="90" zoomScaleSheetLayoutView="100" zoomScalePageLayoutView="90" workbookViewId="0"/>
  </sheetViews>
  <sheetFormatPr defaultColWidth="8.6640625" defaultRowHeight="13.2" outlineLevelCol="1" x14ac:dyDescent="0.3"/>
  <cols>
    <col min="1" max="1" width="2.6640625" style="502" customWidth="1"/>
    <col min="2" max="2" width="21.44140625" style="502" customWidth="1"/>
    <col min="3" max="3" width="24.44140625" style="502" customWidth="1"/>
    <col min="4" max="4" width="3.6640625" style="502" customWidth="1"/>
    <col min="5" max="5" width="17.44140625" style="502" customWidth="1"/>
    <col min="6" max="6" width="21.109375" style="502" customWidth="1"/>
    <col min="7" max="10" width="19.33203125" style="502" customWidth="1"/>
    <col min="11" max="12" width="8.6640625" style="502" customWidth="1"/>
    <col min="13" max="13" width="17.5546875" style="502" customWidth="1"/>
    <col min="14" max="15" width="2.77734375" style="502" customWidth="1"/>
    <col min="16" max="16" width="9.109375" style="502" hidden="1" customWidth="1"/>
    <col min="17" max="17" width="19.44140625" style="502" hidden="1" customWidth="1" outlineLevel="1"/>
    <col min="18" max="18" width="13.44140625" style="502" hidden="1" customWidth="1" outlineLevel="1"/>
    <col min="19" max="19" width="12.44140625" style="502" hidden="1" customWidth="1" outlineLevel="1"/>
    <col min="20" max="28" width="9.109375" style="502" hidden="1" customWidth="1" outlineLevel="1"/>
    <col min="29" max="31" width="11.109375" style="502" hidden="1" customWidth="1" outlineLevel="1"/>
    <col min="32" max="32" width="9.6640625" style="502" hidden="1" customWidth="1" outlineLevel="1"/>
    <col min="33" max="33" width="9.109375" style="502" hidden="1" customWidth="1" outlineLevel="1"/>
    <col min="34" max="34" width="12.44140625" style="502" hidden="1" customWidth="1" outlineLevel="1"/>
    <col min="35" max="35" width="9.109375" style="502" hidden="1" customWidth="1" outlineLevel="1"/>
    <col min="36" max="36" width="15.6640625" style="502" hidden="1" customWidth="1" outlineLevel="1"/>
    <col min="37" max="37" width="9.109375" style="502" hidden="1" customWidth="1" outlineLevel="1"/>
    <col min="38" max="38" width="10.33203125" style="502" hidden="1" customWidth="1" outlineLevel="1"/>
    <col min="39" max="39" width="10.44140625" style="502" hidden="1" customWidth="1" outlineLevel="1"/>
    <col min="40" max="40" width="9.109375" style="502" hidden="1" customWidth="1" outlineLevel="1"/>
    <col min="41" max="43" width="14.6640625" style="502" hidden="1" customWidth="1" outlineLevel="1"/>
    <col min="44" max="45" width="9.109375" style="502" hidden="1" customWidth="1" outlineLevel="1"/>
    <col min="46" max="47" width="10.33203125" style="502" hidden="1" customWidth="1" outlineLevel="1"/>
    <col min="48" max="48" width="9.109375" style="502" hidden="1" customWidth="1" outlineLevel="1"/>
    <col min="49" max="50" width="11" style="502" hidden="1" customWidth="1" outlineLevel="1"/>
    <col min="51" max="52" width="9.109375" style="502" hidden="1" customWidth="1" outlineLevel="1"/>
    <col min="53" max="53" width="2.77734375" style="502" customWidth="1" collapsed="1"/>
    <col min="54" max="54" width="2.77734375" style="502" customWidth="1"/>
    <col min="55" max="55" width="50.77734375" style="502" customWidth="1"/>
    <col min="56" max="57" width="9.109375" style="502" customWidth="1"/>
    <col min="58" max="61" width="25.77734375" style="502" hidden="1" customWidth="1"/>
    <col min="62" max="102" width="9.109375" style="502" customWidth="1"/>
    <col min="103" max="16384" width="8.6640625" style="502"/>
  </cols>
  <sheetData>
    <row r="1" spans="1:55" s="100" customFormat="1" x14ac:dyDescent="0.3">
      <c r="A1" s="717" t="s">
        <v>1299</v>
      </c>
      <c r="B1" s="559"/>
      <c r="C1" s="559"/>
      <c r="D1" s="559"/>
      <c r="E1" s="559"/>
      <c r="F1" s="559"/>
      <c r="G1" s="559"/>
      <c r="H1" s="559"/>
      <c r="I1" s="559"/>
      <c r="J1" s="559"/>
      <c r="K1" s="559"/>
      <c r="L1" s="559"/>
      <c r="M1" s="559"/>
      <c r="Q1" s="73"/>
      <c r="R1" s="73"/>
      <c r="V1" s="73"/>
      <c r="W1" s="73"/>
      <c r="X1" s="73"/>
      <c r="Y1" s="73"/>
      <c r="Z1" s="73"/>
      <c r="AA1" s="73"/>
      <c r="AB1" s="73"/>
      <c r="AC1" s="73"/>
      <c r="AD1" s="73"/>
      <c r="AE1" s="73"/>
      <c r="AF1" s="73"/>
      <c r="AG1" s="73"/>
      <c r="AH1" s="73"/>
      <c r="AI1" s="73"/>
      <c r="AJ1" s="73"/>
      <c r="AK1" s="73"/>
      <c r="AL1" s="73"/>
      <c r="AM1" s="73"/>
    </row>
    <row r="2" spans="1:55" s="100" customFormat="1" ht="24.75" customHeight="1" x14ac:dyDescent="0.3">
      <c r="A2" s="717" t="s">
        <v>1299</v>
      </c>
      <c r="B2" s="68" t="s">
        <v>1298</v>
      </c>
      <c r="C2" s="559"/>
      <c r="D2" s="563"/>
      <c r="E2" s="563"/>
      <c r="F2" s="563"/>
      <c r="G2" s="563"/>
      <c r="H2" s="563"/>
      <c r="I2" s="563"/>
      <c r="J2" s="563"/>
      <c r="K2" s="563"/>
      <c r="L2" s="563"/>
      <c r="M2" s="563"/>
      <c r="Q2" s="73"/>
      <c r="R2" s="73"/>
      <c r="V2" s="73"/>
      <c r="W2" s="73"/>
      <c r="X2" s="73"/>
      <c r="Y2" s="73"/>
      <c r="Z2" s="73"/>
      <c r="AA2" s="73"/>
      <c r="AB2" s="73"/>
      <c r="AC2" s="73"/>
      <c r="AD2" s="73"/>
      <c r="AE2" s="73"/>
      <c r="AF2" s="73"/>
      <c r="AG2" s="73"/>
      <c r="AH2" s="73"/>
      <c r="AI2" s="73"/>
      <c r="AJ2" s="73"/>
      <c r="AK2" s="73"/>
      <c r="AL2" s="73"/>
      <c r="AM2" s="73"/>
    </row>
    <row r="3" spans="1:55" s="100" customFormat="1" ht="15" customHeight="1" x14ac:dyDescent="0.3">
      <c r="A3" s="717" t="s">
        <v>1299</v>
      </c>
      <c r="B3" s="559"/>
      <c r="C3" s="559"/>
      <c r="D3" s="559"/>
      <c r="E3" s="559"/>
      <c r="F3" s="559"/>
      <c r="G3" s="559"/>
      <c r="H3" s="559"/>
      <c r="I3" s="559"/>
      <c r="J3" s="559"/>
      <c r="K3" s="559"/>
      <c r="L3" s="559"/>
      <c r="M3" s="559"/>
      <c r="Q3" s="73"/>
      <c r="R3" s="73"/>
      <c r="V3" s="73"/>
      <c r="W3" s="73"/>
      <c r="X3" s="73"/>
      <c r="Y3" s="73"/>
      <c r="Z3" s="73"/>
      <c r="AA3" s="73"/>
      <c r="AB3" s="73"/>
      <c r="AC3" s="73"/>
      <c r="AD3" s="73"/>
      <c r="AE3" s="73"/>
      <c r="AF3" s="73"/>
      <c r="AG3" s="73"/>
      <c r="AH3" s="73"/>
      <c r="AI3" s="73"/>
      <c r="AJ3" s="73"/>
      <c r="AK3" s="73"/>
      <c r="AL3" s="73"/>
      <c r="AM3" s="73"/>
    </row>
    <row r="4" spans="1:55" ht="21.75" customHeight="1" x14ac:dyDescent="0.3">
      <c r="A4" s="1036" t="s">
        <v>1299</v>
      </c>
      <c r="B4" s="583"/>
      <c r="C4" s="959"/>
      <c r="D4" s="959"/>
      <c r="E4" s="958"/>
      <c r="F4" s="958"/>
      <c r="G4" s="958"/>
      <c r="H4" s="958"/>
      <c r="I4" s="958"/>
      <c r="J4" s="958"/>
      <c r="K4" s="958"/>
      <c r="L4" s="958"/>
      <c r="M4" s="958"/>
      <c r="Q4" s="1043" t="s">
        <v>1505</v>
      </c>
    </row>
    <row r="5" spans="1:55" ht="21.75" customHeight="1" x14ac:dyDescent="0.3">
      <c r="A5" s="1036" t="s">
        <v>1299</v>
      </c>
      <c r="B5" s="1037" t="s">
        <v>1762</v>
      </c>
      <c r="C5" s="959"/>
      <c r="D5" s="959"/>
      <c r="E5" s="958"/>
      <c r="F5" s="958"/>
      <c r="G5" s="958"/>
      <c r="H5" s="2712"/>
      <c r="I5" s="2713"/>
      <c r="J5" s="2713"/>
      <c r="K5" s="2713"/>
      <c r="L5" s="2713"/>
      <c r="M5" s="2714"/>
      <c r="Q5" s="1296" t="str">
        <f>IFERROR(INDEX(MBD_EMI_Table,MATCH($H$5,MBD_EMI_Index,0),MATCH('Multiple Buildings Details'!$J$16,MBD_EMI_Hdr,0)),"ERROR")</f>
        <v>ERROR</v>
      </c>
    </row>
    <row r="6" spans="1:55" ht="21.75" customHeight="1" x14ac:dyDescent="0.3">
      <c r="A6" s="1036" t="s">
        <v>1299</v>
      </c>
      <c r="B6" s="583"/>
      <c r="C6" s="959"/>
      <c r="D6" s="959"/>
      <c r="E6" s="958"/>
      <c r="F6" s="958"/>
      <c r="G6" s="958"/>
      <c r="H6" s="958"/>
      <c r="I6" s="958"/>
      <c r="J6" s="958"/>
      <c r="K6" s="958"/>
      <c r="L6" s="958"/>
      <c r="M6" s="958"/>
    </row>
    <row r="7" spans="1:55" ht="22.5" customHeight="1" x14ac:dyDescent="0.3">
      <c r="A7" s="1036" t="s">
        <v>1299</v>
      </c>
      <c r="B7" s="2715" t="s">
        <v>1126</v>
      </c>
      <c r="C7" s="2715"/>
      <c r="D7" s="2715"/>
      <c r="E7" s="2715"/>
      <c r="F7" s="2715"/>
      <c r="G7" s="2715"/>
      <c r="H7" s="2715"/>
      <c r="I7" s="2715"/>
      <c r="J7" s="2715"/>
      <c r="K7" s="2715"/>
      <c r="L7" s="2715"/>
      <c r="M7" s="2715"/>
    </row>
    <row r="8" spans="1:55" ht="15.75" customHeight="1" x14ac:dyDescent="0.3">
      <c r="A8" s="1036" t="s">
        <v>1299</v>
      </c>
      <c r="B8" s="2716"/>
      <c r="C8" s="2717"/>
      <c r="D8" s="2717"/>
      <c r="E8" s="2717"/>
      <c r="F8" s="2717"/>
      <c r="G8" s="2717"/>
      <c r="H8" s="2717"/>
      <c r="I8" s="2717"/>
      <c r="J8" s="2717"/>
      <c r="K8" s="2717"/>
      <c r="L8" s="2717"/>
      <c r="M8" s="2717"/>
    </row>
    <row r="9" spans="1:55" ht="52.5" customHeight="1" x14ac:dyDescent="0.3">
      <c r="A9" s="1036" t="s">
        <v>1299</v>
      </c>
      <c r="B9" s="2718" t="s">
        <v>1763</v>
      </c>
      <c r="C9" s="2718"/>
      <c r="D9" s="2718"/>
      <c r="E9" s="2718"/>
      <c r="F9" s="2718"/>
      <c r="G9" s="2718"/>
      <c r="H9" s="2718"/>
      <c r="I9" s="2718"/>
      <c r="J9" s="2718"/>
      <c r="K9" s="2718"/>
      <c r="L9" s="2718"/>
      <c r="M9" s="2697"/>
      <c r="BC9" s="502" t="s">
        <v>2090</v>
      </c>
    </row>
    <row r="10" spans="1:55" ht="33" hidden="1" customHeight="1" x14ac:dyDescent="0.3">
      <c r="A10" s="1036" t="s">
        <v>1299</v>
      </c>
      <c r="B10" s="2719" t="s">
        <v>1128</v>
      </c>
      <c r="C10" s="1996"/>
      <c r="D10" s="1996"/>
      <c r="E10" s="1996"/>
      <c r="F10" s="1996"/>
      <c r="G10" s="1996"/>
      <c r="H10" s="1996"/>
      <c r="I10" s="1996"/>
      <c r="J10" s="1996"/>
      <c r="K10" s="1996"/>
      <c r="L10" s="1996"/>
      <c r="M10" s="1996"/>
    </row>
    <row r="11" spans="1:55" ht="34.200000000000003" hidden="1" customHeight="1" x14ac:dyDescent="0.3">
      <c r="A11" s="1036" t="s">
        <v>1299</v>
      </c>
      <c r="B11" s="2719" t="s">
        <v>1193</v>
      </c>
      <c r="C11" s="1996"/>
      <c r="D11" s="1996"/>
      <c r="E11" s="1996"/>
      <c r="F11" s="1996"/>
      <c r="G11" s="1996"/>
      <c r="H11" s="1996"/>
      <c r="I11" s="1996"/>
      <c r="J11" s="1996"/>
      <c r="K11" s="1996"/>
      <c r="L11" s="1996"/>
      <c r="M11" s="1996"/>
    </row>
    <row r="12" spans="1:55" ht="33" hidden="1" customHeight="1" x14ac:dyDescent="0.3">
      <c r="A12" s="1036" t="s">
        <v>1299</v>
      </c>
      <c r="B12" s="2719" t="s">
        <v>1129</v>
      </c>
      <c r="C12" s="1996"/>
      <c r="D12" s="1996"/>
      <c r="E12" s="1996"/>
      <c r="F12" s="1996"/>
      <c r="G12" s="1996"/>
      <c r="H12" s="1996"/>
      <c r="I12" s="1996"/>
      <c r="J12" s="1996"/>
      <c r="K12" s="1996"/>
      <c r="L12" s="1996"/>
      <c r="M12" s="1996"/>
    </row>
    <row r="13" spans="1:55" ht="15.75" customHeight="1" x14ac:dyDescent="0.3">
      <c r="A13" s="1036" t="s">
        <v>1299</v>
      </c>
      <c r="B13" s="2716"/>
      <c r="C13" s="2717"/>
      <c r="D13" s="2717"/>
      <c r="E13" s="2717"/>
      <c r="F13" s="2717"/>
      <c r="G13" s="2717"/>
      <c r="H13" s="2717"/>
      <c r="I13" s="2717"/>
      <c r="J13" s="2717"/>
      <c r="K13" s="2717"/>
      <c r="L13" s="2717"/>
      <c r="M13" s="2717"/>
    </row>
    <row r="14" spans="1:55" ht="15" customHeight="1" x14ac:dyDescent="0.3">
      <c r="A14" s="1036" t="s">
        <v>1299</v>
      </c>
      <c r="B14" s="2722" t="s">
        <v>444</v>
      </c>
      <c r="C14" s="2722" t="s">
        <v>494</v>
      </c>
      <c r="D14" s="2699"/>
      <c r="E14" s="2722" t="s">
        <v>493</v>
      </c>
      <c r="F14" s="2722" t="s">
        <v>492</v>
      </c>
      <c r="G14" s="2699"/>
      <c r="H14" s="2722" t="s">
        <v>491</v>
      </c>
      <c r="I14" s="2699"/>
      <c r="J14" s="2699"/>
      <c r="K14" s="2698" t="s">
        <v>1764</v>
      </c>
      <c r="L14" s="2727"/>
      <c r="M14" s="2727"/>
      <c r="N14" s="15"/>
      <c r="O14" s="15"/>
      <c r="P14" s="15"/>
      <c r="AC14" s="1038"/>
    </row>
    <row r="15" spans="1:55" ht="62.25" customHeight="1" x14ac:dyDescent="0.3">
      <c r="A15" s="1036" t="s">
        <v>1299</v>
      </c>
      <c r="B15" s="2699"/>
      <c r="C15" s="2699"/>
      <c r="D15" s="2699"/>
      <c r="E15" s="2699"/>
      <c r="F15" s="2699"/>
      <c r="G15" s="2699"/>
      <c r="H15" s="2699"/>
      <c r="I15" s="2699"/>
      <c r="J15" s="2699"/>
      <c r="K15" s="2698" t="str">
        <f>CONCATENATE("Energy Type Consumption Units to Site Energy Consumption (",PO_SiteUnits,")")</f>
        <v>Energy Type Consumption Units to Site Energy Consumption (MWh)</v>
      </c>
      <c r="L15" s="2727"/>
      <c r="M15" s="1115" t="str">
        <f>CONCATENATE("Energy Type Consumption Units to Source Energy Consumption (",PO_SourceUnits,")")</f>
        <v>Energy Type Consumption Units to Source Energy Consumption (MWh)</v>
      </c>
      <c r="N15" s="15"/>
      <c r="O15" s="15"/>
      <c r="P15" s="15"/>
      <c r="AC15" s="1039"/>
    </row>
    <row r="16" spans="1:55" ht="15" hidden="1" customHeight="1" x14ac:dyDescent="0.3">
      <c r="A16" s="1036" t="s">
        <v>1299</v>
      </c>
      <c r="B16" s="1116" t="s">
        <v>1765</v>
      </c>
      <c r="C16" s="2736" t="s">
        <v>1766</v>
      </c>
      <c r="D16" s="2699"/>
      <c r="E16" s="1116" t="s">
        <v>1767</v>
      </c>
      <c r="F16" s="1116" t="s">
        <v>1768</v>
      </c>
      <c r="G16" s="1117"/>
      <c r="H16" s="1116" t="s">
        <v>1769</v>
      </c>
      <c r="I16" s="1118"/>
      <c r="J16" s="1119"/>
      <c r="K16" s="1116" t="s">
        <v>1770</v>
      </c>
      <c r="L16" s="1119"/>
      <c r="M16" s="1117" t="s">
        <v>1771</v>
      </c>
      <c r="N16" s="1114"/>
      <c r="O16" s="1039"/>
      <c r="P16" s="15"/>
    </row>
    <row r="17" spans="1:55" ht="15" customHeight="1" x14ac:dyDescent="0.3">
      <c r="A17" s="1036" t="s">
        <v>1299</v>
      </c>
      <c r="B17" s="1358" t="str">
        <f>IFERROR(IF(Performance_Outputs_1!B17&lt;&gt;"",Performance_Outputs_1!B17,""),"")</f>
        <v>Electricity</v>
      </c>
      <c r="C17" s="2881" t="str">
        <f>IFERROR(IF(Performance_Outputs_1!C17&lt;&gt;"",Performance_Outputs_1!C17,""),"")</f>
        <v>kWh</v>
      </c>
      <c r="D17" s="2882" t="s">
        <v>1047</v>
      </c>
      <c r="E17" s="1348" t="str">
        <f>IFERROR(IF(Performance_Outputs_1!E17&lt;&gt;"",Performance_Outputs_1!E17,""),"")</f>
        <v>kW</v>
      </c>
      <c r="F17" s="2883" t="str">
        <f>IFERROR(IF(Performance_Outputs_1!F17&lt;&gt;"",Performance_Outputs_1!F17,""),"")</f>
        <v/>
      </c>
      <c r="G17" s="2884" t="s">
        <v>1047</v>
      </c>
      <c r="H17" s="2885" t="str">
        <f>IFERROR(IF(Performance_Outputs_1!H17&lt;&gt;"",Performance_Outputs_1!H17,""),"")</f>
        <v>Fixed Rates per unit of consumption</v>
      </c>
      <c r="I17" s="2886" t="s">
        <v>1047</v>
      </c>
      <c r="J17" s="2886" t="s">
        <v>1047</v>
      </c>
      <c r="K17" s="2739">
        <f>IFERROR(VLOOKUP("kBtu",EnergyUnitsTable,3,FALSE)/VLOOKUP(PO_SiteUnits,EnergyUnitsTable,3,FALSE)*VLOOKUP($C17,EnergyUnitsTable,3,FALSE),"")</f>
        <v>9.999999999999998E-4</v>
      </c>
      <c r="L17" s="2740"/>
      <c r="M17" s="1614">
        <f>IFERROR(VLOOKUP("kBtu",EnergyUnitsTable,3,FALSE)/VLOOKUP(PO_SourceUnits,EnergyUnitsTable,3,FALSE)*VLOOKUP($C17,EnergyUnitsTable,3,FALSE)*VLOOKUP($B17,FuelTypesTable,2,FALSE),"")</f>
        <v>3.1399999999999996E-3</v>
      </c>
      <c r="N17" s="1040"/>
      <c r="O17" s="1040"/>
      <c r="P17" s="15"/>
      <c r="BC17" s="1906"/>
    </row>
    <row r="18" spans="1:55" ht="15" customHeight="1" x14ac:dyDescent="0.3">
      <c r="A18" s="1036" t="s">
        <v>1299</v>
      </c>
      <c r="B18" s="1358" t="str">
        <f>IFERROR(IF(Performance_Outputs_1!B18&lt;&gt;"",Performance_Outputs_1!B18,""),"")</f>
        <v>Natural Gas</v>
      </c>
      <c r="C18" s="2881" t="str">
        <f>IFERROR(IF(Performance_Outputs_1!C18&lt;&gt;"",Performance_Outputs_1!C18,""),"")</f>
        <v>therm</v>
      </c>
      <c r="D18" s="2882" t="s">
        <v>1047</v>
      </c>
      <c r="E18" s="1348" t="str">
        <f>IFERROR(IF(Performance_Outputs_1!E18&lt;&gt;"",Performance_Outputs_1!E18,""),"")</f>
        <v>Btuh x 10^6</v>
      </c>
      <c r="F18" s="2883" t="str">
        <f>IFERROR(IF(Performance_Outputs_1!F18&lt;&gt;"",Performance_Outputs_1!F18,""),"")</f>
        <v/>
      </c>
      <c r="G18" s="2884" t="s">
        <v>1047</v>
      </c>
      <c r="H18" s="2885" t="str">
        <f>IFERROR(IF(Performance_Outputs_1!H18&lt;&gt;"",Performance_Outputs_1!H18,""),"")</f>
        <v/>
      </c>
      <c r="I18" s="2886" t="s">
        <v>1047</v>
      </c>
      <c r="J18" s="2886" t="s">
        <v>1047</v>
      </c>
      <c r="K18" s="2739">
        <f>IFERROR(VLOOKUP("kBtu",EnergyUnitsTable,3,FALSE)/VLOOKUP(PO_SiteUnits,EnergyUnitsTable,3,FALSE)*VLOOKUP($C18,EnergyUnitsTable,3,FALSE),"")</f>
        <v>2.9308323563892142E-2</v>
      </c>
      <c r="L18" s="2740"/>
      <c r="M18" s="1614">
        <f>IFERROR(VLOOKUP("kBtu",EnergyUnitsTable,3,FALSE)/VLOOKUP(PO_SourceUnits,EnergyUnitsTable,3,FALSE)*VLOOKUP($C18,EnergyUnitsTable,3,FALSE)*VLOOKUP($B18,FuelTypesTable,2,FALSE),"")</f>
        <v>3.0773739742086751E-2</v>
      </c>
      <c r="N18" s="1040"/>
      <c r="O18" s="1040"/>
      <c r="P18" s="15"/>
      <c r="BC18" s="1906"/>
    </row>
    <row r="19" spans="1:55" ht="15" customHeight="1" x14ac:dyDescent="0.3">
      <c r="A19" s="1036" t="s">
        <v>1299</v>
      </c>
      <c r="B19" s="1358" t="str">
        <f>IFERROR(IF(Performance_Outputs_1!B19&lt;&gt;"",Performance_Outputs_1!B19,""),"")</f>
        <v>District Cooling</v>
      </c>
      <c r="C19" s="2881" t="str">
        <f>IFERROR(IF(Performance_Outputs_1!C19&lt;&gt;"",Performance_Outputs_1!C19,""),"")</f>
        <v>MWh</v>
      </c>
      <c r="D19" s="2882" t="s">
        <v>1047</v>
      </c>
      <c r="E19" s="1348" t="str">
        <f>IFERROR(IF(Performance_Outputs_1!E19&lt;&gt;"",Performance_Outputs_1!E19,""),"")</f>
        <v>MW</v>
      </c>
      <c r="F19" s="2883" t="str">
        <f>IFERROR(IF(Performance_Outputs_1!F19&lt;&gt;"",Performance_Outputs_1!F19,""),"")</f>
        <v/>
      </c>
      <c r="G19" s="2884" t="s">
        <v>1047</v>
      </c>
      <c r="H19" s="2885" t="str">
        <f>IFERROR(IF(Performance_Outputs_1!H19&lt;&gt;"",Performance_Outputs_1!H19,""),"")</f>
        <v/>
      </c>
      <c r="I19" s="2886" t="s">
        <v>1047</v>
      </c>
      <c r="J19" s="2886" t="s">
        <v>1047</v>
      </c>
      <c r="K19" s="2739">
        <f>IFERROR(VLOOKUP("kBtu",EnergyUnitsTable,3,FALSE)/VLOOKUP(PO_SiteUnits,EnergyUnitsTable,3,FALSE)*VLOOKUP($C19,EnergyUnitsTable,3,FALSE),"")</f>
        <v>0.99999999999999989</v>
      </c>
      <c r="L19" s="2740"/>
      <c r="M19" s="1614">
        <f>IFERROR(VLOOKUP("kBtu",EnergyUnitsTable,3,FALSE)/VLOOKUP(PO_SourceUnits,EnergyUnitsTable,3,FALSE)*VLOOKUP($C19,EnergyUnitsTable,3,FALSE)*VLOOKUP($B19,FuelTypesTable,2,FALSE),"")</f>
        <v>0.99999999999999989</v>
      </c>
      <c r="N19" s="1040"/>
      <c r="O19" s="1040"/>
      <c r="P19" s="15"/>
      <c r="BC19" s="1906"/>
    </row>
    <row r="20" spans="1:55" ht="21" customHeight="1" x14ac:dyDescent="0.3">
      <c r="A20" s="1036" t="s">
        <v>1299</v>
      </c>
      <c r="B20" s="2728" t="s">
        <v>1115</v>
      </c>
      <c r="C20" s="2729"/>
      <c r="D20" s="2729"/>
      <c r="E20" s="2729"/>
      <c r="F20" s="2729"/>
      <c r="G20" s="2729"/>
      <c r="H20" s="2729"/>
      <c r="I20" s="2729"/>
      <c r="J20" s="2729"/>
      <c r="K20" s="2729"/>
      <c r="L20" s="2730" t="str">
        <f>IF(SI_IP_Units="SI","MWh","Btu x 10^6")</f>
        <v>MWh</v>
      </c>
      <c r="M20" s="2731"/>
      <c r="N20" s="15"/>
      <c r="O20" s="15"/>
      <c r="P20" s="15"/>
      <c r="BC20" s="1906"/>
    </row>
    <row r="21" spans="1:55" ht="21" customHeight="1" x14ac:dyDescent="0.3">
      <c r="A21" s="1036" t="s">
        <v>1299</v>
      </c>
      <c r="B21" s="2732" t="s">
        <v>1116</v>
      </c>
      <c r="C21" s="2729"/>
      <c r="D21" s="2729"/>
      <c r="E21" s="2729"/>
      <c r="F21" s="2729"/>
      <c r="G21" s="2729"/>
      <c r="H21" s="2729"/>
      <c r="I21" s="2729"/>
      <c r="J21" s="2729"/>
      <c r="K21" s="2729"/>
      <c r="L21" s="2730" t="str">
        <f>IF(SI_IP_Units="SI","MWh","Btu x 10^6")</f>
        <v>MWh</v>
      </c>
      <c r="M21" s="2731"/>
      <c r="BC21" s="1906"/>
    </row>
    <row r="22" spans="1:55" ht="33.75" customHeight="1" x14ac:dyDescent="0.3">
      <c r="A22" s="1036" t="s">
        <v>1299</v>
      </c>
      <c r="B22" s="564"/>
      <c r="C22" s="544"/>
      <c r="D22" s="526"/>
      <c r="E22" s="526"/>
      <c r="F22" s="526"/>
      <c r="G22" s="526"/>
      <c r="H22" s="526"/>
      <c r="I22" s="526"/>
      <c r="J22" s="526"/>
      <c r="K22" s="526"/>
      <c r="L22" s="527"/>
      <c r="M22" s="527"/>
    </row>
    <row r="23" spans="1:55" ht="33.75" customHeight="1" x14ac:dyDescent="0.3">
      <c r="A23" s="1036" t="s">
        <v>1299</v>
      </c>
      <c r="B23" s="564"/>
      <c r="C23" s="544"/>
      <c r="D23" s="526"/>
      <c r="E23" s="526"/>
      <c r="F23" s="526"/>
      <c r="G23" s="526"/>
      <c r="H23" s="526"/>
      <c r="I23" s="526"/>
      <c r="J23" s="526"/>
      <c r="K23" s="526"/>
      <c r="L23" s="527"/>
      <c r="M23" s="527"/>
    </row>
    <row r="24" spans="1:55" s="568" customFormat="1" ht="20.25" customHeight="1" x14ac:dyDescent="0.3">
      <c r="A24" s="1036" t="s">
        <v>1299</v>
      </c>
      <c r="B24" s="625" t="s">
        <v>1844</v>
      </c>
    </row>
    <row r="25" spans="1:55" s="528" customFormat="1" ht="12.75" customHeight="1" x14ac:dyDescent="0.3">
      <c r="A25" s="1036" t="s">
        <v>1299</v>
      </c>
      <c r="C25" s="502"/>
      <c r="D25" s="502"/>
      <c r="E25" s="502"/>
      <c r="F25" s="502"/>
      <c r="G25" s="502"/>
      <c r="H25" s="502"/>
      <c r="I25" s="502"/>
      <c r="J25" s="502"/>
      <c r="K25" s="502"/>
      <c r="AD25" s="1300" t="s">
        <v>1076</v>
      </c>
    </row>
    <row r="26" spans="1:55" s="528" customFormat="1" ht="21" customHeight="1" x14ac:dyDescent="0.3">
      <c r="A26" s="1036" t="s">
        <v>1299</v>
      </c>
      <c r="B26" s="626" t="s">
        <v>1845</v>
      </c>
      <c r="C26" s="502"/>
      <c r="D26" s="502"/>
      <c r="E26" s="502"/>
      <c r="F26" s="502"/>
      <c r="G26" s="502"/>
      <c r="H26" s="502"/>
      <c r="I26" s="502"/>
      <c r="J26" s="502"/>
      <c r="K26" s="502"/>
      <c r="AD26" s="1296" t="b">
        <v>1</v>
      </c>
    </row>
    <row r="27" spans="1:55" s="15" customFormat="1" ht="15" customHeight="1" x14ac:dyDescent="0.3">
      <c r="A27" s="1036" t="s">
        <v>1299</v>
      </c>
    </row>
    <row r="28" spans="1:55" ht="21" customHeight="1" x14ac:dyDescent="0.3">
      <c r="A28" s="1036" t="s">
        <v>1299</v>
      </c>
      <c r="B28" s="2733" t="s">
        <v>1846</v>
      </c>
      <c r="C28" s="2733"/>
      <c r="D28" s="2733"/>
      <c r="E28" s="2733"/>
      <c r="F28" s="2733"/>
      <c r="G28" s="2733"/>
      <c r="H28" s="2733"/>
      <c r="I28" s="2733"/>
      <c r="J28" s="2733"/>
      <c r="K28" s="2733"/>
      <c r="L28" s="2733"/>
      <c r="M28" s="2734"/>
    </row>
    <row r="29" spans="1:55" ht="115.5" customHeight="1" x14ac:dyDescent="0.3">
      <c r="A29" s="1036" t="s">
        <v>1299</v>
      </c>
      <c r="B29" s="2735" t="s">
        <v>1848</v>
      </c>
      <c r="C29" s="2695"/>
      <c r="D29" s="2695"/>
      <c r="E29" s="2695"/>
      <c r="F29" s="2695"/>
      <c r="G29" s="2695"/>
      <c r="H29" s="2695"/>
      <c r="I29" s="2695"/>
      <c r="J29" s="2695"/>
      <c r="K29" s="2695"/>
      <c r="L29" s="2695"/>
      <c r="M29" s="2695"/>
    </row>
    <row r="30" spans="1:55" ht="32.25" customHeight="1" x14ac:dyDescent="0.25">
      <c r="A30" s="1036" t="s">
        <v>1299</v>
      </c>
      <c r="B30" s="543"/>
      <c r="C30" s="526"/>
      <c r="D30" s="526"/>
      <c r="E30" s="526"/>
      <c r="F30" s="526"/>
      <c r="G30" s="391"/>
      <c r="H30" s="391"/>
      <c r="I30" s="391"/>
      <c r="J30" s="391"/>
      <c r="K30" s="391"/>
      <c r="L30" s="529"/>
      <c r="M30" s="529"/>
    </row>
    <row r="31" spans="1:55" ht="57.75" customHeight="1" x14ac:dyDescent="0.3">
      <c r="A31" s="1036" t="s">
        <v>1299</v>
      </c>
      <c r="B31" s="2700" t="s">
        <v>1847</v>
      </c>
      <c r="C31" s="2742"/>
      <c r="D31" s="2742"/>
      <c r="E31" s="1115" t="s">
        <v>1251</v>
      </c>
      <c r="F31" s="2700" t="s">
        <v>1113</v>
      </c>
      <c r="G31" s="2743"/>
      <c r="H31" s="2700" t="s">
        <v>486</v>
      </c>
      <c r="I31" s="2744"/>
      <c r="J31" s="2700" t="s">
        <v>1252</v>
      </c>
      <c r="K31" s="2745"/>
      <c r="L31" s="2348"/>
      <c r="M31" s="2348"/>
      <c r="T31" s="1042" t="s">
        <v>1778</v>
      </c>
      <c r="U31" s="1042" t="s">
        <v>1955</v>
      </c>
    </row>
    <row r="32" spans="1:55" s="1041" customFormat="1" ht="12.75" hidden="1" customHeight="1" x14ac:dyDescent="0.25">
      <c r="A32" s="1036" t="s">
        <v>1299</v>
      </c>
      <c r="B32" s="1122" t="s">
        <v>1772</v>
      </c>
      <c r="C32" s="1123"/>
      <c r="D32" s="1123"/>
      <c r="E32" s="1124" t="s">
        <v>1773</v>
      </c>
      <c r="F32" s="1122" t="s">
        <v>1774</v>
      </c>
      <c r="G32" s="1125"/>
      <c r="H32" s="1122" t="s">
        <v>1775</v>
      </c>
      <c r="I32" s="1126"/>
      <c r="J32" s="1122" t="s">
        <v>446</v>
      </c>
      <c r="K32" s="1127"/>
      <c r="L32" s="1128"/>
      <c r="M32" s="1128"/>
      <c r="Q32" s="1297" t="s">
        <v>1776</v>
      </c>
      <c r="R32" s="1297" t="s">
        <v>1777</v>
      </c>
      <c r="S32" s="1297" t="s">
        <v>1386</v>
      </c>
      <c r="T32" s="1297" t="s">
        <v>1778</v>
      </c>
      <c r="U32" s="1297" t="s">
        <v>1955</v>
      </c>
    </row>
    <row r="33" spans="1:55" ht="15" customHeight="1" x14ac:dyDescent="0.3">
      <c r="A33" s="1036" t="s">
        <v>915</v>
      </c>
      <c r="B33" s="2746" t="s">
        <v>680</v>
      </c>
      <c r="C33" s="2747"/>
      <c r="D33" s="2747"/>
      <c r="E33" s="1129" t="s">
        <v>464</v>
      </c>
      <c r="F33" s="1130"/>
      <c r="G33" s="1131" t="str">
        <f>IFERROR(IF(ISBLANK($E33),"",VLOOKUP($E33,PO_Enrgy_1_Table,MATCH($E$16,PO_Enrgy_1_Hdr,0),FALSE)),"")</f>
        <v>kW</v>
      </c>
      <c r="H33" s="1130"/>
      <c r="I33" s="1132" t="str">
        <f>IFERROR(IF(ISBLANK($E33),"",VLOOKUP($E33,PO_Enrgy_1_Table,MATCH($C$16,PO_Enrgy_1_Hdr,0),FALSE)),"")</f>
        <v>kWh</v>
      </c>
      <c r="J33" s="2748" t="str">
        <f t="shared" ref="J33:M34" si="0">IFERROR($H33*VLOOKUP($E33,PO_Enrgy_8_Table,MATCH($H$232,PO_Enrgy_8_Hdr,0),FALSE),"")</f>
        <v/>
      </c>
      <c r="K33" s="2749" t="str">
        <f t="shared" si="0"/>
        <v/>
      </c>
      <c r="L33" s="2887" t="str">
        <f t="shared" si="0"/>
        <v/>
      </c>
      <c r="M33" s="2887" t="str">
        <f t="shared" si="0"/>
        <v/>
      </c>
      <c r="Q33" s="1296">
        <f>IFERROR(IF(ISBLANK($E33),"",VLOOKUP($E33,PO_Enrgy_1_Table,MATCH($K$16,PO_Enrgy_1_Hdr,0),FALSE)),"")</f>
        <v>9.999999999999998E-4</v>
      </c>
      <c r="R33" s="1296">
        <f>IFERROR(IF(ISBLANK($E33),"",VLOOKUP($E33,PO_Enrgy_1_Table,MATCH($M$16,PO_Enrgy_1_Hdr,0),FALSE)),"")</f>
        <v>3.1399999999999996E-3</v>
      </c>
      <c r="S33" s="1296" t="str">
        <f>IFERROR((H33*VLOOKUP(I33,EnergyUnitsTable,3,FALSE))/(F33*VLOOKUP(G33,DemandTable,3,FALSE)),"")</f>
        <v/>
      </c>
      <c r="T33" s="1298" t="str">
        <f>IFERROR($H33*VLOOKUP($E33,PO_Enrgy_8_Table,MATCH($H$232,PO_Enrgy_8_Hdr,0),FALSE),"")</f>
        <v/>
      </c>
      <c r="U33" s="1301">
        <f>IFERROR(1-$J33/$T33,0)</f>
        <v>0</v>
      </c>
      <c r="AH33" s="1044"/>
      <c r="AI33" s="1045"/>
      <c r="AJ33" s="1045"/>
      <c r="BC33" s="1906"/>
    </row>
    <row r="34" spans="1:55" ht="15" customHeight="1" x14ac:dyDescent="0.3">
      <c r="A34" s="1036"/>
      <c r="B34" s="2746" t="s">
        <v>654</v>
      </c>
      <c r="C34" s="2747"/>
      <c r="D34" s="2747"/>
      <c r="E34" s="1129" t="s">
        <v>478</v>
      </c>
      <c r="F34" s="1130"/>
      <c r="G34" s="1131" t="str">
        <f>IFERROR(IF(ISBLANK($E34),"",VLOOKUP($E34,PO_Enrgy_1_Table,MATCH($E$16,PO_Enrgy_1_Hdr,0),FALSE)),"")</f>
        <v>Btuh x 10^6</v>
      </c>
      <c r="H34" s="1130"/>
      <c r="I34" s="1132" t="str">
        <f>IFERROR(IF(ISBLANK($E34),"",VLOOKUP($E34,PO_Enrgy_1_Table,MATCH($C$16,PO_Enrgy_1_Hdr,0),FALSE)),"")</f>
        <v>therm</v>
      </c>
      <c r="J34" s="2748" t="str">
        <f t="shared" si="0"/>
        <v/>
      </c>
      <c r="K34" s="2749" t="str">
        <f t="shared" si="0"/>
        <v/>
      </c>
      <c r="L34" s="2887" t="str">
        <f t="shared" si="0"/>
        <v/>
      </c>
      <c r="M34" s="2887" t="str">
        <f t="shared" si="0"/>
        <v/>
      </c>
      <c r="Q34" s="1296">
        <f>IFERROR(IF(ISBLANK($E34),"",VLOOKUP($E34,PO_Enrgy_1_Table,MATCH($K$16,PO_Enrgy_1_Hdr,0),FALSE)),"")</f>
        <v>2.9308323563892142E-2</v>
      </c>
      <c r="R34" s="1296">
        <f>IFERROR(IF(ISBLANK($E34),"",VLOOKUP($E34,PO_Enrgy_1_Table,MATCH($M$16,PO_Enrgy_1_Hdr,0),FALSE)),"")</f>
        <v>3.0773739742086751E-2</v>
      </c>
      <c r="S34" s="1296" t="str">
        <f>IFERROR((H34*VLOOKUP(I34,EnergyUnitsTable,3,FALSE))/(F34*VLOOKUP(G34,DemandTable,3,FALSE)),"")</f>
        <v/>
      </c>
      <c r="T34" s="1298" t="str">
        <f>IFERROR($H34*VLOOKUP($E34,PO_Enrgy_8_Table,MATCH($H$232,PO_Enrgy_8_Hdr,0),FALSE),"")</f>
        <v/>
      </c>
      <c r="U34" s="1301">
        <f>IFERROR(1-$J34/$T34,0)</f>
        <v>0</v>
      </c>
      <c r="AH34" s="1044"/>
      <c r="AI34" s="1045"/>
      <c r="AJ34" s="1045"/>
      <c r="BC34" s="1906"/>
    </row>
    <row r="35" spans="1:55" ht="18" customHeight="1" x14ac:dyDescent="0.3">
      <c r="A35" s="1036"/>
      <c r="B35" s="2700" t="s">
        <v>1779</v>
      </c>
      <c r="C35" s="2348"/>
      <c r="D35" s="2348"/>
      <c r="E35" s="2348"/>
      <c r="F35" s="2348"/>
      <c r="G35" s="2348"/>
      <c r="H35" s="2348"/>
      <c r="I35" s="2348"/>
      <c r="J35" s="2348"/>
      <c r="K35" s="2348"/>
      <c r="L35" s="2348"/>
      <c r="M35" s="2348"/>
    </row>
    <row r="36" spans="1:55" ht="20.25" customHeight="1" x14ac:dyDescent="0.3">
      <c r="A36" s="1036"/>
      <c r="B36" s="2700" t="s">
        <v>1780</v>
      </c>
      <c r="C36" s="2461"/>
      <c r="D36" s="2461"/>
      <c r="E36" s="2741" t="s">
        <v>486</v>
      </c>
      <c r="F36" s="2461"/>
      <c r="G36" s="2461"/>
      <c r="H36" s="2698" t="str">
        <f>CONCATENATE("Annual Source Energy Generated
 (", PO_SourceUnits, ")")</f>
        <v>Annual Source Energy Generated
 (MWh)</v>
      </c>
      <c r="I36" s="2699"/>
      <c r="J36" s="2700" t="s">
        <v>1252</v>
      </c>
      <c r="K36" s="2461"/>
      <c r="L36" s="2461"/>
      <c r="M36" s="2461"/>
    </row>
    <row r="37" spans="1:55" ht="20.25" customHeight="1" x14ac:dyDescent="0.3">
      <c r="A37" s="1036"/>
      <c r="B37" s="2461"/>
      <c r="C37" s="2461"/>
      <c r="D37" s="2461"/>
      <c r="E37" s="2741" t="s">
        <v>1781</v>
      </c>
      <c r="F37" s="2461"/>
      <c r="G37" s="1115" t="str">
        <f>CONCATENATE("Units = ", PO_SiteUnits,")")</f>
        <v>Units = MWh)</v>
      </c>
      <c r="H37" s="2699"/>
      <c r="I37" s="2699"/>
      <c r="J37" s="2461"/>
      <c r="K37" s="2461"/>
      <c r="L37" s="2461"/>
      <c r="M37" s="2461"/>
    </row>
    <row r="38" spans="1:55" s="1047" customFormat="1" ht="12.75" hidden="1" customHeight="1" x14ac:dyDescent="0.25">
      <c r="A38" s="1046"/>
      <c r="B38" s="1116" t="s">
        <v>1765</v>
      </c>
      <c r="C38" s="1133"/>
      <c r="D38" s="1133"/>
      <c r="E38" s="1134" t="s">
        <v>1782</v>
      </c>
      <c r="F38" s="1135" t="s">
        <v>1783</v>
      </c>
      <c r="G38" s="1136" t="s">
        <v>1784</v>
      </c>
      <c r="H38" s="1135" t="s">
        <v>1785</v>
      </c>
      <c r="I38" s="1136"/>
      <c r="J38" s="1135" t="s">
        <v>446</v>
      </c>
      <c r="K38" s="1137"/>
      <c r="L38" s="1138"/>
      <c r="M38" s="1138"/>
      <c r="Q38" s="1297" t="s">
        <v>1776</v>
      </c>
      <c r="R38" s="1297" t="s">
        <v>1777</v>
      </c>
    </row>
    <row r="39" spans="1:55" ht="15" customHeight="1" x14ac:dyDescent="0.3">
      <c r="A39" s="1036"/>
      <c r="B39" s="2760" t="str">
        <f>IFERROR(IF(ISBLANK(B17),"",B17),"")</f>
        <v>Electricity</v>
      </c>
      <c r="C39" s="2890"/>
      <c r="D39" s="2890"/>
      <c r="E39" s="1139">
        <f>IFERROR(IF(PO_SiteRenewable=TRUE,SUMIF(INDEX(PO_renewable_table,0,MATCH($E$32,PO_renewable_hdr,0)),$B39,INDEX(PO_renewable_table,0,MATCH($H$32,PO_renewable_hdr,0))),""),"")</f>
        <v>0</v>
      </c>
      <c r="F39" s="1140" t="str">
        <f>IFERROR(IF(ISBLANK($B39),"",VLOOKUP($B39,PO_Enrgy_1_Table,MATCH($C$16,PO_Enrgy_1_Hdr,0),FALSE)),"")</f>
        <v>kWh</v>
      </c>
      <c r="G39" s="1141">
        <f>IFERROR($E39*$Q39,"")</f>
        <v>0</v>
      </c>
      <c r="H39" s="2754">
        <f>IFERROR($E39*$R39,"")</f>
        <v>0</v>
      </c>
      <c r="I39" s="2721"/>
      <c r="J39" s="2755">
        <f>IFERROR(IF(PO_SiteRenewable=TRUE,SUMIF($E$33:$E$34,$B39,$J$33:$J$34),0),"")</f>
        <v>0</v>
      </c>
      <c r="K39" s="2891"/>
      <c r="L39" s="2891"/>
      <c r="M39" s="2891"/>
      <c r="Q39" s="1296">
        <f>IFERROR(IF(ISBLANK($B39),"",VLOOKUP($B39,PO_Enrgy_1_Table,MATCH($K$16,PO_Enrgy_1_Hdr,0),FALSE)),"")</f>
        <v>9.999999999999998E-4</v>
      </c>
      <c r="R39" s="1296">
        <f>IFERROR(IF(ISBLANK($B39),"",VLOOKUP($B39,PO_Enrgy_1_Table,MATCH($M$16,PO_Enrgy_1_Hdr,0),FALSE)),"")</f>
        <v>3.1399999999999996E-3</v>
      </c>
      <c r="BC39" s="1906"/>
    </row>
    <row r="40" spans="1:55" ht="15" customHeight="1" x14ac:dyDescent="0.3">
      <c r="A40" s="1036"/>
      <c r="B40" s="2760" t="str">
        <f>IFERROR(IF(ISBLANK(B18),"",B18),"")</f>
        <v>Natural Gas</v>
      </c>
      <c r="C40" s="2890"/>
      <c r="D40" s="2890"/>
      <c r="E40" s="1139">
        <f>IFERROR(IF(PO_SiteRenewable=TRUE,SUMIF(INDEX(PO_renewable_table,0,MATCH($E$32,PO_renewable_hdr,0)),$B40,INDEX(PO_renewable_table,0,MATCH($H$32,PO_renewable_hdr,0))),""),"")</f>
        <v>0</v>
      </c>
      <c r="F40" s="1140" t="str">
        <f>IFERROR(IF(ISBLANK($B40),"",VLOOKUP($B40,PO_Enrgy_1_Table,MATCH($C$16,PO_Enrgy_1_Hdr,0),FALSE)),"")</f>
        <v>therm</v>
      </c>
      <c r="G40" s="1141">
        <f>IFERROR($E40*$Q40,"")</f>
        <v>0</v>
      </c>
      <c r="H40" s="2754">
        <f>IFERROR($E40*$R40,"")</f>
        <v>0</v>
      </c>
      <c r="I40" s="2721"/>
      <c r="J40" s="2755">
        <f>IFERROR(IF(PO_SiteRenewable=TRUE,SUMIF($E$33:$E$34,$B40,$J$33:$J$34),0),"")</f>
        <v>0</v>
      </c>
      <c r="K40" s="2891"/>
      <c r="L40" s="2891"/>
      <c r="M40" s="2891"/>
      <c r="Q40" s="1296">
        <f>IFERROR(IF(ISBLANK($B40),"",VLOOKUP($B40,PO_Enrgy_1_Table,MATCH($K$16,PO_Enrgy_1_Hdr,0),FALSE)),"")</f>
        <v>2.9308323563892142E-2</v>
      </c>
      <c r="R40" s="1296">
        <f>IFERROR(IF(ISBLANK($B40),"",VLOOKUP($B40,PO_Enrgy_1_Table,MATCH($M$16,PO_Enrgy_1_Hdr,0),FALSE)),"")</f>
        <v>3.0773739742086751E-2</v>
      </c>
      <c r="BC40" s="1906"/>
    </row>
    <row r="41" spans="1:55" ht="15" customHeight="1" x14ac:dyDescent="0.3">
      <c r="A41" s="1036"/>
      <c r="B41" s="2760" t="str">
        <f>IFERROR(IF(ISBLANK(B19),"",B19),"")</f>
        <v>District Cooling</v>
      </c>
      <c r="C41" s="2890"/>
      <c r="D41" s="2890"/>
      <c r="E41" s="1139">
        <f>IFERROR(IF(PO_SiteRenewable=TRUE,SUMIF(INDEX(PO_renewable_table,0,MATCH($E$32,PO_renewable_hdr,0)),$B41,INDEX(PO_renewable_table,0,MATCH($H$32,PO_renewable_hdr,0))),""),"")</f>
        <v>0</v>
      </c>
      <c r="F41" s="1140" t="str">
        <f>IFERROR(IF(ISBLANK($B41),"",VLOOKUP($B41,PO_Enrgy_1_Table,MATCH($C$16,PO_Enrgy_1_Hdr,0),FALSE)),"")</f>
        <v>MWh</v>
      </c>
      <c r="G41" s="1141">
        <f>IFERROR($E41*$Q41,"")</f>
        <v>0</v>
      </c>
      <c r="H41" s="2754">
        <f>IFERROR($E41*$R41,"")</f>
        <v>0</v>
      </c>
      <c r="I41" s="2721"/>
      <c r="J41" s="2755">
        <f>IFERROR(IF(PO_SiteRenewable=TRUE,SUMIF($E$33:$E$34,$B41,$J$33:$J$34),0),"")</f>
        <v>0</v>
      </c>
      <c r="K41" s="2891"/>
      <c r="L41" s="2891"/>
      <c r="M41" s="2891"/>
      <c r="Q41" s="1296">
        <f>IFERROR(IF(ISBLANK($B41),"",VLOOKUP($B41,PO_Enrgy_1_Table,MATCH($K$16,PO_Enrgy_1_Hdr,0),FALSE)),"")</f>
        <v>0.99999999999999989</v>
      </c>
      <c r="R41" s="1296">
        <f>IFERROR(IF(ISBLANK($B41),"",VLOOKUP($B41,PO_Enrgy_1_Table,MATCH($M$16,PO_Enrgy_1_Hdr,0),FALSE)),"")</f>
        <v>0.99999999999999989</v>
      </c>
      <c r="BC41" s="1906"/>
    </row>
    <row r="42" spans="1:55" ht="21" customHeight="1" x14ac:dyDescent="0.3">
      <c r="A42" s="1036"/>
      <c r="B42" s="2888" t="s">
        <v>18</v>
      </c>
      <c r="C42" s="2889"/>
      <c r="D42" s="2889"/>
      <c r="E42" s="2889"/>
      <c r="F42" s="2890"/>
      <c r="G42" s="1142">
        <f>IFERROR(SUM(INDEX(PO_Enrgy_2_Table,0,MATCH($G$38,PO_Enrgy_2_Hdr,0))),"")</f>
        <v>0</v>
      </c>
      <c r="H42" s="2754">
        <f>IFERROR(SUM(INDEX(PO_Enrgy_2_Table,0,MATCH($H$38,PO_Enrgy_2_Hdr,0))),"")</f>
        <v>0</v>
      </c>
      <c r="I42" s="2721">
        <f>SUM(I38:I40)</f>
        <v>0</v>
      </c>
      <c r="J42" s="2755">
        <f>IFERROR(SUM(J32:J34),"")</f>
        <v>0</v>
      </c>
      <c r="K42" s="2891"/>
      <c r="L42" s="2891"/>
      <c r="M42" s="2891"/>
      <c r="BC42" s="1906"/>
    </row>
    <row r="43" spans="1:55" ht="21" customHeight="1" x14ac:dyDescent="0.3">
      <c r="A43" s="1036"/>
      <c r="B43" s="2892" t="s">
        <v>1253</v>
      </c>
      <c r="C43" s="2890"/>
      <c r="D43" s="2890"/>
      <c r="E43" s="2890"/>
      <c r="F43" s="2890"/>
      <c r="G43" s="2890"/>
      <c r="H43" s="2890"/>
      <c r="I43" s="2890"/>
      <c r="J43" s="2757" t="str">
        <f>IF(Datacenter_Avg=TRUE,IFERROR($J42/$J$295,""),IFERROR($J42/$J$266,""))</f>
        <v/>
      </c>
      <c r="K43" s="2893"/>
      <c r="L43" s="2893"/>
      <c r="M43" s="2893"/>
      <c r="BC43" s="1906"/>
    </row>
    <row r="44" spans="1:55" ht="33.75" customHeight="1" x14ac:dyDescent="0.3">
      <c r="A44" s="1036" t="s">
        <v>1299</v>
      </c>
      <c r="B44" s="1997"/>
      <c r="C44" s="2759"/>
      <c r="D44" s="2759"/>
      <c r="E44" s="2759"/>
      <c r="F44" s="2759"/>
      <c r="G44" s="2759"/>
      <c r="H44" s="2759"/>
      <c r="I44" s="2759"/>
      <c r="J44" s="2759"/>
      <c r="K44" s="2759"/>
      <c r="L44" s="2759"/>
      <c r="M44" s="958"/>
    </row>
    <row r="45" spans="1:55" ht="33.75" customHeight="1" x14ac:dyDescent="0.3">
      <c r="A45" s="1036" t="s">
        <v>1299</v>
      </c>
      <c r="B45" s="547"/>
      <c r="C45" s="526"/>
      <c r="D45" s="526"/>
      <c r="E45" s="526"/>
      <c r="F45" s="526"/>
      <c r="G45" s="526"/>
      <c r="H45" s="526"/>
      <c r="I45" s="526"/>
      <c r="J45" s="526"/>
      <c r="K45" s="526"/>
      <c r="L45" s="526"/>
      <c r="M45" s="958"/>
    </row>
    <row r="46" spans="1:55" ht="21" customHeight="1" x14ac:dyDescent="0.3">
      <c r="A46" s="1036" t="s">
        <v>1299</v>
      </c>
      <c r="B46" s="627" t="s">
        <v>1127</v>
      </c>
      <c r="C46" s="569"/>
      <c r="D46" s="569"/>
      <c r="E46" s="569"/>
      <c r="F46" s="569"/>
      <c r="G46" s="569"/>
      <c r="H46" s="569"/>
      <c r="I46" s="569"/>
      <c r="J46" s="569"/>
      <c r="K46" s="569"/>
      <c r="L46" s="569"/>
      <c r="M46" s="569"/>
      <c r="T46" s="1300" t="s">
        <v>1077</v>
      </c>
      <c r="AD46" s="530"/>
    </row>
    <row r="47" spans="1:55" ht="15" customHeight="1" x14ac:dyDescent="0.3">
      <c r="A47" s="1036" t="s">
        <v>1299</v>
      </c>
      <c r="E47" s="555"/>
      <c r="T47" s="1299" t="b">
        <v>1</v>
      </c>
    </row>
    <row r="48" spans="1:55" ht="21" customHeight="1" x14ac:dyDescent="0.3">
      <c r="A48" s="1036" t="s">
        <v>1299</v>
      </c>
      <c r="B48" s="628" t="s">
        <v>1254</v>
      </c>
      <c r="C48" s="555"/>
    </row>
    <row r="49" spans="1:55" ht="125.25" hidden="1" customHeight="1" x14ac:dyDescent="0.3">
      <c r="A49" s="1036" t="s">
        <v>1299</v>
      </c>
      <c r="B49" s="2697" t="s">
        <v>1288</v>
      </c>
      <c r="C49" s="2695"/>
      <c r="D49" s="2695"/>
      <c r="E49" s="2695"/>
      <c r="F49" s="2695"/>
      <c r="G49" s="2695"/>
      <c r="H49" s="2695"/>
      <c r="I49" s="2695"/>
      <c r="J49" s="2695"/>
      <c r="K49" s="2695"/>
      <c r="L49" s="2695"/>
      <c r="M49" s="2695"/>
    </row>
    <row r="50" spans="1:55" ht="15" customHeight="1" x14ac:dyDescent="0.3">
      <c r="A50" s="1036" t="s">
        <v>1299</v>
      </c>
      <c r="E50" s="555"/>
      <c r="AD50" s="530"/>
    </row>
    <row r="51" spans="1:55" ht="21" customHeight="1" x14ac:dyDescent="0.3">
      <c r="A51" s="1036" t="s">
        <v>1299</v>
      </c>
      <c r="B51" s="956" t="s">
        <v>1255</v>
      </c>
      <c r="C51" s="956"/>
      <c r="D51" s="956"/>
      <c r="E51" s="956"/>
      <c r="F51" s="956"/>
      <c r="G51" s="956"/>
      <c r="H51" s="956"/>
      <c r="I51" s="956"/>
      <c r="J51" s="956"/>
      <c r="K51" s="956"/>
      <c r="L51" s="956"/>
      <c r="M51" s="957"/>
    </row>
    <row r="52" spans="1:55" ht="136.5" customHeight="1" x14ac:dyDescent="0.3">
      <c r="A52" s="1036" t="s">
        <v>1299</v>
      </c>
      <c r="B52" s="2764" t="s">
        <v>1834</v>
      </c>
      <c r="C52" s="2764"/>
      <c r="D52" s="2764"/>
      <c r="E52" s="2764"/>
      <c r="F52" s="2764"/>
      <c r="G52" s="2764"/>
      <c r="H52" s="2764"/>
      <c r="I52" s="2764"/>
      <c r="J52" s="2764"/>
      <c r="K52" s="2764"/>
      <c r="L52" s="2764"/>
      <c r="M52" s="2764"/>
    </row>
    <row r="53" spans="1:55" x14ac:dyDescent="0.3">
      <c r="A53" s="1036" t="s">
        <v>1299</v>
      </c>
      <c r="B53" s="564"/>
      <c r="C53" s="432"/>
      <c r="D53" s="432"/>
      <c r="E53" s="432"/>
      <c r="F53" s="432"/>
      <c r="G53" s="432"/>
      <c r="H53" s="432"/>
      <c r="I53" s="432"/>
    </row>
    <row r="54" spans="1:55" ht="44.25" customHeight="1" x14ac:dyDescent="0.3">
      <c r="A54" s="1036" t="s">
        <v>1299</v>
      </c>
      <c r="B54" s="2722" t="s">
        <v>1836</v>
      </c>
      <c r="C54" s="2722" t="s">
        <v>1256</v>
      </c>
      <c r="D54" s="2722" t="s">
        <v>485</v>
      </c>
      <c r="E54" s="2723"/>
      <c r="F54" s="2770" t="s">
        <v>484</v>
      </c>
      <c r="G54" s="2722" t="s">
        <v>1257</v>
      </c>
      <c r="H54" s="2766"/>
      <c r="I54" s="2766"/>
      <c r="J54" s="2766"/>
      <c r="K54" s="2766"/>
      <c r="L54" s="2722" t="s">
        <v>1786</v>
      </c>
      <c r="M54" s="2766"/>
      <c r="AS54" s="15"/>
      <c r="AT54" s="15"/>
      <c r="AU54" s="15"/>
      <c r="AV54" s="15"/>
      <c r="AW54" s="15"/>
      <c r="AX54" s="15"/>
      <c r="AY54" s="15"/>
      <c r="AZ54" s="15"/>
    </row>
    <row r="55" spans="1:55" ht="63.75" customHeight="1" x14ac:dyDescent="0.3">
      <c r="A55" s="1036" t="s">
        <v>1299</v>
      </c>
      <c r="B55" s="2765"/>
      <c r="C55" s="2765"/>
      <c r="D55" s="2723"/>
      <c r="E55" s="2723"/>
      <c r="F55" s="2771"/>
      <c r="G55" s="2767" t="s">
        <v>1787</v>
      </c>
      <c r="H55" s="2768"/>
      <c r="I55" s="1049" t="str">
        <f>CONCATENATE("Site Energy 
(Units = ", PO_SiteUnits,")")</f>
        <v>Site Energy 
(Units = MWh)</v>
      </c>
      <c r="J55" s="2767" t="str">
        <f>"Source Energy Consumption 
("  &amp; PO_SourceUnits &amp; ")"</f>
        <v>Source Energy Consumption 
(MWh)</v>
      </c>
      <c r="K55" s="2768"/>
      <c r="L55" s="2766"/>
      <c r="M55" s="2766"/>
      <c r="AR55" s="578"/>
      <c r="AS55" s="566"/>
      <c r="AT55" s="566"/>
      <c r="AU55" s="566"/>
      <c r="AV55" s="15"/>
      <c r="AW55" s="566"/>
      <c r="AX55" s="566"/>
      <c r="AY55" s="566"/>
      <c r="AZ55" s="15"/>
    </row>
    <row r="56" spans="1:55" s="1041" customFormat="1" ht="21.75" hidden="1" customHeight="1" x14ac:dyDescent="0.3">
      <c r="A56" s="1036" t="s">
        <v>1299</v>
      </c>
      <c r="B56" s="1143" t="s">
        <v>1837</v>
      </c>
      <c r="C56" s="1143" t="s">
        <v>1788</v>
      </c>
      <c r="D56" s="2769" t="s">
        <v>1765</v>
      </c>
      <c r="E56" s="2723"/>
      <c r="F56" s="1050" t="s">
        <v>1789</v>
      </c>
      <c r="G56" s="1051" t="s">
        <v>1782</v>
      </c>
      <c r="H56" s="1051" t="s">
        <v>1783</v>
      </c>
      <c r="I56" s="1136" t="s">
        <v>1784</v>
      </c>
      <c r="J56" s="1052" t="s">
        <v>1785</v>
      </c>
      <c r="K56" s="1051"/>
      <c r="L56" s="1053" t="s">
        <v>446</v>
      </c>
      <c r="M56" s="1051"/>
      <c r="Q56" s="1042" t="s">
        <v>1776</v>
      </c>
      <c r="R56" s="1042" t="s">
        <v>1777</v>
      </c>
      <c r="T56" s="1042" t="s">
        <v>1778</v>
      </c>
      <c r="U56" s="1042" t="s">
        <v>1955</v>
      </c>
      <c r="AR56" s="1054"/>
      <c r="AS56" s="1055"/>
      <c r="AT56" s="1055"/>
      <c r="AU56" s="1055"/>
      <c r="AV56" s="1056"/>
      <c r="AW56" s="1055"/>
      <c r="AX56" s="1055"/>
      <c r="AY56" s="1055"/>
      <c r="AZ56" s="1056"/>
    </row>
    <row r="57" spans="1:55" s="1041" customFormat="1" ht="15" hidden="1" customHeight="1" x14ac:dyDescent="0.3">
      <c r="A57" s="1057" t="s">
        <v>917</v>
      </c>
      <c r="B57" s="1347"/>
      <c r="C57" s="1347"/>
      <c r="D57" s="2894"/>
      <c r="E57" s="2400"/>
      <c r="F57" s="1144"/>
      <c r="G57" s="1145"/>
      <c r="H57" s="1349" t="str">
        <f>IFERROR(IF(ISBLANK($D57),"",VLOOKUP($D57,PO_Enrgy_1_Table,MATCH($C$16,PO_Enrgy_1_Hdr,0),FALSE)),"")</f>
        <v/>
      </c>
      <c r="I57" s="1146" t="str">
        <f>IFERROR(VLOOKUP($D57,PO_Enrgy_1_Table,MATCH($K$16,PO_Enrgy_1_Hdr,0),FALSE)*$G57,"")</f>
        <v/>
      </c>
      <c r="J57" s="2895" t="str">
        <f>IFERROR(VLOOKUP($D57,PO_Enrgy_1_Table,MATCH($M$16,PO_Enrgy_1_Hdr,0),FALSE)*$G57,"")</f>
        <v/>
      </c>
      <c r="K57" s="2896"/>
      <c r="L57" s="2763" t="str">
        <f>IFERROR($G57*IF($F57="Subtract from Proposed",VLOOKUP($D57,PO_Enrgy_8_Table,MATCH($H$232,PO_Enrgy_8_Hdr,0),FALSE),VLOOKUP($D57,PO_Enrgy_8_Table,MATCH($E$232,PO_Enrgy_8_Hdr,0),FALSE)),"")</f>
        <v/>
      </c>
      <c r="M57" s="2400"/>
      <c r="Q57" s="1302" t="str">
        <f>IFERROR(IF(ISBLANK($D57),"",VLOOKUP($D57,PO_Enrgy_1_Table,MATCH($K$16,PO_Enrgy_1_Hdr,0),FALSE)),"")</f>
        <v/>
      </c>
      <c r="R57" s="1302" t="str">
        <f>IFERROR(IF(ISBLANK($D57),"",VLOOKUP($D57,PO_Enrgy_1_Table,MATCH($M$16,PO_Enrgy_1_Hdr,0),FALSE)),"")</f>
        <v/>
      </c>
      <c r="T57" s="1303" t="str">
        <f>IFERROR($G57*IF($F57="Subtract from Proposed",VLOOKUP($D57,PO_Enrgy_8_Table,MATCH($H$232,PO_Enrgy_8_Hdr,0),FALSE),VLOOKUP($D57,PO_Enrgy_8_Table,MATCH($E$232,PO_Enrgy_8_Hdr,0),FALSE)),"")</f>
        <v/>
      </c>
      <c r="U57" s="1301">
        <f>IFERROR(1-$J57/$T57,0)</f>
        <v>0</v>
      </c>
      <c r="AB57" s="1058" t="s">
        <v>1047</v>
      </c>
      <c r="AC57" s="1059"/>
      <c r="AR57" s="1060"/>
      <c r="AS57" s="1061"/>
      <c r="AT57" s="1061"/>
      <c r="AU57" s="1061"/>
      <c r="AV57" s="1062"/>
      <c r="AW57" s="1061"/>
      <c r="AX57" s="1061"/>
      <c r="AY57" s="1061"/>
      <c r="AZ57" s="1056"/>
      <c r="BC57" s="1907"/>
    </row>
    <row r="58" spans="1:55" s="1041" customFormat="1" ht="15" customHeight="1" x14ac:dyDescent="0.3">
      <c r="A58" s="1057"/>
      <c r="B58" s="1615">
        <v>1</v>
      </c>
      <c r="C58" s="1615"/>
      <c r="D58" s="2737"/>
      <c r="E58" s="2731"/>
      <c r="F58" s="1144"/>
      <c r="G58" s="1153"/>
      <c r="H58" s="1616" t="str">
        <f>IFERROR(IF(ISBLANK($D58),"",VLOOKUP($D58,PO_Enrgy_1_Table,MATCH($C$16,PO_Enrgy_1_Hdr,0),FALSE)),"")</f>
        <v/>
      </c>
      <c r="I58" s="1617" t="str">
        <f>IFERROR(VLOOKUP($D58,PO_Enrgy_1_Table,MATCH($K$16,PO_Enrgy_1_Hdr,0),FALSE)*$G58,"")</f>
        <v/>
      </c>
      <c r="J58" s="2761" t="str">
        <f>IFERROR(VLOOKUP($D58,PO_Enrgy_1_Table,MATCH($M$16,PO_Enrgy_1_Hdr,0),FALSE)*$G58,"")</f>
        <v/>
      </c>
      <c r="K58" s="2762"/>
      <c r="L58" s="2763" t="str">
        <f>IFERROR($G58*IF($F58="Subtract from Proposed",VLOOKUP($D58,PO_Enrgy_8_Table,MATCH($H$232,PO_Enrgy_8_Hdr,0),FALSE),VLOOKUP($D58,PO_Enrgy_8_Table,MATCH($E$232,PO_Enrgy_8_Hdr,0),FALSE)),"")</f>
        <v/>
      </c>
      <c r="M58" s="2400"/>
      <c r="Q58" s="1302" t="str">
        <f>IFERROR(IF(ISBLANK($D58),"",VLOOKUP($D58,PO_Enrgy_1_Table,MATCH($K$16,PO_Enrgy_1_Hdr,0),FALSE)),"")</f>
        <v/>
      </c>
      <c r="R58" s="1302" t="str">
        <f>IFERROR(IF(ISBLANK($D58),"",VLOOKUP($D58,PO_Enrgy_1_Table,MATCH($M$16,PO_Enrgy_1_Hdr,0),FALSE)),"")</f>
        <v/>
      </c>
      <c r="T58" s="1303" t="str">
        <f>IFERROR($G58*IF($F58="Subtract from Proposed",VLOOKUP($D58,PO_Enrgy_8_Table,MATCH($H$232,PO_Enrgy_8_Hdr,0),FALSE),VLOOKUP($D58,PO_Enrgy_8_Table,MATCH($E$232,PO_Enrgy_8_Hdr,0),FALSE)),"")</f>
        <v/>
      </c>
      <c r="U58" s="1301">
        <f>IFERROR(1-$J58/$T58,0)</f>
        <v>0</v>
      </c>
      <c r="AB58" s="1058"/>
      <c r="AC58" s="1059"/>
      <c r="AR58" s="1060"/>
      <c r="AS58" s="1061"/>
      <c r="AT58" s="1061"/>
      <c r="AU58" s="1061"/>
      <c r="AV58" s="1062"/>
      <c r="AW58" s="1061"/>
      <c r="AX58" s="1061"/>
      <c r="AY58" s="1061"/>
      <c r="AZ58" s="1056"/>
      <c r="BC58" s="1907"/>
    </row>
    <row r="59" spans="1:55" s="1041" customFormat="1" ht="15" customHeight="1" x14ac:dyDescent="0.3">
      <c r="A59" s="1057"/>
      <c r="B59" s="1615">
        <v>2</v>
      </c>
      <c r="C59" s="1615"/>
      <c r="D59" s="2737"/>
      <c r="E59" s="2731"/>
      <c r="F59" s="1144"/>
      <c r="G59" s="1153"/>
      <c r="H59" s="1616" t="str">
        <f>IFERROR(IF(ISBLANK($D59),"",VLOOKUP($D59,PO_Enrgy_1_Table,MATCH($C$16,PO_Enrgy_1_Hdr,0),FALSE)),"")</f>
        <v/>
      </c>
      <c r="I59" s="1617" t="str">
        <f>IFERROR(VLOOKUP($D59,PO_Enrgy_1_Table,MATCH($K$16,PO_Enrgy_1_Hdr,0),FALSE)*$G59,"")</f>
        <v/>
      </c>
      <c r="J59" s="2761" t="str">
        <f>IFERROR(VLOOKUP($D59,PO_Enrgy_1_Table,MATCH($M$16,PO_Enrgy_1_Hdr,0),FALSE)*$G59,"")</f>
        <v/>
      </c>
      <c r="K59" s="2762"/>
      <c r="L59" s="2763" t="str">
        <f>IFERROR($G59*IF($F59="Subtract from Proposed",VLOOKUP($D59,PO_Enrgy_8_Table,MATCH($H$232,PO_Enrgy_8_Hdr,0),FALSE),VLOOKUP($D59,PO_Enrgy_8_Table,MATCH($E$232,PO_Enrgy_8_Hdr,0),FALSE)),"")</f>
        <v/>
      </c>
      <c r="M59" s="2400"/>
      <c r="Q59" s="1302" t="str">
        <f>IFERROR(IF(ISBLANK($D59),"",VLOOKUP($D59,PO_Enrgy_1_Table,MATCH($K$16,PO_Enrgy_1_Hdr,0),FALSE)),"")</f>
        <v/>
      </c>
      <c r="R59" s="1302" t="str">
        <f>IFERROR(IF(ISBLANK($D59),"",VLOOKUP($D59,PO_Enrgy_1_Table,MATCH($M$16,PO_Enrgy_1_Hdr,0),FALSE)),"")</f>
        <v/>
      </c>
      <c r="T59" s="1303" t="str">
        <f>IFERROR($G59*IF($F59="Subtract from Proposed",VLOOKUP($D59,PO_Enrgy_8_Table,MATCH($H$232,PO_Enrgy_8_Hdr,0),FALSE),VLOOKUP($D59,PO_Enrgy_8_Table,MATCH($E$232,PO_Enrgy_8_Hdr,0),FALSE)),"")</f>
        <v/>
      </c>
      <c r="U59" s="1301">
        <f>IFERROR(1-$J59/$T59,0)</f>
        <v>0</v>
      </c>
      <c r="AB59" s="1058" t="s">
        <v>1047</v>
      </c>
      <c r="AC59" s="1059"/>
      <c r="AR59" s="1060"/>
      <c r="AS59" s="1061"/>
      <c r="AT59" s="1061"/>
      <c r="AU59" s="1061"/>
      <c r="AV59" s="1062"/>
      <c r="AW59" s="1061"/>
      <c r="AX59" s="1061"/>
      <c r="AY59" s="1061"/>
      <c r="AZ59" s="1056"/>
      <c r="BC59" s="1907"/>
    </row>
    <row r="60" spans="1:55" s="1041" customFormat="1" ht="15" customHeight="1" x14ac:dyDescent="0.3">
      <c r="A60" s="1057"/>
      <c r="B60" s="1618">
        <v>3</v>
      </c>
      <c r="C60" s="1618"/>
      <c r="D60" s="2786"/>
      <c r="E60" s="2787"/>
      <c r="F60" s="1619"/>
      <c r="G60" s="1620"/>
      <c r="H60" s="1621" t="str">
        <f>IFERROR(IF(ISBLANK($D60),"",VLOOKUP($D60,PO_Enrgy_1_Table,MATCH($C$16,PO_Enrgy_1_Hdr,0),FALSE)),"")</f>
        <v/>
      </c>
      <c r="I60" s="1622" t="str">
        <f>IFERROR(VLOOKUP($D60,PO_Enrgy_1_Table,MATCH($K$16,PO_Enrgy_1_Hdr,0),FALSE)*$G60,"")</f>
        <v/>
      </c>
      <c r="J60" s="2774" t="str">
        <f>IFERROR(VLOOKUP($D60,PO_Enrgy_1_Table,MATCH($M$16,PO_Enrgy_1_Hdr,0),FALSE)*$G60,"")</f>
        <v/>
      </c>
      <c r="K60" s="2775"/>
      <c r="L60" s="2784" t="str">
        <f>IFERROR($G60*IF($F60="Subtract from Proposed",VLOOKUP($D60,PO_Enrgy_8_Table,MATCH($H$232,PO_Enrgy_8_Hdr,0),FALSE),VLOOKUP($D60,PO_Enrgy_8_Table,MATCH($E$232,PO_Enrgy_8_Hdr,0),FALSE)),"")</f>
        <v/>
      </c>
      <c r="M60" s="2785"/>
      <c r="Q60" s="1302" t="str">
        <f>IFERROR(IF(ISBLANK($D60),"",VLOOKUP($D60,PO_Enrgy_1_Table,MATCH($K$16,PO_Enrgy_1_Hdr,0),FALSE)),"")</f>
        <v/>
      </c>
      <c r="R60" s="1302" t="str">
        <f>IFERROR(IF(ISBLANK($D60),"",VLOOKUP($D60,PO_Enrgy_1_Table,MATCH($M$16,PO_Enrgy_1_Hdr,0),FALSE)),"")</f>
        <v/>
      </c>
      <c r="T60" s="1303" t="str">
        <f>IFERROR($G60*IF($F60="Subtract from Proposed",VLOOKUP($D60,PO_Enrgy_8_Table,MATCH($H$232,PO_Enrgy_8_Hdr,0),FALSE),VLOOKUP($D60,PO_Enrgy_8_Table,MATCH($E$232,PO_Enrgy_8_Hdr,0),FALSE)),"")</f>
        <v/>
      </c>
      <c r="U60" s="1301">
        <f>IFERROR(1-$J60/$T60,0)</f>
        <v>0</v>
      </c>
      <c r="AB60" s="1058" t="s">
        <v>1047</v>
      </c>
      <c r="AC60" s="1059"/>
      <c r="AR60" s="1060"/>
      <c r="AS60" s="1061"/>
      <c r="AT60" s="1061"/>
      <c r="AU60" s="1061"/>
      <c r="AV60" s="1062"/>
      <c r="AW60" s="1061"/>
      <c r="AX60" s="1061"/>
      <c r="AY60" s="1061"/>
      <c r="AZ60" s="1056"/>
      <c r="BC60" s="1907"/>
    </row>
    <row r="61" spans="1:55" s="528" customFormat="1" ht="21" customHeight="1" x14ac:dyDescent="0.3">
      <c r="A61" s="1063"/>
      <c r="B61" s="2778" t="s">
        <v>1274</v>
      </c>
      <c r="C61" s="2779"/>
      <c r="D61" s="2779"/>
      <c r="E61" s="2779"/>
      <c r="F61" s="1631"/>
      <c r="G61" s="1632"/>
      <c r="H61" s="1633"/>
      <c r="I61" s="1632"/>
      <c r="J61" s="1634"/>
      <c r="K61" s="1634"/>
      <c r="L61" s="1635"/>
      <c r="M61" s="1636"/>
      <c r="AI61" s="542"/>
      <c r="AJ61" s="1064"/>
      <c r="AK61" s="1064"/>
      <c r="AL61" s="1064"/>
      <c r="AM61" s="525"/>
      <c r="AN61" s="1065"/>
      <c r="AO61" s="1065"/>
      <c r="AP61" s="1066"/>
      <c r="AQ61" s="15"/>
      <c r="AR61" s="15"/>
      <c r="AS61" s="15"/>
      <c r="AT61" s="15"/>
      <c r="AU61" s="15"/>
      <c r="AV61" s="15"/>
      <c r="AW61" s="15"/>
      <c r="AX61" s="15"/>
      <c r="AY61" s="15"/>
      <c r="AZ61" s="15"/>
    </row>
    <row r="62" spans="1:55" s="1041" customFormat="1" ht="21.75" hidden="1" customHeight="1" x14ac:dyDescent="0.3">
      <c r="A62" s="1057"/>
      <c r="B62" s="1623" t="s">
        <v>1765</v>
      </c>
      <c r="C62" s="1624"/>
      <c r="D62" s="1624"/>
      <c r="E62" s="1624"/>
      <c r="F62" s="1625"/>
      <c r="G62" s="1626" t="s">
        <v>1782</v>
      </c>
      <c r="H62" s="1627" t="s">
        <v>1783</v>
      </c>
      <c r="I62" s="1628" t="s">
        <v>1784</v>
      </c>
      <c r="J62" s="1629" t="s">
        <v>1785</v>
      </c>
      <c r="K62" s="1626"/>
      <c r="L62" s="1630" t="s">
        <v>446</v>
      </c>
      <c r="M62" s="1625"/>
      <c r="Q62" s="1042" t="s">
        <v>1776</v>
      </c>
      <c r="R62" s="1042" t="s">
        <v>1777</v>
      </c>
      <c r="AI62" s="1056"/>
      <c r="AJ62" s="1056"/>
      <c r="AK62" s="1056"/>
      <c r="AL62" s="1056"/>
      <c r="AM62" s="1056"/>
      <c r="AN62" s="1056"/>
      <c r="AO62" s="1056"/>
      <c r="AP62" s="1056"/>
      <c r="AQ62" s="1056"/>
      <c r="AR62" s="1067"/>
      <c r="AS62" s="1067"/>
      <c r="AT62" s="1067"/>
      <c r="AU62" s="1067"/>
      <c r="AV62" s="1056"/>
      <c r="AW62" s="1067"/>
      <c r="AX62" s="1067"/>
      <c r="AY62" s="1067"/>
      <c r="AZ62" s="1056"/>
    </row>
    <row r="63" spans="1:55" ht="15" customHeight="1" x14ac:dyDescent="0.3">
      <c r="A63" s="1036"/>
      <c r="B63" s="2780" t="str">
        <f>IFERROR(IF(ISBLANK(B17),"",B17),"")</f>
        <v>Electricity</v>
      </c>
      <c r="C63" s="2780"/>
      <c r="D63" s="2780"/>
      <c r="E63" s="2780"/>
      <c r="F63" s="2781"/>
      <c r="G63" s="1417">
        <f>IFERROR(IF(PO_ShowExCalc=TRUE,SUMIFS(INDEX(PO_ExCalc_Table,0,MATCH($G$56,PO_ExCalc_Hdr,0)),INDEX(PO_ExCalc_Table,0,MATCH($D$56,PO_ExCalc_Hdr,0)),$B63,INDEX(PO_ExCalc_Table,0,MATCH($F$56,PO_ExCalc_Hdr,0)),"Add to Baseline"),""),"")</f>
        <v>0</v>
      </c>
      <c r="H63" s="1616" t="str">
        <f>IFERROR(IF(ISBLANK($B63),"",VLOOKUP($B63,PO_Enrgy_1_Table,MATCH($C$16,PO_Enrgy_1_Hdr,0),FALSE)),"")</f>
        <v>kWh</v>
      </c>
      <c r="I63" s="1417">
        <f>IFERROR($G63*$Q63,"")</f>
        <v>0</v>
      </c>
      <c r="J63" s="2761">
        <f>IFERROR($G63*$R63,"")</f>
        <v>0</v>
      </c>
      <c r="K63" s="2762">
        <f t="shared" ref="K63:K65" si="1">IFERROR($G63*$Q63,"")</f>
        <v>0</v>
      </c>
      <c r="L63" s="2782">
        <f>IFERROR(IF(PO_ShowExCalc=TRUE,SUMIFS(INDEX(PO_ExCalc_Table,0,MATCH($L$56,PO_ExCalc_Hdr,0)),INDEX(PO_ExCalc_Table,0,MATCH($D$56,PO_ExCalc_Hdr,0)),$B63,INDEX(PO_ExCalc_Table,0,MATCH($F$56,PO_ExCalc_Hdr,0)),"Add to Baseline"),""),"")</f>
        <v>0</v>
      </c>
      <c r="M63" s="2783">
        <f>IFERROR(IF(PO_ShowExCalc=TRUE,SUMIFS(M$57:M$60,$D$57:$D$60,$B63,$F$57:$F$60,"Add to Baseline"),""),"")</f>
        <v>0</v>
      </c>
      <c r="N63" s="1068"/>
      <c r="Q63" s="1296">
        <f>IFERROR(IF(ISBLANK($B63),"",VLOOKUP($B63,PO_Enrgy_1_Table,MATCH($K$16,PO_Enrgy_1_Hdr,0),FALSE)),"")</f>
        <v>9.999999999999998E-4</v>
      </c>
      <c r="R63" s="1296">
        <f>IFERROR(IF(ISBLANK($B63),"",VLOOKUP($B63,PO_Enrgy_1_Table,MATCH($M$16,PO_Enrgy_1_Hdr,0),FALSE)),"")</f>
        <v>3.1399999999999996E-3</v>
      </c>
      <c r="AC63" s="546"/>
      <c r="AI63" s="1066"/>
      <c r="AJ63" s="575"/>
      <c r="AK63" s="1064"/>
      <c r="AL63" s="1069"/>
      <c r="AM63" s="15"/>
      <c r="AN63" s="15"/>
      <c r="AO63" s="15"/>
      <c r="AP63" s="1070"/>
      <c r="AQ63" s="1071"/>
      <c r="AR63" s="1069"/>
      <c r="AS63" s="1072"/>
      <c r="AT63" s="1073"/>
      <c r="AU63" s="15"/>
      <c r="AV63" s="15"/>
      <c r="AW63" s="15"/>
      <c r="AX63" s="15"/>
      <c r="AY63" s="15"/>
      <c r="AZ63" s="15"/>
      <c r="BC63" s="1906"/>
    </row>
    <row r="64" spans="1:55" ht="15" customHeight="1" x14ac:dyDescent="0.3">
      <c r="A64" s="1036"/>
      <c r="B64" s="2772" t="str">
        <f>IFERROR(IF(ISBLANK(B18),"",B18),"")</f>
        <v>Natural Gas</v>
      </c>
      <c r="C64" s="2772"/>
      <c r="D64" s="2772"/>
      <c r="E64" s="2772"/>
      <c r="F64" s="2773"/>
      <c r="G64" s="1637">
        <f>IFERROR(IF(PO_ShowExCalc=TRUE,SUMIFS(INDEX(PO_ExCalc_Table,0,MATCH($G$56,PO_ExCalc_Hdr,0)),INDEX(PO_ExCalc_Table,0,MATCH($D$56,PO_ExCalc_Hdr,0)),$B64,INDEX(PO_ExCalc_Table,0,MATCH($F$56,PO_ExCalc_Hdr,0)),"Add to Baseline"),""),"")</f>
        <v>0</v>
      </c>
      <c r="H64" s="1621" t="str">
        <f>IFERROR(IF(ISBLANK($B64),"",VLOOKUP($B64,PO_Enrgy_1_Table,MATCH($C$16,PO_Enrgy_1_Hdr,0),FALSE)),"")</f>
        <v>therm</v>
      </c>
      <c r="I64" s="1637">
        <f>IFERROR($G64*$Q64,"")</f>
        <v>0</v>
      </c>
      <c r="J64" s="2774">
        <f>IFERROR($G64*$R64,"")</f>
        <v>0</v>
      </c>
      <c r="K64" s="2775">
        <f t="shared" si="1"/>
        <v>0</v>
      </c>
      <c r="L64" s="2776">
        <f>IFERROR(IF(PO_ShowExCalc=TRUE,SUMIFS(INDEX(PO_ExCalc_Table,0,MATCH($L$56,PO_ExCalc_Hdr,0)),INDEX(PO_ExCalc_Table,0,MATCH($D$56,PO_ExCalc_Hdr,0)),$B64,INDEX(PO_ExCalc_Table,0,MATCH($F$56,PO_ExCalc_Hdr,0)),"Add to Baseline"),""),"")</f>
        <v>0</v>
      </c>
      <c r="M64" s="2777">
        <f>IFERROR(IF(PO_ShowExCalc=TRUE,SUMIFS(M$57:M$60,$D$57:$D$60,$B64,$F$57:$F$60,"Add to Baseline"),""),"")</f>
        <v>0</v>
      </c>
      <c r="Q64" s="1296">
        <f>IFERROR(IF(ISBLANK($B64),"",VLOOKUP($B64,PO_Enrgy_1_Table,MATCH($K$16,PO_Enrgy_1_Hdr,0),FALSE)),"")</f>
        <v>2.9308323563892142E-2</v>
      </c>
      <c r="R64" s="1296">
        <f>IFERROR(IF(ISBLANK($B64),"",VLOOKUP($B64,PO_Enrgy_1_Table,MATCH($M$16,PO_Enrgy_1_Hdr,0),FALSE)),"")</f>
        <v>3.0773739742086751E-2</v>
      </c>
      <c r="AC64" s="546"/>
      <c r="AI64" s="1066"/>
      <c r="AJ64" s="575"/>
      <c r="AK64" s="1064"/>
      <c r="AL64" s="1069"/>
      <c r="AM64" s="15"/>
      <c r="AN64" s="15"/>
      <c r="AO64" s="15"/>
      <c r="AP64" s="1070"/>
      <c r="AQ64" s="1071"/>
      <c r="AR64" s="1069"/>
      <c r="AS64" s="1072"/>
      <c r="AT64" s="1073"/>
      <c r="AU64" s="15"/>
      <c r="AV64" s="15"/>
      <c r="AW64" s="15"/>
      <c r="AX64" s="15"/>
      <c r="AY64" s="15"/>
      <c r="AZ64" s="15"/>
      <c r="BC64" s="1906"/>
    </row>
    <row r="65" spans="1:60" ht="15" customHeight="1" x14ac:dyDescent="0.3">
      <c r="A65" s="1036"/>
      <c r="B65" s="2772" t="str">
        <f>IFERROR(IF(ISBLANK(B19),"",B19),"")</f>
        <v>District Cooling</v>
      </c>
      <c r="C65" s="2772"/>
      <c r="D65" s="2772"/>
      <c r="E65" s="2772"/>
      <c r="F65" s="2773"/>
      <c r="G65" s="1637">
        <f>IFERROR(IF(PO_ShowExCalc=TRUE,SUMIFS(INDEX(PO_ExCalc_Table,0,MATCH($G$56,PO_ExCalc_Hdr,0)),INDEX(PO_ExCalc_Table,0,MATCH($D$56,PO_ExCalc_Hdr,0)),$B65,INDEX(PO_ExCalc_Table,0,MATCH($F$56,PO_ExCalc_Hdr,0)),"Add to Baseline"),""),"")</f>
        <v>0</v>
      </c>
      <c r="H65" s="1621" t="str">
        <f>IFERROR(IF(ISBLANK($B65),"",VLOOKUP($B65,PO_Enrgy_1_Table,MATCH($C$16,PO_Enrgy_1_Hdr,0),FALSE)),"")</f>
        <v>MWh</v>
      </c>
      <c r="I65" s="1637">
        <f>IFERROR($G65*$Q65,"")</f>
        <v>0</v>
      </c>
      <c r="J65" s="2774">
        <f>IFERROR($G65*$R65,"")</f>
        <v>0</v>
      </c>
      <c r="K65" s="2775">
        <f t="shared" si="1"/>
        <v>0</v>
      </c>
      <c r="L65" s="2776">
        <f>IFERROR(IF(PO_ShowExCalc=TRUE,SUMIFS(INDEX(PO_ExCalc_Table,0,MATCH($L$56,PO_ExCalc_Hdr,0)),INDEX(PO_ExCalc_Table,0,MATCH($D$56,PO_ExCalc_Hdr,0)),$B65,INDEX(PO_ExCalc_Table,0,MATCH($F$56,PO_ExCalc_Hdr,0)),"Add to Baseline"),""),"")</f>
        <v>0</v>
      </c>
      <c r="M65" s="2777">
        <f>IFERROR(IF(PO_ShowExCalc=TRUE,SUMIFS(M$57:M$60,$D$57:$D$60,$B65,$F$57:$F$60,"Add to Baseline"),""),"")</f>
        <v>0</v>
      </c>
      <c r="Q65" s="1296">
        <f>IFERROR(IF(ISBLANK($B65),"",VLOOKUP($B65,PO_Enrgy_1_Table,MATCH($K$16,PO_Enrgy_1_Hdr,0),FALSE)),"")</f>
        <v>0.99999999999999989</v>
      </c>
      <c r="R65" s="1296">
        <f>IFERROR(IF(ISBLANK($B65),"",VLOOKUP($B65,PO_Enrgy_1_Table,MATCH($M$16,PO_Enrgy_1_Hdr,0),FALSE)),"")</f>
        <v>0.99999999999999989</v>
      </c>
      <c r="AC65" s="546"/>
      <c r="AI65" s="1066"/>
      <c r="AJ65" s="575"/>
      <c r="AK65" s="1064"/>
      <c r="AL65" s="1069"/>
      <c r="AM65" s="15"/>
      <c r="AN65" s="15"/>
      <c r="AO65" s="15"/>
      <c r="AP65" s="1070"/>
      <c r="AQ65" s="1071"/>
      <c r="AR65" s="1069"/>
      <c r="AS65" s="1072"/>
      <c r="AT65" s="1073"/>
      <c r="AU65" s="15"/>
      <c r="AV65" s="15"/>
      <c r="AW65" s="15"/>
      <c r="AX65" s="15"/>
      <c r="AY65" s="15"/>
      <c r="AZ65" s="15"/>
      <c r="BC65" s="1906"/>
    </row>
    <row r="66" spans="1:60" s="528" customFormat="1" ht="21" customHeight="1" x14ac:dyDescent="0.3">
      <c r="A66" s="1063"/>
      <c r="B66" s="2778" t="s">
        <v>1275</v>
      </c>
      <c r="C66" s="2779"/>
      <c r="D66" s="2779"/>
      <c r="E66" s="2779"/>
      <c r="F66" s="1631"/>
      <c r="G66" s="1632"/>
      <c r="H66" s="1633"/>
      <c r="I66" s="1632"/>
      <c r="J66" s="1634"/>
      <c r="K66" s="1634"/>
      <c r="L66" s="1635"/>
      <c r="M66" s="1636"/>
      <c r="AI66" s="542"/>
      <c r="AJ66" s="1064"/>
      <c r="AK66" s="1064"/>
      <c r="AL66" s="1064"/>
      <c r="AM66" s="525"/>
      <c r="AN66" s="1065"/>
      <c r="AO66" s="1065"/>
      <c r="AP66" s="1066"/>
      <c r="AQ66" s="15"/>
      <c r="AR66" s="15"/>
      <c r="AS66" s="15"/>
      <c r="AT66" s="15"/>
      <c r="AU66" s="15"/>
      <c r="AV66" s="15"/>
      <c r="AW66" s="15"/>
      <c r="AX66" s="15"/>
      <c r="AY66" s="15"/>
      <c r="AZ66" s="15"/>
    </row>
    <row r="67" spans="1:60" s="1041" customFormat="1" ht="21.75" hidden="1" customHeight="1" x14ac:dyDescent="0.3">
      <c r="A67" s="1057"/>
      <c r="B67" s="1623" t="s">
        <v>1765</v>
      </c>
      <c r="C67" s="1624"/>
      <c r="D67" s="1624"/>
      <c r="E67" s="1624"/>
      <c r="F67" s="1625"/>
      <c r="G67" s="1626" t="s">
        <v>1782</v>
      </c>
      <c r="H67" s="1627" t="s">
        <v>1783</v>
      </c>
      <c r="I67" s="1628" t="s">
        <v>1784</v>
      </c>
      <c r="J67" s="1629" t="s">
        <v>1785</v>
      </c>
      <c r="K67" s="1626"/>
      <c r="L67" s="1630" t="s">
        <v>446</v>
      </c>
      <c r="M67" s="1625"/>
      <c r="Q67" s="1042" t="s">
        <v>1776</v>
      </c>
      <c r="R67" s="1042" t="s">
        <v>1777</v>
      </c>
      <c r="AI67" s="1056"/>
      <c r="AJ67" s="1056"/>
      <c r="AK67" s="1056"/>
      <c r="AL67" s="1056"/>
      <c r="AM67" s="1056"/>
      <c r="AN67" s="1056"/>
      <c r="AO67" s="1056"/>
      <c r="AP67" s="1056"/>
      <c r="AQ67" s="1056"/>
      <c r="AR67" s="1067"/>
      <c r="AS67" s="1067"/>
      <c r="AT67" s="1067"/>
      <c r="AU67" s="1067"/>
      <c r="AV67" s="1056"/>
      <c r="AW67" s="1067"/>
      <c r="AX67" s="1067"/>
      <c r="AY67" s="1067"/>
      <c r="AZ67" s="1056"/>
    </row>
    <row r="68" spans="1:60" ht="15" customHeight="1" x14ac:dyDescent="0.3">
      <c r="A68" s="1036"/>
      <c r="B68" s="2780" t="str">
        <f>IFERROR(IF(ISBLANK(B17),"",B17),"")</f>
        <v>Electricity</v>
      </c>
      <c r="C68" s="2780"/>
      <c r="D68" s="2780"/>
      <c r="E68" s="2780"/>
      <c r="F68" s="2781"/>
      <c r="G68" s="1417">
        <f>IFERROR(IF(PO_ShowExCalc=TRUE,SUMIFS(INDEX(PO_ExCalc_Table,0,MATCH($G$56,PO_ExCalc_Hdr,0)),INDEX(PO_ExCalc_Table,0,MATCH($D$56,PO_ExCalc_Hdr,0)),$B68,INDEX(PO_ExCalc_Table,0,MATCH($F$56,PO_ExCalc_Hdr,0)),"Subtract from Proposed"),""),"")</f>
        <v>0</v>
      </c>
      <c r="H68" s="1616" t="str">
        <f>IFERROR(IF(ISBLANK($B68),"",VLOOKUP($B68,PO_Enrgy_1_Table,MATCH($C$16,PO_Enrgy_1_Hdr,0),FALSE)),"")</f>
        <v>kWh</v>
      </c>
      <c r="I68" s="1417">
        <f>IFERROR($G68*$Q68,"")</f>
        <v>0</v>
      </c>
      <c r="J68" s="2761">
        <f>IFERROR($G68*$R68,"")</f>
        <v>0</v>
      </c>
      <c r="K68" s="2762">
        <f t="shared" ref="K68:K70" si="2">IFERROR($G68*$Q68,"")</f>
        <v>0</v>
      </c>
      <c r="L68" s="2782">
        <f>IFERROR(IF(PO_ShowExCalc=TRUE,SUMIFS(INDEX(PO_ExCalc_Table,0,MATCH($L$56,PO_ExCalc_Hdr,0)),INDEX(PO_ExCalc_Table,0,MATCH($D$56,PO_ExCalc_Hdr,0)),$B68,INDEX(PO_ExCalc_Table,0,MATCH($F$56,PO_ExCalc_Hdr,0)),"Subtract from Proposed"),""),"")</f>
        <v>0</v>
      </c>
      <c r="M68" s="2783">
        <f>IFERROR(IF(PO_ShowExCalc=TRUE,SUMIFS(M$57:M$60,$D$57:$D$60,$B68,$F$57:$F$60,"Add to Baseline"),""),"")</f>
        <v>0</v>
      </c>
      <c r="Q68" s="1296">
        <f>IFERROR(IF(ISBLANK($B68),"",VLOOKUP($B68,PO_Enrgy_1_Table,MATCH($K$16,PO_Enrgy_1_Hdr,0),FALSE)),"")</f>
        <v>9.999999999999998E-4</v>
      </c>
      <c r="R68" s="1296">
        <f>IFERROR(IF(ISBLANK($B68),"",VLOOKUP($B68,PO_Enrgy_1_Table,MATCH($M$16,PO_Enrgy_1_Hdr,0),FALSE)),"")</f>
        <v>3.1399999999999996E-3</v>
      </c>
      <c r="AC68" s="546"/>
      <c r="AI68" s="1066"/>
      <c r="AJ68" s="575"/>
      <c r="AK68" s="1064"/>
      <c r="AL68" s="1069"/>
      <c r="AM68" s="15"/>
      <c r="AN68" s="15"/>
      <c r="AO68" s="15"/>
      <c r="AP68" s="1070"/>
      <c r="AQ68" s="1071"/>
      <c r="AR68" s="1069"/>
      <c r="AS68" s="1072"/>
      <c r="AT68" s="1073"/>
      <c r="AU68" s="15"/>
      <c r="AV68" s="15"/>
      <c r="AW68" s="15"/>
      <c r="AX68" s="15"/>
      <c r="AY68" s="15"/>
      <c r="AZ68" s="15"/>
      <c r="BC68" s="1906"/>
    </row>
    <row r="69" spans="1:60" ht="15" customHeight="1" x14ac:dyDescent="0.3">
      <c r="A69" s="1036"/>
      <c r="B69" s="2772" t="str">
        <f>IFERROR(IF(ISBLANK(B18),"",B18),"")</f>
        <v>Natural Gas</v>
      </c>
      <c r="C69" s="2772"/>
      <c r="D69" s="2772"/>
      <c r="E69" s="2772"/>
      <c r="F69" s="2773"/>
      <c r="G69" s="1637">
        <f>IFERROR(IF(PO_ShowExCalc=TRUE,SUMIFS(INDEX(PO_ExCalc_Table,0,MATCH($G$56,PO_ExCalc_Hdr,0)),INDEX(PO_ExCalc_Table,0,MATCH($D$56,PO_ExCalc_Hdr,0)),$B69,INDEX(PO_ExCalc_Table,0,MATCH($F$56,PO_ExCalc_Hdr,0)),"Subtract from Proposed"),""),"")</f>
        <v>0</v>
      </c>
      <c r="H69" s="1621" t="str">
        <f>IFERROR(IF(ISBLANK($B69),"",VLOOKUP($B69,PO_Enrgy_1_Table,MATCH($C$16,PO_Enrgy_1_Hdr,0),FALSE)),"")</f>
        <v>therm</v>
      </c>
      <c r="I69" s="1417">
        <f>IFERROR($G69*$Q69,"")</f>
        <v>0</v>
      </c>
      <c r="J69" s="2761">
        <f>IFERROR($G69*$R69,"")</f>
        <v>0</v>
      </c>
      <c r="K69" s="2762">
        <f t="shared" si="2"/>
        <v>0</v>
      </c>
      <c r="L69" s="2782">
        <f>IFERROR(IF(PO_ShowExCalc=TRUE,SUMIFS(INDEX(PO_ExCalc_Table,0,MATCH($L$56,PO_ExCalc_Hdr,0)),INDEX(PO_ExCalc_Table,0,MATCH($D$56,PO_ExCalc_Hdr,0)),$B69,INDEX(PO_ExCalc_Table,0,MATCH($F$56,PO_ExCalc_Hdr,0)),"Subtract from Proposed"),""),"")</f>
        <v>0</v>
      </c>
      <c r="M69" s="2783">
        <f>IFERROR(IF(PO_ShowExCalc=TRUE,SUMIFS(M$57:M$60,$D$57:$D$60,$B69,$F$57:$F$60,"Add to Baseline"),""),"")</f>
        <v>0</v>
      </c>
      <c r="Q69" s="1296">
        <f>IFERROR(IF(ISBLANK($B69),"",VLOOKUP($B69,PO_Enrgy_1_Table,MATCH($K$16,PO_Enrgy_1_Hdr,0),FALSE)),"")</f>
        <v>2.9308323563892142E-2</v>
      </c>
      <c r="R69" s="1296">
        <f>IFERROR(IF(ISBLANK($B69),"",VLOOKUP($B69,PO_Enrgy_1_Table,MATCH($M$16,PO_Enrgy_1_Hdr,0),FALSE)),"")</f>
        <v>3.0773739742086751E-2</v>
      </c>
      <c r="AC69" s="546"/>
      <c r="AI69" s="1066"/>
      <c r="AJ69" s="575"/>
      <c r="AK69" s="1064"/>
      <c r="AL69" s="1069"/>
      <c r="AM69" s="15"/>
      <c r="AN69" s="15"/>
      <c r="AO69" s="15"/>
      <c r="AP69" s="1070"/>
      <c r="AQ69" s="1071"/>
      <c r="AR69" s="1069"/>
      <c r="AS69" s="1072"/>
      <c r="AT69" s="1073"/>
      <c r="AU69" s="15"/>
      <c r="AV69" s="15"/>
      <c r="AW69" s="15"/>
      <c r="AX69" s="15"/>
      <c r="AY69" s="15"/>
      <c r="AZ69" s="15"/>
      <c r="BC69" s="1906"/>
    </row>
    <row r="70" spans="1:60" ht="15" customHeight="1" x14ac:dyDescent="0.3">
      <c r="A70" s="1036"/>
      <c r="B70" s="2772" t="str">
        <f>IFERROR(IF(ISBLANK(B19),"",B19),"")</f>
        <v>District Cooling</v>
      </c>
      <c r="C70" s="2772"/>
      <c r="D70" s="2772"/>
      <c r="E70" s="2772"/>
      <c r="F70" s="2773"/>
      <c r="G70" s="1637">
        <f>IFERROR(IF(PO_ShowExCalc=TRUE,SUMIFS(INDEX(PO_ExCalc_Table,0,MATCH($G$56,PO_ExCalc_Hdr,0)),INDEX(PO_ExCalc_Table,0,MATCH($D$56,PO_ExCalc_Hdr,0)),$B70,INDEX(PO_ExCalc_Table,0,MATCH($F$56,PO_ExCalc_Hdr,0)),"Subtract from Proposed"),""),"")</f>
        <v>0</v>
      </c>
      <c r="H70" s="1621" t="str">
        <f>IFERROR(IF(ISBLANK($B70),"",VLOOKUP($B70,PO_Enrgy_1_Table,MATCH($C$16,PO_Enrgy_1_Hdr,0),FALSE)),"")</f>
        <v>MWh</v>
      </c>
      <c r="I70" s="1417">
        <f>IFERROR($G70*$Q70,"")</f>
        <v>0</v>
      </c>
      <c r="J70" s="2761">
        <f>IFERROR($G70*$R70,"")</f>
        <v>0</v>
      </c>
      <c r="K70" s="2762">
        <f t="shared" si="2"/>
        <v>0</v>
      </c>
      <c r="L70" s="2782">
        <f>IFERROR(IF(PO_ShowExCalc=TRUE,SUMIFS(INDEX(PO_ExCalc_Table,0,MATCH($L$56,PO_ExCalc_Hdr,0)),INDEX(PO_ExCalc_Table,0,MATCH($D$56,PO_ExCalc_Hdr,0)),$B70,INDEX(PO_ExCalc_Table,0,MATCH($F$56,PO_ExCalc_Hdr,0)),"Subtract from Proposed"),""),"")</f>
        <v>0</v>
      </c>
      <c r="M70" s="2783">
        <f>IFERROR(IF(PO_ShowExCalc=TRUE,SUMIFS(M$57:M$60,$D$57:$D$60,$B70,$F$57:$F$60,"Add to Baseline"),""),"")</f>
        <v>0</v>
      </c>
      <c r="Q70" s="1296">
        <f>IFERROR(IF(ISBLANK($B70),"",VLOOKUP($B70,PO_Enrgy_1_Table,MATCH($K$16,PO_Enrgy_1_Hdr,0),FALSE)),"")</f>
        <v>0.99999999999999989</v>
      </c>
      <c r="R70" s="1296">
        <f>IFERROR(IF(ISBLANK($B70),"",VLOOKUP($B70,PO_Enrgy_1_Table,MATCH($M$16,PO_Enrgy_1_Hdr,0),FALSE)),"")</f>
        <v>0.99999999999999989</v>
      </c>
      <c r="AC70" s="546"/>
      <c r="AI70" s="1066"/>
      <c r="AJ70" s="575"/>
      <c r="AK70" s="1064"/>
      <c r="AL70" s="1069"/>
      <c r="AM70" s="15"/>
      <c r="AN70" s="15"/>
      <c r="AO70" s="15"/>
      <c r="AP70" s="1070"/>
      <c r="AQ70" s="1071"/>
      <c r="AR70" s="1069"/>
      <c r="AS70" s="1072"/>
      <c r="AT70" s="1073"/>
      <c r="AU70" s="15"/>
      <c r="AV70" s="15"/>
      <c r="AW70" s="15"/>
      <c r="AX70" s="15"/>
      <c r="AY70" s="15"/>
      <c r="AZ70" s="15"/>
      <c r="BC70" s="1906"/>
    </row>
    <row r="71" spans="1:60" ht="21" customHeight="1" x14ac:dyDescent="0.3">
      <c r="A71" s="1036"/>
      <c r="B71" s="2792" t="s">
        <v>1790</v>
      </c>
      <c r="C71" s="2779"/>
      <c r="D71" s="2779"/>
      <c r="E71" s="2779"/>
      <c r="F71" s="2779"/>
      <c r="G71" s="1639"/>
      <c r="H71" s="1640"/>
      <c r="I71" s="1638">
        <f>IFERROR(SUM(INDEX(PO_Enrgy_3_Table,0,MATCH($I62,PO_Enrgy_3_Hdr,0)),INDEX(PO_Enrgy_4_Table,0,MATCH($I67,PO_Enrgy_4_Hdr,0))),"")</f>
        <v>0</v>
      </c>
      <c r="J71" s="2761">
        <f>IFERROR(SUM(INDEX(PO_Enrgy_3_Table,0,MATCH($J62,PO_Enrgy_3_Hdr,0)),INDEX(PO_Enrgy_4_Table,0,MATCH($J67,PO_Enrgy_4_Hdr,0))),"")</f>
        <v>0</v>
      </c>
      <c r="K71" s="2762">
        <f>IFERROR(SUM(K$35:K$69),0)</f>
        <v>0</v>
      </c>
      <c r="L71" s="2793">
        <f>IFERROR(SUM(INDEX(PO_Enrgy_3_Table,0,MATCH($L62,PO_Enrgy_3_Hdr,0)),INDEX(PO_Enrgy_4_Table,0,MATCH($L67,PO_Enrgy_4_Hdr,0))),"")</f>
        <v>0</v>
      </c>
      <c r="M71" s="2793">
        <f>IFERROR(SUM(M$35:M$69),0)</f>
        <v>0</v>
      </c>
      <c r="AI71" s="525"/>
      <c r="AJ71" s="1074"/>
      <c r="AK71" s="1074"/>
      <c r="AL71" s="1074"/>
      <c r="AM71" s="1074"/>
      <c r="AN71" s="15"/>
      <c r="AO71" s="15"/>
      <c r="AP71" s="1070"/>
      <c r="AQ71" s="1071"/>
      <c r="AR71" s="1069"/>
      <c r="AS71" s="1072"/>
      <c r="AT71" s="1073"/>
      <c r="AU71" s="15"/>
      <c r="AV71" s="15"/>
      <c r="AW71" s="15"/>
      <c r="AX71" s="15"/>
      <c r="AY71" s="15"/>
      <c r="AZ71" s="15"/>
      <c r="BC71" s="1906"/>
    </row>
    <row r="72" spans="1:60" s="528" customFormat="1" ht="53.25" customHeight="1" x14ac:dyDescent="0.3">
      <c r="A72" s="1063" t="s">
        <v>1299</v>
      </c>
      <c r="C72" s="532"/>
      <c r="D72" s="532"/>
      <c r="E72" s="532"/>
      <c r="F72" s="532"/>
      <c r="G72" s="532"/>
      <c r="H72" s="532"/>
      <c r="I72" s="565"/>
      <c r="J72" s="565"/>
      <c r="K72" s="531"/>
      <c r="L72" s="531"/>
      <c r="M72" s="531"/>
      <c r="N72" s="565"/>
      <c r="AJ72" s="532"/>
      <c r="AK72" s="532"/>
      <c r="AL72" s="532"/>
      <c r="AM72" s="532"/>
      <c r="AN72" s="532"/>
      <c r="AO72" s="565"/>
      <c r="AP72" s="565"/>
    </row>
    <row r="73" spans="1:60" ht="196.5" customHeight="1" x14ac:dyDescent="0.3">
      <c r="A73" s="1063" t="s">
        <v>1299</v>
      </c>
      <c r="B73" s="2764" t="s">
        <v>1286</v>
      </c>
      <c r="C73" s="2764"/>
      <c r="D73" s="2764"/>
      <c r="E73" s="2764"/>
      <c r="F73" s="2764"/>
      <c r="G73" s="2764"/>
      <c r="H73" s="2764"/>
      <c r="I73" s="2764"/>
      <c r="J73" s="2764"/>
      <c r="K73" s="2764"/>
      <c r="L73" s="2764"/>
      <c r="M73" s="2764"/>
      <c r="N73" s="545"/>
    </row>
    <row r="74" spans="1:60" ht="12.75" customHeight="1" x14ac:dyDescent="0.3">
      <c r="A74" s="1063" t="s">
        <v>1299</v>
      </c>
      <c r="B74" s="564"/>
      <c r="C74" s="564"/>
      <c r="D74" s="564"/>
      <c r="E74" s="564"/>
      <c r="F74" s="564"/>
      <c r="G74" s="564"/>
      <c r="H74" s="564"/>
      <c r="I74" s="564"/>
      <c r="J74" s="564"/>
      <c r="K74" s="564"/>
      <c r="L74" s="564"/>
      <c r="M74" s="564"/>
    </row>
    <row r="75" spans="1:60" s="750" customFormat="1" ht="33" customHeight="1" x14ac:dyDescent="0.3">
      <c r="A75" s="1063" t="s">
        <v>1299</v>
      </c>
      <c r="B75" s="26" t="s">
        <v>1119</v>
      </c>
      <c r="E75" s="31"/>
      <c r="H75" s="31"/>
      <c r="I75" s="31"/>
      <c r="J75" s="31"/>
      <c r="M75" s="31"/>
      <c r="N75" s="31"/>
      <c r="O75" s="31"/>
      <c r="Q75" s="100"/>
      <c r="R75" s="100"/>
      <c r="T75" s="100"/>
      <c r="U75" s="100"/>
      <c r="V75" s="100"/>
      <c r="W75" s="100"/>
      <c r="X75" s="100"/>
      <c r="Y75" s="100"/>
      <c r="Z75" s="100"/>
      <c r="AA75" s="100"/>
      <c r="AB75" s="100"/>
      <c r="AC75" s="100"/>
      <c r="AD75" s="100"/>
      <c r="AE75" s="100"/>
      <c r="AF75" s="100"/>
      <c r="AG75" s="100"/>
      <c r="AH75" s="100"/>
      <c r="AI75" s="100"/>
      <c r="AJ75" s="100"/>
      <c r="AK75" s="100"/>
      <c r="AL75" s="100"/>
      <c r="AM75" s="100"/>
      <c r="AN75" s="100"/>
      <c r="AO75" s="100"/>
      <c r="AP75" s="100"/>
      <c r="AQ75" s="100"/>
      <c r="AR75" s="100"/>
      <c r="AS75" s="100"/>
      <c r="AT75" s="100"/>
      <c r="AU75" s="100"/>
      <c r="AV75" s="100"/>
      <c r="AW75" s="100"/>
      <c r="AX75" s="100"/>
      <c r="AY75" s="100"/>
      <c r="AZ75" s="100"/>
      <c r="BA75" s="100"/>
      <c r="BB75" s="100"/>
      <c r="BC75" s="100"/>
      <c r="BD75" s="100"/>
      <c r="BE75" s="100"/>
      <c r="BF75" s="100"/>
      <c r="BG75" s="100"/>
      <c r="BH75" s="100"/>
    </row>
    <row r="76" spans="1:60" ht="40.5" customHeight="1" x14ac:dyDescent="0.3">
      <c r="A76" s="1063" t="s">
        <v>1299</v>
      </c>
      <c r="B76" s="2897" t="s">
        <v>2000</v>
      </c>
      <c r="C76" s="2789"/>
      <c r="D76" s="2789"/>
      <c r="E76" s="2789"/>
      <c r="F76" s="2789"/>
      <c r="G76" s="2789"/>
      <c r="H76" s="2789"/>
      <c r="I76" s="2789"/>
      <c r="J76" s="2789"/>
      <c r="K76" s="2789"/>
      <c r="L76" s="2789"/>
      <c r="M76" s="2789"/>
    </row>
    <row r="77" spans="1:60" ht="30" customHeight="1" x14ac:dyDescent="0.3">
      <c r="A77" s="1063" t="s">
        <v>1299</v>
      </c>
      <c r="B77" s="2790" t="s">
        <v>1165</v>
      </c>
      <c r="C77" s="2790"/>
      <c r="D77" s="2790"/>
      <c r="E77" s="2790"/>
      <c r="F77" s="2790"/>
      <c r="G77" s="2790"/>
      <c r="H77" s="2790"/>
      <c r="I77" s="2790"/>
      <c r="J77" s="2790"/>
      <c r="K77" s="2790"/>
      <c r="L77" s="2790"/>
      <c r="M77" s="2790"/>
      <c r="R77" s="1296">
        <v>5</v>
      </c>
    </row>
    <row r="78" spans="1:60" ht="9" customHeight="1" x14ac:dyDescent="0.3">
      <c r="A78" s="1063" t="s">
        <v>1299</v>
      </c>
      <c r="B78" s="629"/>
      <c r="C78" s="629"/>
      <c r="D78" s="629"/>
      <c r="E78" s="629"/>
      <c r="F78" s="629"/>
      <c r="G78" s="629"/>
      <c r="H78" s="629"/>
      <c r="I78" s="629"/>
      <c r="J78" s="629"/>
      <c r="K78" s="630"/>
      <c r="L78" s="630"/>
      <c r="M78" s="626"/>
    </row>
    <row r="79" spans="1:60" ht="42" customHeight="1" x14ac:dyDescent="0.3">
      <c r="A79" s="1063" t="s">
        <v>1299</v>
      </c>
      <c r="B79" s="2791" t="s">
        <v>1166</v>
      </c>
      <c r="C79" s="2791"/>
      <c r="D79" s="2791"/>
      <c r="E79" s="2791"/>
      <c r="F79" s="2791"/>
      <c r="G79" s="2791"/>
      <c r="H79" s="2791"/>
      <c r="I79" s="2791"/>
      <c r="J79" s="2791"/>
      <c r="K79" s="2791"/>
      <c r="L79" s="2791"/>
      <c r="M79" s="2791"/>
    </row>
    <row r="80" spans="1:60" ht="9" customHeight="1" x14ac:dyDescent="0.3">
      <c r="A80" s="1063" t="s">
        <v>1299</v>
      </c>
      <c r="B80" s="629"/>
      <c r="C80" s="629"/>
      <c r="D80" s="629"/>
      <c r="E80" s="629"/>
      <c r="F80" s="629"/>
      <c r="G80" s="629"/>
      <c r="H80" s="629"/>
      <c r="I80" s="629"/>
      <c r="J80" s="629"/>
      <c r="K80" s="630"/>
      <c r="L80" s="630"/>
      <c r="M80" s="626"/>
    </row>
    <row r="81" spans="1:61" ht="34.5" customHeight="1" x14ac:dyDescent="0.3">
      <c r="A81" s="1063" t="s">
        <v>1299</v>
      </c>
      <c r="B81" s="2791" t="s">
        <v>1167</v>
      </c>
      <c r="C81" s="2791"/>
      <c r="D81" s="2791"/>
      <c r="E81" s="2791"/>
      <c r="F81" s="2791"/>
      <c r="G81" s="2791"/>
      <c r="H81" s="2791"/>
      <c r="I81" s="2791"/>
      <c r="J81" s="2791"/>
      <c r="K81" s="2791"/>
      <c r="L81" s="2791"/>
      <c r="M81" s="2791"/>
    </row>
    <row r="82" spans="1:61" ht="9" customHeight="1" x14ac:dyDescent="0.3">
      <c r="A82" s="1063" t="s">
        <v>1299</v>
      </c>
      <c r="B82" s="629"/>
      <c r="C82" s="629"/>
      <c r="D82" s="629"/>
      <c r="E82" s="629"/>
      <c r="F82" s="629"/>
      <c r="G82" s="629"/>
      <c r="H82" s="629"/>
      <c r="I82" s="629"/>
      <c r="J82" s="629"/>
      <c r="K82" s="630"/>
      <c r="L82" s="630"/>
      <c r="M82" s="626"/>
    </row>
    <row r="83" spans="1:61" ht="30" customHeight="1" x14ac:dyDescent="0.3">
      <c r="A83" s="1063" t="s">
        <v>1299</v>
      </c>
      <c r="B83" s="2791" t="s">
        <v>1168</v>
      </c>
      <c r="C83" s="2791"/>
      <c r="D83" s="2791"/>
      <c r="E83" s="2791"/>
      <c r="F83" s="2791"/>
      <c r="G83" s="2791"/>
      <c r="H83" s="2791"/>
      <c r="I83" s="2791"/>
      <c r="J83" s="2791"/>
      <c r="K83" s="2791"/>
      <c r="L83" s="2791"/>
      <c r="M83" s="2791"/>
    </row>
    <row r="84" spans="1:61" ht="14.25" customHeight="1" x14ac:dyDescent="0.3">
      <c r="A84" s="1063" t="s">
        <v>1299</v>
      </c>
      <c r="B84" s="1997"/>
      <c r="C84" s="1997"/>
      <c r="D84" s="1997"/>
      <c r="E84" s="1997"/>
      <c r="F84" s="1997"/>
      <c r="G84" s="1997"/>
      <c r="H84" s="1997"/>
      <c r="I84" s="1997"/>
      <c r="J84" s="1997"/>
      <c r="K84" s="1997"/>
      <c r="L84" s="2800"/>
      <c r="M84" s="2800"/>
    </row>
    <row r="85" spans="1:61" ht="33" customHeight="1" x14ac:dyDescent="0.3">
      <c r="A85" s="1063" t="s">
        <v>1299</v>
      </c>
      <c r="B85" s="542"/>
      <c r="C85" s="547"/>
      <c r="D85" s="547"/>
      <c r="E85" s="547"/>
      <c r="F85" s="547"/>
      <c r="G85" s="547"/>
      <c r="H85" s="547"/>
      <c r="I85" s="547"/>
      <c r="J85" s="547"/>
      <c r="K85" s="547"/>
      <c r="L85" s="527"/>
      <c r="M85" s="527"/>
    </row>
    <row r="86" spans="1:61" s="750" customFormat="1" ht="33.75" customHeight="1" x14ac:dyDescent="0.3">
      <c r="A86" s="1063" t="s">
        <v>1299</v>
      </c>
      <c r="B86" s="26" t="s">
        <v>1120</v>
      </c>
      <c r="E86" s="31"/>
      <c r="H86" s="31"/>
      <c r="I86" s="31"/>
      <c r="J86" s="31"/>
      <c r="M86" s="31"/>
      <c r="N86" s="31"/>
      <c r="O86" s="31"/>
      <c r="Q86" s="100"/>
      <c r="R86" s="100"/>
      <c r="T86" s="100"/>
      <c r="U86" s="100"/>
      <c r="V86" s="100"/>
      <c r="W86" s="100"/>
      <c r="X86" s="100"/>
      <c r="Y86" s="100"/>
      <c r="Z86" s="100"/>
      <c r="AA86" s="100"/>
      <c r="AB86" s="100"/>
      <c r="AC86" s="100"/>
      <c r="AD86" s="100"/>
      <c r="AE86" s="100"/>
      <c r="AF86" s="100"/>
      <c r="AG86" s="100"/>
      <c r="AH86" s="100"/>
      <c r="AI86" s="100"/>
      <c r="AJ86" s="100"/>
      <c r="AK86" s="100"/>
      <c r="AL86" s="100"/>
      <c r="AM86" s="100"/>
      <c r="AN86" s="100"/>
      <c r="AO86" s="100"/>
      <c r="AP86" s="100"/>
      <c r="AQ86" s="100"/>
      <c r="AR86" s="100"/>
      <c r="AS86" s="100"/>
      <c r="AT86" s="100"/>
      <c r="AU86" s="100"/>
      <c r="AV86" s="100"/>
      <c r="AW86" s="100"/>
      <c r="AX86" s="100"/>
      <c r="AY86" s="100"/>
      <c r="AZ86" s="100"/>
      <c r="BA86" s="100"/>
      <c r="BB86" s="100"/>
      <c r="BC86" s="100"/>
      <c r="BD86" s="100"/>
      <c r="BE86" s="100"/>
      <c r="BF86" s="100"/>
      <c r="BG86" s="100"/>
      <c r="BH86" s="100"/>
    </row>
    <row r="87" spans="1:61" ht="21" customHeight="1" x14ac:dyDescent="0.3">
      <c r="A87" s="1063" t="s">
        <v>1299</v>
      </c>
      <c r="B87" s="956" t="s">
        <v>1261</v>
      </c>
      <c r="C87" s="956"/>
      <c r="D87" s="956"/>
      <c r="E87" s="956"/>
      <c r="F87" s="956"/>
      <c r="G87" s="956"/>
      <c r="H87" s="956"/>
      <c r="I87" s="956"/>
      <c r="J87" s="956"/>
      <c r="K87" s="956"/>
      <c r="L87" s="956"/>
      <c r="M87" s="957"/>
    </row>
    <row r="88" spans="1:61" ht="33.75" customHeight="1" x14ac:dyDescent="0.3">
      <c r="A88" s="1063" t="s">
        <v>1299</v>
      </c>
      <c r="B88" s="2697" t="s">
        <v>1169</v>
      </c>
      <c r="C88" s="2697"/>
      <c r="D88" s="2697"/>
      <c r="E88" s="2697"/>
      <c r="F88" s="2697"/>
      <c r="G88" s="2697"/>
      <c r="H88" s="2697"/>
      <c r="I88" s="2697"/>
      <c r="J88" s="2697"/>
      <c r="K88" s="2697"/>
      <c r="L88" s="2697"/>
      <c r="M88" s="2697"/>
    </row>
    <row r="89" spans="1:61" ht="32.25" hidden="1" customHeight="1" x14ac:dyDescent="0.3">
      <c r="A89" s="1063" t="s">
        <v>1299</v>
      </c>
      <c r="B89" s="2697" t="s">
        <v>1191</v>
      </c>
      <c r="C89" s="2697"/>
      <c r="D89" s="2697"/>
      <c r="E89" s="2697"/>
      <c r="F89" s="2697"/>
      <c r="G89" s="2697"/>
      <c r="H89" s="2697"/>
      <c r="I89" s="2697"/>
      <c r="J89" s="2697"/>
      <c r="K89" s="2697"/>
      <c r="L89" s="2697"/>
      <c r="M89" s="2697"/>
    </row>
    <row r="90" spans="1:61" ht="33" hidden="1" customHeight="1" x14ac:dyDescent="0.3">
      <c r="A90" s="1063" t="s">
        <v>1299</v>
      </c>
      <c r="B90" s="2697" t="s">
        <v>1170</v>
      </c>
      <c r="C90" s="2697"/>
      <c r="D90" s="2697"/>
      <c r="E90" s="2697"/>
      <c r="F90" s="2697"/>
      <c r="G90" s="2697"/>
      <c r="H90" s="2697"/>
      <c r="I90" s="2697"/>
      <c r="J90" s="2697"/>
      <c r="K90" s="2697"/>
      <c r="L90" s="2697"/>
      <c r="M90" s="2697"/>
    </row>
    <row r="91" spans="1:61" ht="33" hidden="1" customHeight="1" x14ac:dyDescent="0.3">
      <c r="A91" s="1063" t="s">
        <v>1299</v>
      </c>
      <c r="B91" s="2697" t="s">
        <v>1194</v>
      </c>
      <c r="C91" s="2697"/>
      <c r="D91" s="2697"/>
      <c r="E91" s="2697"/>
      <c r="F91" s="2697"/>
      <c r="G91" s="2697"/>
      <c r="H91" s="2697"/>
      <c r="I91" s="2697"/>
      <c r="J91" s="2697"/>
      <c r="K91" s="2697"/>
      <c r="L91" s="2697"/>
      <c r="M91" s="2697"/>
    </row>
    <row r="92" spans="1:61" ht="33" hidden="1" customHeight="1" x14ac:dyDescent="0.3">
      <c r="A92" s="1063" t="s">
        <v>1299</v>
      </c>
      <c r="B92" s="2697" t="s">
        <v>1171</v>
      </c>
      <c r="C92" s="2695"/>
      <c r="D92" s="2695"/>
      <c r="E92" s="2695"/>
      <c r="F92" s="2695"/>
      <c r="G92" s="2695"/>
      <c r="H92" s="2695"/>
      <c r="I92" s="2695"/>
      <c r="J92" s="2695"/>
      <c r="K92" s="2695"/>
      <c r="L92" s="2695"/>
      <c r="M92" s="2695"/>
    </row>
    <row r="93" spans="1:61" ht="45" hidden="1" customHeight="1" x14ac:dyDescent="0.3">
      <c r="A93" s="1063" t="s">
        <v>1299</v>
      </c>
      <c r="B93" s="2697" t="s">
        <v>1290</v>
      </c>
      <c r="C93" s="2695"/>
      <c r="D93" s="2695"/>
      <c r="E93" s="2695"/>
      <c r="F93" s="2695"/>
      <c r="G93" s="2695"/>
      <c r="H93" s="2695"/>
      <c r="I93" s="2695"/>
      <c r="J93" s="2695"/>
      <c r="K93" s="2695"/>
      <c r="L93" s="2695"/>
      <c r="M93" s="2695"/>
    </row>
    <row r="94" spans="1:61" ht="15" customHeight="1" x14ac:dyDescent="0.3">
      <c r="A94" s="1063" t="s">
        <v>1299</v>
      </c>
      <c r="B94" s="544"/>
      <c r="C94" s="564"/>
      <c r="D94" s="564"/>
      <c r="E94" s="564"/>
      <c r="F94" s="564"/>
      <c r="G94" s="564"/>
      <c r="H94" s="564"/>
      <c r="I94" s="564"/>
      <c r="J94" s="564"/>
      <c r="K94" s="564"/>
      <c r="L94" s="564"/>
      <c r="M94" s="564"/>
      <c r="BF94" s="2875" t="s">
        <v>2186</v>
      </c>
      <c r="BG94" s="2875"/>
      <c r="BH94" s="2875"/>
      <c r="BI94" s="2875"/>
    </row>
    <row r="95" spans="1:61" ht="92.25" customHeight="1" x14ac:dyDescent="0.3">
      <c r="A95" s="1063" t="s">
        <v>1299</v>
      </c>
      <c r="B95" s="2700" t="s">
        <v>457</v>
      </c>
      <c r="C95" s="2700"/>
      <c r="D95" s="1147" t="s">
        <v>456</v>
      </c>
      <c r="E95" s="966" t="s">
        <v>444</v>
      </c>
      <c r="F95" s="966" t="s">
        <v>1264</v>
      </c>
      <c r="G95" s="1148" t="s">
        <v>463</v>
      </c>
      <c r="H95" s="1148" t="s">
        <v>462</v>
      </c>
      <c r="I95" s="1148" t="s">
        <v>461</v>
      </c>
      <c r="J95" s="1148" t="s">
        <v>460</v>
      </c>
      <c r="K95" s="2700" t="s">
        <v>483</v>
      </c>
      <c r="L95" s="2698"/>
      <c r="M95" s="2699"/>
      <c r="BF95" s="1956" t="s">
        <v>2187</v>
      </c>
      <c r="BG95" s="1956" t="s">
        <v>2213</v>
      </c>
      <c r="BH95" s="1956" t="s">
        <v>2214</v>
      </c>
      <c r="BI95" s="1956" t="s">
        <v>2215</v>
      </c>
    </row>
    <row r="96" spans="1:61" ht="18.75" hidden="1" customHeight="1" x14ac:dyDescent="0.3">
      <c r="A96" s="1063" t="s">
        <v>1299</v>
      </c>
      <c r="B96" s="1100" t="s">
        <v>1791</v>
      </c>
      <c r="C96" s="1100"/>
      <c r="D96" s="1149" t="s">
        <v>1792</v>
      </c>
      <c r="E96" s="1100" t="s">
        <v>1765</v>
      </c>
      <c r="F96" s="1100" t="s">
        <v>1793</v>
      </c>
      <c r="G96" s="1100" t="s">
        <v>1794</v>
      </c>
      <c r="H96" s="1100" t="s">
        <v>1795</v>
      </c>
      <c r="I96" s="1100" t="s">
        <v>1796</v>
      </c>
      <c r="J96" s="1100" t="s">
        <v>1797</v>
      </c>
      <c r="K96" s="1093" t="s">
        <v>1798</v>
      </c>
      <c r="L96" s="1150"/>
      <c r="M96" s="1151"/>
      <c r="Q96" s="1297" t="s">
        <v>1776</v>
      </c>
      <c r="R96" s="1297" t="s">
        <v>1777</v>
      </c>
      <c r="S96" s="1297" t="s">
        <v>1386</v>
      </c>
    </row>
    <row r="97" spans="1:61" ht="15.75" customHeight="1" x14ac:dyDescent="0.3">
      <c r="A97" s="1063" t="s">
        <v>1299</v>
      </c>
      <c r="B97" s="2794" t="s">
        <v>482</v>
      </c>
      <c r="C97" s="2795"/>
      <c r="D97" s="2796"/>
      <c r="E97" s="2797" t="s">
        <v>464</v>
      </c>
      <c r="F97" s="1132" t="str">
        <f>IFERROR(IF(ISBLANK(E97),"","Consumption (" &amp; VLOOKUP($E97,PO_Enrgy_1_Table,MATCH($C$16,PO_Enrgy_1_Hdr,0),FALSE) &amp; ")"),"")</f>
        <v>Consumption (kWh)</v>
      </c>
      <c r="G97" s="1152"/>
      <c r="H97" s="1152"/>
      <c r="I97" s="1152"/>
      <c r="J97" s="1152"/>
      <c r="K97" s="2798" t="str">
        <f t="shared" ref="K97:K144" si="3">IFERROR(AVERAGE(G97,H97,I97,J97),"")</f>
        <v/>
      </c>
      <c r="L97" s="2798"/>
      <c r="M97" s="2799"/>
      <c r="Q97" s="1296">
        <f t="shared" ref="Q97:Q144" si="4">IFERROR(IF(ISBLANK($E97),"",VLOOKUP($E97,PO_Enrgy_1_Table,MATCH($K$16,PO_Enrgy_1_Hdr,0),FALSE)),"")</f>
        <v>9.999999999999998E-4</v>
      </c>
      <c r="R97" s="1296">
        <f t="shared" ref="R97:R144" si="5">IFERROR(IF(ISBLANK($E97),"",VLOOKUP($E97,PO_Enrgy_1_Table,MATCH($M$16,PO_Enrgy_1_Hdr,0),FALSE)),"")</f>
        <v>3.1399999999999996E-3</v>
      </c>
      <c r="S97" s="1296" t="str">
        <f t="shared" ref="S97:S145" si="6">IFERROR(IF(FIND("Consumption",F97),(K97*VLOOKUP(MID(F97,FIND("(",F97)+1,LEN(F97)-FIND("(",F97)-1),EnergyUnitsTable,3,FALSE))/(K98*VLOOKUP(MID(F98,FIND("(",F98)+1,LEN(F98)-FIND("(",F98)-1),DemandTable,3,FALSE)),1),"")</f>
        <v/>
      </c>
      <c r="BC97" s="1906"/>
      <c r="BF97" s="1957" t="s">
        <v>2188</v>
      </c>
      <c r="BG97" s="1957" t="s">
        <v>2170</v>
      </c>
      <c r="BH97" s="1957" t="s">
        <v>464</v>
      </c>
      <c r="BI97" s="1957">
        <f>IF(BG97&lt;&gt;"",IFERROR(MATCH(BG97&amp;BH97,'Results from Trace'!$L$1:$L$21,0),""),"")</f>
        <v>7</v>
      </c>
    </row>
    <row r="98" spans="1:61" ht="16.2" customHeight="1" x14ac:dyDescent="0.3">
      <c r="A98" s="1063" t="s">
        <v>1299</v>
      </c>
      <c r="B98" s="2795"/>
      <c r="C98" s="2795"/>
      <c r="D98" s="2796"/>
      <c r="E98" s="2797"/>
      <c r="F98" s="1132" t="str">
        <f>IFERROR(IF(ISBLANK(E97),"","Demand (" &amp; VLOOKUP($E97,PO_Enrgy_1_Table,MATCH($E$16,PO_Enrgy_1_Hdr,0),FALSE) &amp; ")"),"")</f>
        <v>Demand (kW)</v>
      </c>
      <c r="G98" s="1152"/>
      <c r="H98" s="1152"/>
      <c r="I98" s="1152"/>
      <c r="J98" s="1152"/>
      <c r="K98" s="2798" t="str">
        <f t="shared" si="3"/>
        <v/>
      </c>
      <c r="L98" s="2798"/>
      <c r="M98" s="2799"/>
      <c r="Q98" s="1296" t="str">
        <f t="shared" si="4"/>
        <v/>
      </c>
      <c r="R98" s="1296" t="str">
        <f t="shared" si="5"/>
        <v/>
      </c>
      <c r="S98" s="1296" t="str">
        <f t="shared" si="6"/>
        <v/>
      </c>
      <c r="BC98" s="1906"/>
      <c r="BF98" s="1957" t="s">
        <v>1284</v>
      </c>
      <c r="BG98" s="1957"/>
      <c r="BH98" s="1957"/>
      <c r="BI98" s="1957"/>
    </row>
    <row r="99" spans="1:61" ht="16.2" customHeight="1" x14ac:dyDescent="0.3">
      <c r="A99" s="1063" t="s">
        <v>1299</v>
      </c>
      <c r="B99" s="2794" t="s">
        <v>481</v>
      </c>
      <c r="C99" s="2794"/>
      <c r="D99" s="2796"/>
      <c r="E99" s="2797" t="s">
        <v>464</v>
      </c>
      <c r="F99" s="1132" t="str">
        <f>IFERROR(IF(ISBLANK(E99),"","Consumption (" &amp; VLOOKUP($E99,PO_Enrgy_1_Table,MATCH($C$16,PO_Enrgy_1_Hdr,0),FALSE) &amp; ")"),"")</f>
        <v>Consumption (kWh)</v>
      </c>
      <c r="G99" s="1152"/>
      <c r="H99" s="1152"/>
      <c r="I99" s="1152"/>
      <c r="J99" s="1152"/>
      <c r="K99" s="2798" t="str">
        <f t="shared" si="3"/>
        <v/>
      </c>
      <c r="L99" s="2798"/>
      <c r="M99" s="2799"/>
      <c r="Q99" s="1296">
        <f t="shared" si="4"/>
        <v>9.999999999999998E-4</v>
      </c>
      <c r="R99" s="1296">
        <f t="shared" si="5"/>
        <v>3.1399999999999996E-3</v>
      </c>
      <c r="S99" s="1296" t="str">
        <f t="shared" si="6"/>
        <v/>
      </c>
      <c r="BC99" s="1906"/>
      <c r="BF99" s="1957" t="s">
        <v>2189</v>
      </c>
      <c r="BG99" s="1957" t="s">
        <v>2177</v>
      </c>
      <c r="BH99" s="1957" t="s">
        <v>464</v>
      </c>
      <c r="BI99" s="1957">
        <f>IF(BG99&lt;&gt;"",IFERROR(MATCH(BG99&amp;BH99,'Results from Trace'!$L$1:$L$21,0),""),"")</f>
        <v>15</v>
      </c>
    </row>
    <row r="100" spans="1:61" ht="16.2" customHeight="1" x14ac:dyDescent="0.3">
      <c r="A100" s="1063" t="s">
        <v>1299</v>
      </c>
      <c r="B100" s="2794"/>
      <c r="C100" s="2794"/>
      <c r="D100" s="2796"/>
      <c r="E100" s="2797"/>
      <c r="F100" s="1132" t="str">
        <f>IFERROR(IF(ISBLANK(E99),"","Demand (" &amp; VLOOKUP($E99,PO_Enrgy_1_Table,MATCH($E$16,PO_Enrgy_1_Hdr,0),FALSE) &amp; ")"),"")</f>
        <v>Demand (kW)</v>
      </c>
      <c r="G100" s="1152"/>
      <c r="H100" s="1152"/>
      <c r="I100" s="1152"/>
      <c r="J100" s="1152"/>
      <c r="K100" s="2798" t="str">
        <f t="shared" si="3"/>
        <v/>
      </c>
      <c r="L100" s="2798"/>
      <c r="M100" s="2799"/>
      <c r="Q100" s="1296" t="str">
        <f t="shared" si="4"/>
        <v/>
      </c>
      <c r="R100" s="1296" t="str">
        <f t="shared" si="5"/>
        <v/>
      </c>
      <c r="S100" s="1296" t="str">
        <f t="shared" si="6"/>
        <v/>
      </c>
      <c r="BC100" s="1906"/>
      <c r="BF100" s="1957" t="s">
        <v>2190</v>
      </c>
      <c r="BG100" s="1957"/>
      <c r="BH100" s="1957"/>
      <c r="BI100" s="1957"/>
    </row>
    <row r="101" spans="1:61" ht="16.2" customHeight="1" x14ac:dyDescent="0.3">
      <c r="A101" s="1063" t="s">
        <v>1299</v>
      </c>
      <c r="B101" s="2794" t="s">
        <v>480</v>
      </c>
      <c r="C101" s="2794"/>
      <c r="D101" s="2796"/>
      <c r="E101" s="2797" t="s">
        <v>478</v>
      </c>
      <c r="F101" s="1132" t="str">
        <f>IFERROR(IF(ISBLANK(E101),"","Consumption (" &amp; VLOOKUP($E101,PO_Enrgy_1_Table,MATCH($C$16,PO_Enrgy_1_Hdr,0),FALSE) &amp; ")"),"")</f>
        <v>Consumption (therm)</v>
      </c>
      <c r="G101" s="1152"/>
      <c r="H101" s="1152"/>
      <c r="I101" s="1152"/>
      <c r="J101" s="1152"/>
      <c r="K101" s="2798" t="str">
        <f t="shared" si="3"/>
        <v/>
      </c>
      <c r="L101" s="2798"/>
      <c r="M101" s="2799"/>
      <c r="Q101" s="1296">
        <f t="shared" si="4"/>
        <v>2.9308323563892142E-2</v>
      </c>
      <c r="R101" s="1296">
        <f t="shared" si="5"/>
        <v>3.0773739742086751E-2</v>
      </c>
      <c r="S101" s="1296" t="str">
        <f t="shared" si="6"/>
        <v/>
      </c>
      <c r="BC101" s="1906"/>
      <c r="BF101" s="1957" t="s">
        <v>2191</v>
      </c>
      <c r="BG101" s="1957" t="s">
        <v>2171</v>
      </c>
      <c r="BH101" s="1957" t="s">
        <v>2172</v>
      </c>
      <c r="BI101" s="1957">
        <f>IF(BG101&lt;&gt;"",IFERROR(MATCH(BG101&amp;BH101,'Results from Trace'!$L$1:$L$21,0),""),"")</f>
        <v>9</v>
      </c>
    </row>
    <row r="102" spans="1:61" ht="16.2" customHeight="1" x14ac:dyDescent="0.3">
      <c r="A102" s="1063" t="s">
        <v>1299</v>
      </c>
      <c r="B102" s="2794"/>
      <c r="C102" s="2794"/>
      <c r="D102" s="2796"/>
      <c r="E102" s="2797"/>
      <c r="F102" s="1132" t="str">
        <f>IFERROR(IF(ISBLANK(E101),"","Demand (" &amp; VLOOKUP($E101,PO_Enrgy_1_Table,MATCH($E$16,PO_Enrgy_1_Hdr,0),FALSE) &amp; ")"),"")</f>
        <v>Demand (Btuh x 10^6)</v>
      </c>
      <c r="G102" s="1152"/>
      <c r="H102" s="1152"/>
      <c r="I102" s="1152"/>
      <c r="J102" s="1152"/>
      <c r="K102" s="2798" t="str">
        <f t="shared" si="3"/>
        <v/>
      </c>
      <c r="L102" s="2798"/>
      <c r="M102" s="2799"/>
      <c r="Q102" s="1296" t="str">
        <f t="shared" si="4"/>
        <v/>
      </c>
      <c r="R102" s="1296" t="str">
        <f t="shared" si="5"/>
        <v/>
      </c>
      <c r="S102" s="1296" t="str">
        <f t="shared" si="6"/>
        <v/>
      </c>
      <c r="BC102" s="1906"/>
      <c r="BF102" s="1957"/>
      <c r="BG102" s="1957"/>
      <c r="BH102" s="1957"/>
      <c r="BI102" s="1957"/>
    </row>
    <row r="103" spans="1:61" ht="16.2" customHeight="1" x14ac:dyDescent="0.3">
      <c r="A103" s="1063" t="s">
        <v>1299</v>
      </c>
      <c r="B103" s="2794" t="s">
        <v>479</v>
      </c>
      <c r="C103" s="2794"/>
      <c r="D103" s="2796"/>
      <c r="E103" s="2797" t="s">
        <v>464</v>
      </c>
      <c r="F103" s="1132" t="str">
        <f>IFERROR(IF(ISBLANK(E103),"","Consumption (" &amp; VLOOKUP($E103,PO_Enrgy_1_Table,MATCH($C$16,PO_Enrgy_1_Hdr,0),FALSE) &amp; ")"),"")</f>
        <v>Consumption (kWh)</v>
      </c>
      <c r="G103" s="1152"/>
      <c r="H103" s="1152"/>
      <c r="I103" s="1152"/>
      <c r="J103" s="1152"/>
      <c r="K103" s="2798" t="str">
        <f t="shared" si="3"/>
        <v/>
      </c>
      <c r="L103" s="2798"/>
      <c r="M103" s="2799"/>
      <c r="Q103" s="1296">
        <f t="shared" si="4"/>
        <v>9.999999999999998E-4</v>
      </c>
      <c r="R103" s="1296">
        <f t="shared" si="5"/>
        <v>3.1399999999999996E-3</v>
      </c>
      <c r="S103" s="1296" t="str">
        <f t="shared" si="6"/>
        <v/>
      </c>
      <c r="BC103" s="1906"/>
      <c r="BF103" s="1957" t="s">
        <v>2192</v>
      </c>
      <c r="BG103" s="1957" t="s">
        <v>2173</v>
      </c>
      <c r="BH103" s="1957" t="s">
        <v>464</v>
      </c>
      <c r="BI103" s="1957">
        <f>IF(BG103&lt;&gt;"",IFERROR(MATCH(BG103&amp;BH103,'Results from Trace'!$L$1:$L$21,0),""),"")</f>
        <v>10</v>
      </c>
    </row>
    <row r="104" spans="1:61" ht="16.2" customHeight="1" x14ac:dyDescent="0.3">
      <c r="A104" s="1063" t="s">
        <v>1299</v>
      </c>
      <c r="B104" s="2794"/>
      <c r="C104" s="2794"/>
      <c r="D104" s="2796"/>
      <c r="E104" s="2797"/>
      <c r="F104" s="1132" t="str">
        <f>IFERROR(IF(ISBLANK(E103),"","Demand (" &amp; VLOOKUP($E103,PO_Enrgy_1_Table,MATCH($E$16,PO_Enrgy_1_Hdr,0),FALSE) &amp; ")"),"")</f>
        <v>Demand (kW)</v>
      </c>
      <c r="G104" s="1152"/>
      <c r="H104" s="1152"/>
      <c r="I104" s="1152"/>
      <c r="J104" s="1152"/>
      <c r="K104" s="2798" t="str">
        <f t="shared" si="3"/>
        <v/>
      </c>
      <c r="L104" s="2798"/>
      <c r="M104" s="2799"/>
      <c r="Q104" s="1296" t="str">
        <f t="shared" si="4"/>
        <v/>
      </c>
      <c r="R104" s="1296" t="str">
        <f t="shared" si="5"/>
        <v/>
      </c>
      <c r="S104" s="1296" t="str">
        <f t="shared" si="6"/>
        <v/>
      </c>
      <c r="BC104" s="1906"/>
      <c r="BF104" s="1957" t="s">
        <v>2193</v>
      </c>
      <c r="BG104" s="1957"/>
      <c r="BH104" s="1957"/>
      <c r="BI104" s="1957"/>
    </row>
    <row r="105" spans="1:61" ht="16.2" customHeight="1" x14ac:dyDescent="0.3">
      <c r="A105" s="1063" t="s">
        <v>1299</v>
      </c>
      <c r="B105" s="2794" t="s">
        <v>477</v>
      </c>
      <c r="C105" s="2794"/>
      <c r="D105" s="2796"/>
      <c r="E105" s="2797" t="s">
        <v>464</v>
      </c>
      <c r="F105" s="1132" t="str">
        <f>IFERROR(IF(ISBLANK(E105),"","Consumption (" &amp; VLOOKUP($E105,PO_Enrgy_1_Table,MATCH($C$16,PO_Enrgy_1_Hdr,0),FALSE) &amp; ")"),"")</f>
        <v>Consumption (kWh)</v>
      </c>
      <c r="G105" s="1152"/>
      <c r="H105" s="1152"/>
      <c r="I105" s="1152"/>
      <c r="J105" s="1152"/>
      <c r="K105" s="2798" t="str">
        <f t="shared" si="3"/>
        <v/>
      </c>
      <c r="L105" s="2798"/>
      <c r="M105" s="2799"/>
      <c r="Q105" s="1296">
        <f t="shared" si="4"/>
        <v>9.999999999999998E-4</v>
      </c>
      <c r="R105" s="1296">
        <f t="shared" si="5"/>
        <v>3.1399999999999996E-3</v>
      </c>
      <c r="S105" s="1296" t="str">
        <f t="shared" si="6"/>
        <v/>
      </c>
      <c r="BC105" s="1906"/>
      <c r="BF105" s="1957" t="s">
        <v>2194</v>
      </c>
      <c r="BG105" s="1957" t="s">
        <v>477</v>
      </c>
      <c r="BH105" s="1957" t="s">
        <v>464</v>
      </c>
      <c r="BI105" s="1957">
        <f>IF(BG105&lt;&gt;"",IFERROR(MATCH(BG105&amp;BH105,'Results from Trace'!$L$1:$L$21,0),""),"")</f>
        <v>11</v>
      </c>
    </row>
    <row r="106" spans="1:61" ht="16.2" customHeight="1" x14ac:dyDescent="0.3">
      <c r="A106" s="1063" t="s">
        <v>1299</v>
      </c>
      <c r="B106" s="2794"/>
      <c r="C106" s="2794"/>
      <c r="D106" s="2796"/>
      <c r="E106" s="2797"/>
      <c r="F106" s="1132" t="str">
        <f>IFERROR(IF(ISBLANK(E105),"","Demand (" &amp; VLOOKUP($E105,PO_Enrgy_1_Table,MATCH($E$16,PO_Enrgy_1_Hdr,0),FALSE) &amp; ")"),"")</f>
        <v>Demand (kW)</v>
      </c>
      <c r="G106" s="1152"/>
      <c r="H106" s="1152"/>
      <c r="I106" s="1152"/>
      <c r="J106" s="1152"/>
      <c r="K106" s="2798" t="str">
        <f t="shared" si="3"/>
        <v/>
      </c>
      <c r="L106" s="2798"/>
      <c r="M106" s="2799"/>
      <c r="Q106" s="1296" t="str">
        <f t="shared" si="4"/>
        <v/>
      </c>
      <c r="R106" s="1296" t="str">
        <f t="shared" si="5"/>
        <v/>
      </c>
      <c r="S106" s="1296" t="str">
        <f t="shared" si="6"/>
        <v/>
      </c>
      <c r="BC106" s="1906"/>
      <c r="BF106" s="1957" t="s">
        <v>2195</v>
      </c>
      <c r="BG106" s="1957"/>
      <c r="BH106" s="1957"/>
      <c r="BI106" s="1957"/>
    </row>
    <row r="107" spans="1:61" ht="16.2" customHeight="1" x14ac:dyDescent="0.3">
      <c r="A107" s="1063" t="s">
        <v>1299</v>
      </c>
      <c r="B107" s="2794" t="s">
        <v>476</v>
      </c>
      <c r="C107" s="2794"/>
      <c r="D107" s="2796"/>
      <c r="E107" s="2797" t="s">
        <v>464</v>
      </c>
      <c r="F107" s="1132" t="str">
        <f>IFERROR(IF(ISBLANK(E107),"","Consumption (" &amp; VLOOKUP($E107,PO_Enrgy_1_Table,MATCH($C$16,PO_Enrgy_1_Hdr,0),FALSE) &amp; ")"),"")</f>
        <v>Consumption (kWh)</v>
      </c>
      <c r="G107" s="1152"/>
      <c r="H107" s="1152"/>
      <c r="I107" s="1152"/>
      <c r="J107" s="1152"/>
      <c r="K107" s="2798" t="str">
        <f t="shared" si="3"/>
        <v/>
      </c>
      <c r="L107" s="2798"/>
      <c r="M107" s="2799"/>
      <c r="Q107" s="1296">
        <f t="shared" si="4"/>
        <v>9.999999999999998E-4</v>
      </c>
      <c r="R107" s="1296">
        <f t="shared" si="5"/>
        <v>3.1399999999999996E-3</v>
      </c>
      <c r="S107" s="1296" t="str">
        <f t="shared" si="6"/>
        <v/>
      </c>
      <c r="BC107" s="1906"/>
      <c r="BF107" s="1957" t="s">
        <v>2196</v>
      </c>
      <c r="BG107" s="1957" t="s">
        <v>2174</v>
      </c>
      <c r="BH107" s="1957" t="s">
        <v>464</v>
      </c>
      <c r="BI107" s="1957">
        <f>IF(BG107&lt;&gt;"",IFERROR(MATCH(BG107&amp;BH107,'Results from Trace'!$L$1:$L$21,0),""),"")</f>
        <v>12</v>
      </c>
    </row>
    <row r="108" spans="1:61" ht="16.2" customHeight="1" x14ac:dyDescent="0.3">
      <c r="A108" s="1063" t="s">
        <v>1299</v>
      </c>
      <c r="B108" s="2794"/>
      <c r="C108" s="2794"/>
      <c r="D108" s="2796"/>
      <c r="E108" s="2797"/>
      <c r="F108" s="1132" t="str">
        <f>IFERROR(IF(ISBLANK(E107),"","Demand (" &amp; VLOOKUP($E107,PO_Enrgy_1_Table,MATCH($E$16,PO_Enrgy_1_Hdr,0),FALSE) &amp; ")"),"")</f>
        <v>Demand (kW)</v>
      </c>
      <c r="G108" s="1152"/>
      <c r="H108" s="1152"/>
      <c r="I108" s="1152"/>
      <c r="J108" s="1152"/>
      <c r="K108" s="2798" t="str">
        <f t="shared" si="3"/>
        <v/>
      </c>
      <c r="L108" s="2798"/>
      <c r="M108" s="2799"/>
      <c r="Q108" s="1296" t="str">
        <f t="shared" si="4"/>
        <v/>
      </c>
      <c r="R108" s="1296" t="str">
        <f t="shared" si="5"/>
        <v/>
      </c>
      <c r="S108" s="1296" t="str">
        <f t="shared" si="6"/>
        <v/>
      </c>
      <c r="BC108" s="1906"/>
      <c r="BF108" s="1957" t="s">
        <v>2197</v>
      </c>
      <c r="BG108" s="1957"/>
      <c r="BH108" s="1957"/>
      <c r="BI108" s="1957"/>
    </row>
    <row r="109" spans="1:61" ht="16.2" customHeight="1" x14ac:dyDescent="0.3">
      <c r="A109" s="1063" t="s">
        <v>1299</v>
      </c>
      <c r="B109" s="2794" t="s">
        <v>475</v>
      </c>
      <c r="C109" s="2794"/>
      <c r="D109" s="2796"/>
      <c r="E109" s="2797" t="s">
        <v>464</v>
      </c>
      <c r="F109" s="1132" t="str">
        <f>IFERROR(IF(ISBLANK(E109),"","Consumption (" &amp; VLOOKUP($E109,PO_Enrgy_1_Table,MATCH($C$16,PO_Enrgy_1_Hdr,0),FALSE) &amp; ")"),"")</f>
        <v>Consumption (kWh)</v>
      </c>
      <c r="G109" s="1152"/>
      <c r="H109" s="1152"/>
      <c r="I109" s="1152"/>
      <c r="J109" s="1152"/>
      <c r="K109" s="2798" t="str">
        <f t="shared" si="3"/>
        <v/>
      </c>
      <c r="L109" s="2798"/>
      <c r="M109" s="2799"/>
      <c r="Q109" s="1296">
        <f t="shared" si="4"/>
        <v>9.999999999999998E-4</v>
      </c>
      <c r="R109" s="1296">
        <f t="shared" si="5"/>
        <v>3.1399999999999996E-3</v>
      </c>
      <c r="S109" s="1296" t="str">
        <f t="shared" si="6"/>
        <v/>
      </c>
      <c r="BC109" s="1906"/>
      <c r="BF109" s="1957" t="s">
        <v>2198</v>
      </c>
      <c r="BG109" s="1957" t="s">
        <v>2175</v>
      </c>
      <c r="BH109" s="1957" t="s">
        <v>464</v>
      </c>
      <c r="BI109" s="1957">
        <f>IF(BG109&lt;&gt;"",IFERROR(MATCH(BG109&amp;BH109,'Results from Trace'!$L$1:$L$21,0),""),"")</f>
        <v>13</v>
      </c>
    </row>
    <row r="110" spans="1:61" ht="16.2" customHeight="1" x14ac:dyDescent="0.3">
      <c r="A110" s="1063" t="s">
        <v>1299</v>
      </c>
      <c r="B110" s="2794"/>
      <c r="C110" s="2794"/>
      <c r="D110" s="2796"/>
      <c r="E110" s="2797"/>
      <c r="F110" s="1132" t="str">
        <f>IFERROR(IF(ISBLANK(E109),"","Demand (" &amp; VLOOKUP($E109,PO_Enrgy_1_Table,MATCH($E$16,PO_Enrgy_1_Hdr,0),FALSE) &amp; ")"),"")</f>
        <v>Demand (kW)</v>
      </c>
      <c r="G110" s="1152"/>
      <c r="H110" s="1152"/>
      <c r="I110" s="1152"/>
      <c r="J110" s="1152"/>
      <c r="K110" s="2798" t="str">
        <f t="shared" si="3"/>
        <v/>
      </c>
      <c r="L110" s="2798"/>
      <c r="M110" s="2799"/>
      <c r="Q110" s="1296" t="str">
        <f t="shared" si="4"/>
        <v/>
      </c>
      <c r="R110" s="1296" t="str">
        <f t="shared" si="5"/>
        <v/>
      </c>
      <c r="S110" s="1296" t="str">
        <f t="shared" si="6"/>
        <v/>
      </c>
      <c r="BC110" s="1906"/>
      <c r="BF110" s="1957" t="s">
        <v>2199</v>
      </c>
      <c r="BG110" s="1957"/>
      <c r="BH110" s="1957"/>
      <c r="BI110" s="1957"/>
    </row>
    <row r="111" spans="1:61" ht="16.2" customHeight="1" x14ac:dyDescent="0.3">
      <c r="A111" s="1063" t="s">
        <v>1299</v>
      </c>
      <c r="B111" s="2794" t="s">
        <v>474</v>
      </c>
      <c r="C111" s="2794"/>
      <c r="D111" s="2796" t="s">
        <v>465</v>
      </c>
      <c r="E111" s="2797" t="s">
        <v>464</v>
      </c>
      <c r="F111" s="1132" t="str">
        <f>IFERROR(IF(ISBLANK(E111),"","Consumption (" &amp; VLOOKUP($E111,PO_Enrgy_1_Table,MATCH($C$16,PO_Enrgy_1_Hdr,0),FALSE) &amp; ")"),"")</f>
        <v>Consumption (kWh)</v>
      </c>
      <c r="G111" s="1152"/>
      <c r="H111" s="1152"/>
      <c r="I111" s="1152"/>
      <c r="J111" s="1152"/>
      <c r="K111" s="2798" t="str">
        <f t="shared" si="3"/>
        <v/>
      </c>
      <c r="L111" s="2798"/>
      <c r="M111" s="2799"/>
      <c r="Q111" s="1296">
        <f t="shared" si="4"/>
        <v>9.999999999999998E-4</v>
      </c>
      <c r="R111" s="1296">
        <f t="shared" si="5"/>
        <v>3.1399999999999996E-3</v>
      </c>
      <c r="S111" s="1296" t="str">
        <f t="shared" si="6"/>
        <v/>
      </c>
      <c r="BC111" s="1906"/>
      <c r="BF111" s="1957"/>
      <c r="BG111" s="1957"/>
      <c r="BH111" s="1957"/>
      <c r="BI111" s="1957"/>
    </row>
    <row r="112" spans="1:61" ht="16.2" customHeight="1" x14ac:dyDescent="0.3">
      <c r="A112" s="1063" t="s">
        <v>1299</v>
      </c>
      <c r="B112" s="2794"/>
      <c r="C112" s="2794"/>
      <c r="D112" s="2796"/>
      <c r="E112" s="2797"/>
      <c r="F112" s="1132" t="str">
        <f>IFERROR(IF(ISBLANK(E111),"","Demand (" &amp; VLOOKUP($E111,PO_Enrgy_1_Table,MATCH($E$16,PO_Enrgy_1_Hdr,0),FALSE) &amp; ")"),"")</f>
        <v>Demand (kW)</v>
      </c>
      <c r="G112" s="1152"/>
      <c r="H112" s="1152"/>
      <c r="I112" s="1152"/>
      <c r="J112" s="1152"/>
      <c r="K112" s="2798" t="str">
        <f t="shared" si="3"/>
        <v/>
      </c>
      <c r="L112" s="2798"/>
      <c r="M112" s="2799"/>
      <c r="Q112" s="1296" t="str">
        <f t="shared" si="4"/>
        <v/>
      </c>
      <c r="R112" s="1296" t="str">
        <f t="shared" si="5"/>
        <v/>
      </c>
      <c r="S112" s="1296" t="str">
        <f t="shared" si="6"/>
        <v/>
      </c>
      <c r="BC112" s="1906"/>
      <c r="BF112" s="1957"/>
      <c r="BG112" s="1957"/>
      <c r="BH112" s="1957"/>
      <c r="BI112" s="1957"/>
    </row>
    <row r="113" spans="1:61" ht="16.2" customHeight="1" x14ac:dyDescent="0.3">
      <c r="A113" s="1063" t="s">
        <v>1299</v>
      </c>
      <c r="B113" s="2794" t="s">
        <v>473</v>
      </c>
      <c r="C113" s="2794"/>
      <c r="D113" s="2796"/>
      <c r="E113" s="2797" t="s">
        <v>478</v>
      </c>
      <c r="F113" s="1132" t="str">
        <f>IFERROR(IF(ISBLANK(E113),"","Consumption (" &amp; VLOOKUP($E113,PO_Enrgy_1_Table,MATCH($C$16,PO_Enrgy_1_Hdr,0),FALSE) &amp; ")"),"")</f>
        <v>Consumption (therm)</v>
      </c>
      <c r="G113" s="1152"/>
      <c r="H113" s="1152"/>
      <c r="I113" s="1152"/>
      <c r="J113" s="1152"/>
      <c r="K113" s="2798" t="str">
        <f t="shared" si="3"/>
        <v/>
      </c>
      <c r="L113" s="2798"/>
      <c r="M113" s="2799"/>
      <c r="Q113" s="1296">
        <f t="shared" si="4"/>
        <v>2.9308323563892142E-2</v>
      </c>
      <c r="R113" s="1296">
        <f t="shared" si="5"/>
        <v>3.0773739742086751E-2</v>
      </c>
      <c r="S113" s="1296" t="str">
        <f t="shared" si="6"/>
        <v/>
      </c>
      <c r="BC113" s="1906"/>
      <c r="BF113" s="1957" t="s">
        <v>2200</v>
      </c>
      <c r="BG113" s="1957" t="s">
        <v>2177</v>
      </c>
      <c r="BH113" s="1957" t="s">
        <v>2172</v>
      </c>
      <c r="BI113" s="1957">
        <f>IF(BG113&lt;&gt;"",IFERROR(MATCH(BG113&amp;BH113,'Results from Trace'!$L$1:$L$21,0),""),"")</f>
        <v>16</v>
      </c>
    </row>
    <row r="114" spans="1:61" ht="16.2" customHeight="1" x14ac:dyDescent="0.3">
      <c r="A114" s="1063" t="s">
        <v>1299</v>
      </c>
      <c r="B114" s="2794"/>
      <c r="C114" s="2794"/>
      <c r="D114" s="2796"/>
      <c r="E114" s="2797"/>
      <c r="F114" s="1132" t="str">
        <f>IFERROR(IF(ISBLANK(E113),"","Demand (" &amp; VLOOKUP($E113,PO_Enrgy_1_Table,MATCH($E$16,PO_Enrgy_1_Hdr,0),FALSE) &amp; ")"),"")</f>
        <v>Demand (Btuh x 10^6)</v>
      </c>
      <c r="G114" s="1152"/>
      <c r="H114" s="1152"/>
      <c r="I114" s="1152"/>
      <c r="J114" s="1152"/>
      <c r="K114" s="2798" t="str">
        <f t="shared" si="3"/>
        <v/>
      </c>
      <c r="L114" s="2798"/>
      <c r="M114" s="2799"/>
      <c r="Q114" s="1296" t="str">
        <f t="shared" si="4"/>
        <v/>
      </c>
      <c r="R114" s="1296" t="str">
        <f t="shared" si="5"/>
        <v/>
      </c>
      <c r="S114" s="1296" t="str">
        <f t="shared" si="6"/>
        <v/>
      </c>
      <c r="BC114" s="1906"/>
      <c r="BF114" s="1957"/>
      <c r="BG114" s="1957"/>
      <c r="BH114" s="1957"/>
      <c r="BI114" s="1957"/>
    </row>
    <row r="115" spans="1:61" ht="16.2" customHeight="1" x14ac:dyDescent="0.3">
      <c r="A115" s="1063" t="s">
        <v>1299</v>
      </c>
      <c r="B115" s="2794" t="s">
        <v>472</v>
      </c>
      <c r="C115" s="2794"/>
      <c r="D115" s="2796" t="s">
        <v>465</v>
      </c>
      <c r="E115" s="2797" t="s">
        <v>464</v>
      </c>
      <c r="F115" s="1132" t="str">
        <f>IFERROR(IF(ISBLANK(E115),"","Consumption (" &amp; VLOOKUP($E115,PO_Enrgy_1_Table,MATCH($C$16,PO_Enrgy_1_Hdr,0),FALSE) &amp; ")"),"")</f>
        <v>Consumption (kWh)</v>
      </c>
      <c r="G115" s="1152"/>
      <c r="H115" s="1152"/>
      <c r="I115" s="1152"/>
      <c r="J115" s="1152"/>
      <c r="K115" s="2798" t="str">
        <f t="shared" si="3"/>
        <v/>
      </c>
      <c r="L115" s="2798"/>
      <c r="M115" s="2799"/>
      <c r="Q115" s="1296">
        <f t="shared" si="4"/>
        <v>9.999999999999998E-4</v>
      </c>
      <c r="R115" s="1296">
        <f t="shared" si="5"/>
        <v>3.1399999999999996E-3</v>
      </c>
      <c r="S115" s="1296" t="str">
        <f t="shared" si="6"/>
        <v/>
      </c>
      <c r="BC115" s="1906"/>
      <c r="BF115" s="1957" t="s">
        <v>2201</v>
      </c>
      <c r="BG115" s="1957" t="s">
        <v>2176</v>
      </c>
      <c r="BH115" s="1957" t="s">
        <v>464</v>
      </c>
      <c r="BI115" s="1957">
        <f>IF(BG115&lt;&gt;"",IFERROR(MATCH(BG115&amp;BH115,'Results from Trace'!$L$1:$L$21,0),""),"")</f>
        <v>14</v>
      </c>
    </row>
    <row r="116" spans="1:61" ht="16.2" customHeight="1" x14ac:dyDescent="0.3">
      <c r="A116" s="1063" t="s">
        <v>1299</v>
      </c>
      <c r="B116" s="2794"/>
      <c r="C116" s="2794"/>
      <c r="D116" s="2796"/>
      <c r="E116" s="2797"/>
      <c r="F116" s="1132" t="str">
        <f>IFERROR(IF(ISBLANK(E115),"","Demand (" &amp; VLOOKUP($E115,PO_Enrgy_1_Table,MATCH($E$16,PO_Enrgy_1_Hdr,0),FALSE) &amp; ")"),"")</f>
        <v>Demand (kW)</v>
      </c>
      <c r="G116" s="1152"/>
      <c r="H116" s="1152"/>
      <c r="I116" s="1152"/>
      <c r="J116" s="1152"/>
      <c r="K116" s="2798" t="str">
        <f t="shared" si="3"/>
        <v/>
      </c>
      <c r="L116" s="2798"/>
      <c r="M116" s="2799"/>
      <c r="Q116" s="1296" t="str">
        <f t="shared" si="4"/>
        <v/>
      </c>
      <c r="R116" s="1296" t="str">
        <f t="shared" si="5"/>
        <v/>
      </c>
      <c r="S116" s="1296" t="str">
        <f t="shared" si="6"/>
        <v/>
      </c>
      <c r="BC116" s="1906"/>
      <c r="BF116" s="1957" t="s">
        <v>2202</v>
      </c>
      <c r="BG116" s="1957"/>
      <c r="BH116" s="1957"/>
      <c r="BI116" s="1957"/>
    </row>
    <row r="117" spans="1:61" ht="16.2" customHeight="1" x14ac:dyDescent="0.3">
      <c r="A117" s="1063" t="s">
        <v>1299</v>
      </c>
      <c r="B117" s="2794" t="s">
        <v>471</v>
      </c>
      <c r="C117" s="2794"/>
      <c r="D117" s="2796" t="s">
        <v>465</v>
      </c>
      <c r="E117" s="2797" t="s">
        <v>464</v>
      </c>
      <c r="F117" s="1132" t="str">
        <f>IFERROR(IF(ISBLANK(E117),"","Consumption (" &amp; VLOOKUP($E117,PO_Enrgy_1_Table,MATCH($C$16,PO_Enrgy_1_Hdr,0),FALSE) &amp; ")"),"")</f>
        <v>Consumption (kWh)</v>
      </c>
      <c r="G117" s="1152"/>
      <c r="H117" s="1152"/>
      <c r="I117" s="1152"/>
      <c r="J117" s="1152"/>
      <c r="K117" s="2798" t="str">
        <f t="shared" si="3"/>
        <v/>
      </c>
      <c r="L117" s="2798"/>
      <c r="M117" s="2799"/>
      <c r="Q117" s="1296">
        <f t="shared" si="4"/>
        <v>9.999999999999998E-4</v>
      </c>
      <c r="R117" s="1296">
        <f t="shared" si="5"/>
        <v>3.1399999999999996E-3</v>
      </c>
      <c r="S117" s="1296" t="str">
        <f t="shared" si="6"/>
        <v/>
      </c>
      <c r="BC117" s="1906"/>
      <c r="BF117" s="1957"/>
      <c r="BG117" s="1957"/>
      <c r="BH117" s="1957"/>
      <c r="BI117" s="1957"/>
    </row>
    <row r="118" spans="1:61" ht="16.2" customHeight="1" x14ac:dyDescent="0.3">
      <c r="A118" s="1063" t="s">
        <v>1299</v>
      </c>
      <c r="B118" s="2794"/>
      <c r="C118" s="2794"/>
      <c r="D118" s="2796"/>
      <c r="E118" s="2797"/>
      <c r="F118" s="1132" t="str">
        <f>IFERROR(IF(ISBLANK(E117),"","Demand (" &amp; VLOOKUP($E117,PO_Enrgy_1_Table,MATCH($E$16,PO_Enrgy_1_Hdr,0),FALSE) &amp; ")"),"")</f>
        <v>Demand (kW)</v>
      </c>
      <c r="G118" s="1152"/>
      <c r="H118" s="1152"/>
      <c r="I118" s="1152"/>
      <c r="J118" s="1152"/>
      <c r="K118" s="2798" t="str">
        <f t="shared" si="3"/>
        <v/>
      </c>
      <c r="L118" s="2798"/>
      <c r="M118" s="2799"/>
      <c r="Q118" s="1296" t="str">
        <f t="shared" si="4"/>
        <v/>
      </c>
      <c r="R118" s="1296" t="str">
        <f t="shared" si="5"/>
        <v/>
      </c>
      <c r="S118" s="1296" t="str">
        <f t="shared" si="6"/>
        <v/>
      </c>
      <c r="BC118" s="1906"/>
      <c r="BF118" s="1957"/>
      <c r="BG118" s="1957"/>
      <c r="BH118" s="1957"/>
      <c r="BI118" s="1957"/>
    </row>
    <row r="119" spans="1:61" ht="16.2" customHeight="1" x14ac:dyDescent="0.3">
      <c r="A119" s="1063" t="s">
        <v>1299</v>
      </c>
      <c r="B119" s="2794" t="s">
        <v>470</v>
      </c>
      <c r="C119" s="2794"/>
      <c r="D119" s="2796" t="s">
        <v>465</v>
      </c>
      <c r="E119" s="2797" t="s">
        <v>464</v>
      </c>
      <c r="F119" s="1132" t="str">
        <f>IFERROR(IF(ISBLANK(E119),"","Consumption (" &amp; VLOOKUP($E119,PO_Enrgy_1_Table,MATCH($C$16,PO_Enrgy_1_Hdr,0),FALSE) &amp; ")"),"")</f>
        <v>Consumption (kWh)</v>
      </c>
      <c r="G119" s="1152"/>
      <c r="H119" s="1152"/>
      <c r="I119" s="1152"/>
      <c r="J119" s="1152"/>
      <c r="K119" s="2798" t="str">
        <f t="shared" si="3"/>
        <v/>
      </c>
      <c r="L119" s="2798"/>
      <c r="M119" s="2799"/>
      <c r="Q119" s="1296">
        <f t="shared" si="4"/>
        <v>9.999999999999998E-4</v>
      </c>
      <c r="R119" s="1296">
        <f t="shared" si="5"/>
        <v>3.1399999999999996E-3</v>
      </c>
      <c r="S119" s="1296" t="str">
        <f t="shared" si="6"/>
        <v/>
      </c>
      <c r="BC119" s="1906"/>
      <c r="BF119" s="1957"/>
      <c r="BG119" s="1957"/>
      <c r="BH119" s="1957"/>
      <c r="BI119" s="1957"/>
    </row>
    <row r="120" spans="1:61" ht="16.2" customHeight="1" x14ac:dyDescent="0.3">
      <c r="A120" s="1063" t="s">
        <v>1299</v>
      </c>
      <c r="B120" s="2794"/>
      <c r="C120" s="2794"/>
      <c r="D120" s="2796"/>
      <c r="E120" s="2797"/>
      <c r="F120" s="1132" t="str">
        <f>IFERROR(IF(ISBLANK(E119),"","Demand (" &amp; VLOOKUP($E119,PO_Enrgy_1_Table,MATCH($E$16,PO_Enrgy_1_Hdr,0),FALSE) &amp; ")"),"")</f>
        <v>Demand (kW)</v>
      </c>
      <c r="G120" s="1152"/>
      <c r="H120" s="1152"/>
      <c r="I120" s="1152"/>
      <c r="J120" s="1152"/>
      <c r="K120" s="2798" t="str">
        <f t="shared" si="3"/>
        <v/>
      </c>
      <c r="L120" s="2798"/>
      <c r="M120" s="2799"/>
      <c r="Q120" s="1296" t="str">
        <f t="shared" si="4"/>
        <v/>
      </c>
      <c r="R120" s="1296" t="str">
        <f t="shared" si="5"/>
        <v/>
      </c>
      <c r="S120" s="1296" t="str">
        <f t="shared" si="6"/>
        <v/>
      </c>
      <c r="BC120" s="1906"/>
      <c r="BF120" s="1957"/>
      <c r="BG120" s="1957"/>
      <c r="BH120" s="1957"/>
      <c r="BI120" s="1957"/>
    </row>
    <row r="121" spans="1:61" ht="16.2" customHeight="1" x14ac:dyDescent="0.3">
      <c r="A121" s="1063" t="s">
        <v>1299</v>
      </c>
      <c r="B121" s="2794" t="s">
        <v>427</v>
      </c>
      <c r="C121" s="2794"/>
      <c r="D121" s="2796" t="s">
        <v>465</v>
      </c>
      <c r="E121" s="2797" t="s">
        <v>464</v>
      </c>
      <c r="F121" s="1132" t="str">
        <f>IFERROR(IF(ISBLANK(E121),"","Consumption (" &amp; VLOOKUP($E121,PO_Enrgy_1_Table,MATCH($C$16,PO_Enrgy_1_Hdr,0),FALSE) &amp; ")"),"")</f>
        <v>Consumption (kWh)</v>
      </c>
      <c r="G121" s="1152"/>
      <c r="H121" s="1152"/>
      <c r="I121" s="1152"/>
      <c r="J121" s="1152"/>
      <c r="K121" s="2798" t="str">
        <f t="shared" si="3"/>
        <v/>
      </c>
      <c r="L121" s="2798"/>
      <c r="M121" s="2799"/>
      <c r="Q121" s="1296">
        <f t="shared" si="4"/>
        <v>9.999999999999998E-4</v>
      </c>
      <c r="R121" s="1296">
        <f t="shared" si="5"/>
        <v>3.1399999999999996E-3</v>
      </c>
      <c r="S121" s="1296" t="str">
        <f t="shared" si="6"/>
        <v/>
      </c>
      <c r="BC121" s="1906"/>
      <c r="BF121" s="1957"/>
      <c r="BG121" s="1957"/>
      <c r="BH121" s="1957"/>
      <c r="BI121" s="1957"/>
    </row>
    <row r="122" spans="1:61" ht="16.2" customHeight="1" x14ac:dyDescent="0.3">
      <c r="A122" s="1063" t="s">
        <v>1299</v>
      </c>
      <c r="B122" s="2794"/>
      <c r="C122" s="2794"/>
      <c r="D122" s="2796"/>
      <c r="E122" s="2797"/>
      <c r="F122" s="1132" t="str">
        <f>IFERROR(IF(ISBLANK(E121),"","Demand (" &amp; VLOOKUP($E121,PO_Enrgy_1_Table,MATCH($E$16,PO_Enrgy_1_Hdr,0),FALSE) &amp; ")"),"")</f>
        <v>Demand (kW)</v>
      </c>
      <c r="G122" s="1152"/>
      <c r="H122" s="1152"/>
      <c r="I122" s="1152"/>
      <c r="J122" s="1152"/>
      <c r="K122" s="2798" t="str">
        <f t="shared" si="3"/>
        <v/>
      </c>
      <c r="L122" s="2798"/>
      <c r="M122" s="2799"/>
      <c r="Q122" s="1296" t="str">
        <f t="shared" si="4"/>
        <v/>
      </c>
      <c r="R122" s="1296" t="str">
        <f t="shared" si="5"/>
        <v/>
      </c>
      <c r="S122" s="1296" t="str">
        <f t="shared" si="6"/>
        <v/>
      </c>
      <c r="BC122" s="1906"/>
      <c r="BF122" s="1957"/>
      <c r="BG122" s="1957"/>
      <c r="BH122" s="1957"/>
      <c r="BI122" s="1957"/>
    </row>
    <row r="123" spans="1:61" ht="16.2" customHeight="1" x14ac:dyDescent="0.3">
      <c r="A123" s="1063" t="s">
        <v>1299</v>
      </c>
      <c r="B123" s="2794" t="s">
        <v>469</v>
      </c>
      <c r="C123" s="2794"/>
      <c r="D123" s="2796" t="s">
        <v>465</v>
      </c>
      <c r="E123" s="2797" t="s">
        <v>464</v>
      </c>
      <c r="F123" s="1132" t="str">
        <f>IFERROR(IF(ISBLANK(E123),"","Consumption (" &amp; VLOOKUP($E123,PO_Enrgy_1_Table,MATCH($C$16,PO_Enrgy_1_Hdr,0),FALSE) &amp; ")"),"")</f>
        <v>Consumption (kWh)</v>
      </c>
      <c r="G123" s="1152"/>
      <c r="H123" s="1152"/>
      <c r="I123" s="1152"/>
      <c r="J123" s="1152"/>
      <c r="K123" s="2798" t="str">
        <f t="shared" si="3"/>
        <v/>
      </c>
      <c r="L123" s="2798"/>
      <c r="M123" s="2799"/>
      <c r="Q123" s="1296">
        <f t="shared" si="4"/>
        <v>9.999999999999998E-4</v>
      </c>
      <c r="R123" s="1296">
        <f t="shared" si="5"/>
        <v>3.1399999999999996E-3</v>
      </c>
      <c r="S123" s="1296" t="str">
        <f t="shared" si="6"/>
        <v/>
      </c>
      <c r="BC123" s="1906"/>
      <c r="BF123" s="1957"/>
      <c r="BG123" s="1957"/>
      <c r="BH123" s="1957"/>
      <c r="BI123" s="1957"/>
    </row>
    <row r="124" spans="1:61" ht="16.2" customHeight="1" x14ac:dyDescent="0.3">
      <c r="A124" s="1063" t="s">
        <v>1299</v>
      </c>
      <c r="B124" s="2794"/>
      <c r="C124" s="2794"/>
      <c r="D124" s="2796"/>
      <c r="E124" s="2797"/>
      <c r="F124" s="1132" t="str">
        <f>IFERROR(IF(ISBLANK(E123),"","Demand (" &amp; VLOOKUP($E123,PO_Enrgy_1_Table,MATCH($E$16,PO_Enrgy_1_Hdr,0),FALSE) &amp; ")"),"")</f>
        <v>Demand (kW)</v>
      </c>
      <c r="G124" s="1152"/>
      <c r="H124" s="1152"/>
      <c r="I124" s="1152"/>
      <c r="J124" s="1152"/>
      <c r="K124" s="2798" t="str">
        <f t="shared" si="3"/>
        <v/>
      </c>
      <c r="L124" s="2798"/>
      <c r="M124" s="2799"/>
      <c r="Q124" s="1296" t="str">
        <f t="shared" si="4"/>
        <v/>
      </c>
      <c r="R124" s="1296" t="str">
        <f t="shared" si="5"/>
        <v/>
      </c>
      <c r="S124" s="1296" t="str">
        <f t="shared" si="6"/>
        <v/>
      </c>
      <c r="BC124" s="1906"/>
      <c r="BF124" s="1957"/>
      <c r="BG124" s="1957"/>
      <c r="BH124" s="1957"/>
      <c r="BI124" s="1957"/>
    </row>
    <row r="125" spans="1:61" ht="16.2" customHeight="1" x14ac:dyDescent="0.3">
      <c r="A125" s="1063" t="s">
        <v>1299</v>
      </c>
      <c r="B125" s="2794" t="s">
        <v>468</v>
      </c>
      <c r="C125" s="2794"/>
      <c r="D125" s="2796" t="s">
        <v>465</v>
      </c>
      <c r="E125" s="2797" t="s">
        <v>464</v>
      </c>
      <c r="F125" s="1132" t="str">
        <f>IFERROR(IF(ISBLANK(E125),"","Consumption (" &amp; VLOOKUP($E125,PO_Enrgy_1_Table,MATCH($C$16,PO_Enrgy_1_Hdr,0),FALSE) &amp; ")"),"")</f>
        <v>Consumption (kWh)</v>
      </c>
      <c r="G125" s="1152"/>
      <c r="H125" s="1152"/>
      <c r="I125" s="1152"/>
      <c r="J125" s="1152"/>
      <c r="K125" s="2798" t="str">
        <f t="shared" si="3"/>
        <v/>
      </c>
      <c r="L125" s="2798"/>
      <c r="M125" s="2799"/>
      <c r="Q125" s="1296">
        <f t="shared" si="4"/>
        <v>9.999999999999998E-4</v>
      </c>
      <c r="R125" s="1296">
        <f t="shared" si="5"/>
        <v>3.1399999999999996E-3</v>
      </c>
      <c r="S125" s="1296" t="str">
        <f t="shared" si="6"/>
        <v/>
      </c>
      <c r="BC125" s="1906"/>
      <c r="BF125" s="1957"/>
      <c r="BG125" s="1957"/>
      <c r="BH125" s="1957"/>
      <c r="BI125" s="1957"/>
    </row>
    <row r="126" spans="1:61" ht="16.2" customHeight="1" x14ac:dyDescent="0.3">
      <c r="A126" s="1063" t="s">
        <v>1299</v>
      </c>
      <c r="B126" s="2794"/>
      <c r="C126" s="2794"/>
      <c r="D126" s="2796"/>
      <c r="E126" s="2797"/>
      <c r="F126" s="1132" t="str">
        <f>IFERROR(IF(ISBLANK(E125),"","Demand (" &amp; VLOOKUP($E125,PO_Enrgy_1_Table,MATCH($E$16,PO_Enrgy_1_Hdr,0),FALSE) &amp; ")"),"")</f>
        <v>Demand (kW)</v>
      </c>
      <c r="G126" s="1152"/>
      <c r="H126" s="1152"/>
      <c r="I126" s="1152"/>
      <c r="J126" s="1152"/>
      <c r="K126" s="2798" t="str">
        <f t="shared" si="3"/>
        <v/>
      </c>
      <c r="L126" s="2798"/>
      <c r="M126" s="2799"/>
      <c r="Q126" s="1296" t="str">
        <f t="shared" si="4"/>
        <v/>
      </c>
      <c r="R126" s="1296" t="str">
        <f t="shared" si="5"/>
        <v/>
      </c>
      <c r="S126" s="1296" t="str">
        <f t="shared" si="6"/>
        <v/>
      </c>
      <c r="BC126" s="1906"/>
      <c r="BF126" s="1957"/>
      <c r="BG126" s="1957"/>
      <c r="BH126" s="1957"/>
      <c r="BI126" s="1957"/>
    </row>
    <row r="127" spans="1:61" ht="16.2" customHeight="1" x14ac:dyDescent="0.3">
      <c r="A127" s="1063" t="s">
        <v>1299</v>
      </c>
      <c r="B127" s="2794" t="s">
        <v>467</v>
      </c>
      <c r="C127" s="2794"/>
      <c r="D127" s="2796" t="s">
        <v>465</v>
      </c>
      <c r="E127" s="2797" t="s">
        <v>464</v>
      </c>
      <c r="F127" s="1132" t="str">
        <f>IFERROR(IF(ISBLANK(E127),"","Consumption (" &amp; VLOOKUP($E127,PO_Enrgy_1_Table,MATCH($C$16,PO_Enrgy_1_Hdr,0),FALSE) &amp; ")"),"")</f>
        <v>Consumption (kWh)</v>
      </c>
      <c r="G127" s="1152"/>
      <c r="H127" s="1152"/>
      <c r="I127" s="1152"/>
      <c r="J127" s="1152"/>
      <c r="K127" s="2798" t="str">
        <f t="shared" si="3"/>
        <v/>
      </c>
      <c r="L127" s="2798"/>
      <c r="M127" s="2799"/>
      <c r="Q127" s="1296">
        <f t="shared" si="4"/>
        <v>9.999999999999998E-4</v>
      </c>
      <c r="R127" s="1296">
        <f t="shared" si="5"/>
        <v>3.1399999999999996E-3</v>
      </c>
      <c r="S127" s="1296" t="str">
        <f t="shared" si="6"/>
        <v/>
      </c>
      <c r="BC127" s="1906"/>
      <c r="BF127" s="1957"/>
      <c r="BG127" s="1957"/>
      <c r="BH127" s="1957"/>
      <c r="BI127" s="1957"/>
    </row>
    <row r="128" spans="1:61" ht="16.2" customHeight="1" x14ac:dyDescent="0.3">
      <c r="A128" s="1063" t="s">
        <v>1299</v>
      </c>
      <c r="B128" s="2794"/>
      <c r="C128" s="2794"/>
      <c r="D128" s="2796"/>
      <c r="E128" s="2797"/>
      <c r="F128" s="1132" t="str">
        <f>IFERROR(IF(ISBLANK(E127),"","Demand (" &amp; VLOOKUP($E127,PO_Enrgy_1_Table,MATCH($E$16,PO_Enrgy_1_Hdr,0),FALSE) &amp; ")"),"")</f>
        <v>Demand (kW)</v>
      </c>
      <c r="G128" s="1152"/>
      <c r="H128" s="1152"/>
      <c r="I128" s="1152"/>
      <c r="J128" s="1152"/>
      <c r="K128" s="2798" t="str">
        <f t="shared" si="3"/>
        <v/>
      </c>
      <c r="L128" s="2798"/>
      <c r="M128" s="2799"/>
      <c r="Q128" s="1296" t="str">
        <f t="shared" si="4"/>
        <v/>
      </c>
      <c r="R128" s="1296" t="str">
        <f t="shared" si="5"/>
        <v/>
      </c>
      <c r="S128" s="1296" t="str">
        <f t="shared" si="6"/>
        <v/>
      </c>
      <c r="BC128" s="1906"/>
      <c r="BF128" s="1957"/>
      <c r="BG128" s="1957"/>
      <c r="BH128" s="1957"/>
      <c r="BI128" s="1957"/>
    </row>
    <row r="129" spans="1:61" ht="16.2" customHeight="1" x14ac:dyDescent="0.3">
      <c r="A129" s="1063" t="s">
        <v>1299</v>
      </c>
      <c r="B129" s="2794" t="s">
        <v>466</v>
      </c>
      <c r="C129" s="2794"/>
      <c r="D129" s="2796" t="s">
        <v>465</v>
      </c>
      <c r="E129" s="2797" t="s">
        <v>464</v>
      </c>
      <c r="F129" s="1132" t="str">
        <f>IFERROR(IF(ISBLANK(E129),"","Consumption (" &amp; VLOOKUP($E129,PO_Enrgy_1_Table,MATCH($C$16,PO_Enrgy_1_Hdr,0),FALSE) &amp; ")"),"")</f>
        <v>Consumption (kWh)</v>
      </c>
      <c r="G129" s="1152"/>
      <c r="H129" s="1152"/>
      <c r="I129" s="1152"/>
      <c r="J129" s="1152"/>
      <c r="K129" s="2798" t="str">
        <f t="shared" si="3"/>
        <v/>
      </c>
      <c r="L129" s="2798"/>
      <c r="M129" s="2799"/>
      <c r="Q129" s="1296">
        <f t="shared" si="4"/>
        <v>9.999999999999998E-4</v>
      </c>
      <c r="R129" s="1296">
        <f t="shared" si="5"/>
        <v>3.1399999999999996E-3</v>
      </c>
      <c r="S129" s="1296" t="str">
        <f t="shared" si="6"/>
        <v/>
      </c>
      <c r="BC129" s="1906"/>
      <c r="BF129" s="1957"/>
      <c r="BG129" s="1957"/>
      <c r="BH129" s="1957"/>
      <c r="BI129" s="1957"/>
    </row>
    <row r="130" spans="1:61" ht="16.2" customHeight="1" x14ac:dyDescent="0.3">
      <c r="A130" s="1063" t="s">
        <v>1299</v>
      </c>
      <c r="B130" s="2794"/>
      <c r="C130" s="2794"/>
      <c r="D130" s="2796"/>
      <c r="E130" s="2797"/>
      <c r="F130" s="1132" t="str">
        <f>IFERROR(IF(ISBLANK(E129),"","Demand (" &amp; VLOOKUP($E129,PO_Enrgy_1_Table,MATCH($E$16,PO_Enrgy_1_Hdr,0),FALSE) &amp; ")"),"")</f>
        <v>Demand (kW)</v>
      </c>
      <c r="G130" s="1152"/>
      <c r="H130" s="1152"/>
      <c r="I130" s="1152"/>
      <c r="J130" s="1152"/>
      <c r="K130" s="2798" t="str">
        <f t="shared" si="3"/>
        <v/>
      </c>
      <c r="L130" s="2798"/>
      <c r="M130" s="2799"/>
      <c r="Q130" s="1296" t="str">
        <f t="shared" si="4"/>
        <v/>
      </c>
      <c r="R130" s="1296" t="str">
        <f t="shared" si="5"/>
        <v/>
      </c>
      <c r="S130" s="1296" t="str">
        <f t="shared" si="6"/>
        <v/>
      </c>
      <c r="BC130" s="1906"/>
      <c r="BF130" s="1957"/>
      <c r="BG130" s="1957"/>
      <c r="BH130" s="1957"/>
      <c r="BI130" s="1957"/>
    </row>
    <row r="131" spans="1:61" ht="16.2" customHeight="1" x14ac:dyDescent="0.3">
      <c r="A131" s="1063" t="s">
        <v>1299</v>
      </c>
      <c r="B131" s="2794" t="s">
        <v>1090</v>
      </c>
      <c r="C131" s="2794"/>
      <c r="D131" s="2796"/>
      <c r="E131" s="2797" t="s">
        <v>464</v>
      </c>
      <c r="F131" s="1132" t="str">
        <f>IFERROR(IF(ISBLANK(E131),"","Consumption (" &amp; VLOOKUP($E131,PO_Enrgy_1_Table,MATCH($C$16,PO_Enrgy_1_Hdr,0),FALSE) &amp; ")"),"")</f>
        <v>Consumption (kWh)</v>
      </c>
      <c r="G131" s="1152"/>
      <c r="H131" s="1152"/>
      <c r="I131" s="1152"/>
      <c r="J131" s="1152"/>
      <c r="K131" s="2798" t="str">
        <f t="shared" si="3"/>
        <v/>
      </c>
      <c r="L131" s="2798"/>
      <c r="M131" s="2799"/>
      <c r="Q131" s="1296">
        <f t="shared" si="4"/>
        <v>9.999999999999998E-4</v>
      </c>
      <c r="R131" s="1296">
        <f t="shared" si="5"/>
        <v>3.1399999999999996E-3</v>
      </c>
      <c r="S131" s="1296" t="str">
        <f t="shared" si="6"/>
        <v/>
      </c>
      <c r="BC131" s="1906"/>
      <c r="BF131" s="1957" t="s">
        <v>2203</v>
      </c>
      <c r="BG131" s="1957"/>
      <c r="BH131" s="1957"/>
      <c r="BI131" s="1957"/>
    </row>
    <row r="132" spans="1:61" ht="16.2" customHeight="1" x14ac:dyDescent="0.3">
      <c r="A132" s="1063" t="s">
        <v>1299</v>
      </c>
      <c r="B132" s="2794"/>
      <c r="C132" s="2794"/>
      <c r="D132" s="2796"/>
      <c r="E132" s="2797"/>
      <c r="F132" s="1132" t="str">
        <f>IFERROR(IF(ISBLANK(E131),"","Demand (" &amp; VLOOKUP($E131,PO_Enrgy_1_Table,MATCH($E$16,PO_Enrgy_1_Hdr,0),FALSE) &amp; ")"),"")</f>
        <v>Demand (kW)</v>
      </c>
      <c r="G132" s="1152"/>
      <c r="H132" s="1152"/>
      <c r="I132" s="1152"/>
      <c r="J132" s="1152"/>
      <c r="K132" s="2798" t="str">
        <f t="shared" si="3"/>
        <v/>
      </c>
      <c r="L132" s="2798"/>
      <c r="M132" s="2799"/>
      <c r="Q132" s="1296" t="str">
        <f t="shared" si="4"/>
        <v/>
      </c>
      <c r="R132" s="1296" t="str">
        <f t="shared" si="5"/>
        <v/>
      </c>
      <c r="S132" s="1296" t="str">
        <f t="shared" si="6"/>
        <v/>
      </c>
      <c r="BC132" s="1906"/>
      <c r="BF132" s="1957" t="s">
        <v>2204</v>
      </c>
      <c r="BG132" s="1957"/>
      <c r="BH132" s="1957"/>
      <c r="BI132" s="1957"/>
    </row>
    <row r="133" spans="1:61" ht="16.2" customHeight="1" x14ac:dyDescent="0.3">
      <c r="A133" s="1063" t="s">
        <v>1299</v>
      </c>
      <c r="B133" s="2797" t="s">
        <v>2171</v>
      </c>
      <c r="C133" s="2797"/>
      <c r="D133" s="2796"/>
      <c r="E133" s="2797" t="s">
        <v>464</v>
      </c>
      <c r="F133" s="1132" t="str">
        <f>IFERROR(IF(ISBLANK(E133),"","Consumption (" &amp; VLOOKUP($E133,PO_Enrgy_1_Table,MATCH($C$16,PO_Enrgy_1_Hdr,0),FALSE) &amp; ")"),"")</f>
        <v>Consumption (kWh)</v>
      </c>
      <c r="G133" s="1152"/>
      <c r="H133" s="1152"/>
      <c r="I133" s="1152"/>
      <c r="J133" s="1152"/>
      <c r="K133" s="2798" t="str">
        <f t="shared" si="3"/>
        <v/>
      </c>
      <c r="L133" s="2798"/>
      <c r="M133" s="2799"/>
      <c r="Q133" s="1296">
        <f t="shared" si="4"/>
        <v>9.999999999999998E-4</v>
      </c>
      <c r="R133" s="1296">
        <f t="shared" si="5"/>
        <v>3.1399999999999996E-3</v>
      </c>
      <c r="S133" s="1296" t="str">
        <f t="shared" si="6"/>
        <v/>
      </c>
      <c r="BC133" s="1906"/>
      <c r="BF133" s="1957" t="s">
        <v>2205</v>
      </c>
      <c r="BG133" s="1957"/>
      <c r="BH133" s="1957"/>
      <c r="BI133" s="1957"/>
    </row>
    <row r="134" spans="1:61" ht="16.2" customHeight="1" x14ac:dyDescent="0.3">
      <c r="A134" s="1063" t="s">
        <v>1299</v>
      </c>
      <c r="B134" s="2797"/>
      <c r="C134" s="2797"/>
      <c r="D134" s="2796"/>
      <c r="E134" s="2797"/>
      <c r="F134" s="1132" t="str">
        <f>IFERROR(IF(ISBLANK(E133),"","Demand (" &amp; VLOOKUP($E133,PO_Enrgy_1_Table,MATCH($E$16,PO_Enrgy_1_Hdr,0),FALSE) &amp; ")"),"")</f>
        <v>Demand (kW)</v>
      </c>
      <c r="G134" s="1152"/>
      <c r="H134" s="1152"/>
      <c r="I134" s="1152"/>
      <c r="J134" s="1152"/>
      <c r="K134" s="2798" t="str">
        <f t="shared" si="3"/>
        <v/>
      </c>
      <c r="L134" s="2798"/>
      <c r="M134" s="2799"/>
      <c r="Q134" s="1296" t="str">
        <f t="shared" si="4"/>
        <v/>
      </c>
      <c r="R134" s="1296" t="str">
        <f t="shared" si="5"/>
        <v/>
      </c>
      <c r="S134" s="1296" t="str">
        <f t="shared" si="6"/>
        <v/>
      </c>
      <c r="BC134" s="1906"/>
      <c r="BF134" s="1957" t="s">
        <v>2206</v>
      </c>
      <c r="BG134" s="1957"/>
      <c r="BH134" s="1957"/>
      <c r="BI134" s="1957"/>
    </row>
    <row r="135" spans="1:61" ht="16.2" customHeight="1" x14ac:dyDescent="0.3">
      <c r="A135" s="1063" t="s">
        <v>1299</v>
      </c>
      <c r="B135" s="2797" t="s">
        <v>2210</v>
      </c>
      <c r="C135" s="2797"/>
      <c r="D135" s="2796"/>
      <c r="E135" s="2797" t="s">
        <v>478</v>
      </c>
      <c r="F135" s="1132" t="str">
        <f>IFERROR(IF(ISBLANK(E135),"","Consumption (" &amp; VLOOKUP($E135,PO_Enrgy_1_Table,MATCH($C$16,PO_Enrgy_1_Hdr,0),FALSE) &amp; ")"),"")</f>
        <v>Consumption (therm)</v>
      </c>
      <c r="G135" s="1152"/>
      <c r="H135" s="1152"/>
      <c r="I135" s="1152"/>
      <c r="J135" s="1152"/>
      <c r="K135" s="2798" t="str">
        <f t="shared" si="3"/>
        <v/>
      </c>
      <c r="L135" s="2798"/>
      <c r="M135" s="2799"/>
      <c r="Q135" s="1296">
        <f t="shared" si="4"/>
        <v>2.9308323563892142E-2</v>
      </c>
      <c r="R135" s="1296">
        <f t="shared" si="5"/>
        <v>3.0773739742086751E-2</v>
      </c>
      <c r="S135" s="1296" t="str">
        <f t="shared" si="6"/>
        <v/>
      </c>
      <c r="BC135" s="1906"/>
      <c r="BF135" s="1957" t="s">
        <v>2207</v>
      </c>
      <c r="BG135" s="1957"/>
      <c r="BH135" s="1957"/>
      <c r="BI135" s="1957"/>
    </row>
    <row r="136" spans="1:61" ht="15.75" customHeight="1" x14ac:dyDescent="0.3">
      <c r="A136" s="1063" t="s">
        <v>1299</v>
      </c>
      <c r="B136" s="2797"/>
      <c r="C136" s="2797"/>
      <c r="D136" s="2796"/>
      <c r="E136" s="2797"/>
      <c r="F136" s="1132" t="str">
        <f>IFERROR(IF(ISBLANK(E135),"","Demand (" &amp; VLOOKUP($E135,PO_Enrgy_1_Table,MATCH($E$16,PO_Enrgy_1_Hdr,0),FALSE) &amp; ")"),"")</f>
        <v>Demand (Btuh x 10^6)</v>
      </c>
      <c r="G136" s="1152"/>
      <c r="H136" s="1152"/>
      <c r="I136" s="1152"/>
      <c r="J136" s="1152"/>
      <c r="K136" s="2798" t="str">
        <f t="shared" si="3"/>
        <v/>
      </c>
      <c r="L136" s="2798"/>
      <c r="M136" s="2799"/>
      <c r="Q136" s="1296" t="str">
        <f t="shared" si="4"/>
        <v/>
      </c>
      <c r="R136" s="1296" t="str">
        <f t="shared" si="5"/>
        <v/>
      </c>
      <c r="S136" s="1296" t="str">
        <f t="shared" si="6"/>
        <v/>
      </c>
      <c r="BC136" s="1906"/>
      <c r="BF136" s="1957"/>
      <c r="BG136" s="1957"/>
      <c r="BH136" s="1957"/>
      <c r="BI136" s="1957"/>
    </row>
    <row r="137" spans="1:61" ht="16.2" customHeight="1" x14ac:dyDescent="0.3">
      <c r="A137" s="1063" t="s">
        <v>1299</v>
      </c>
      <c r="B137" s="2797" t="s">
        <v>2211</v>
      </c>
      <c r="C137" s="2797"/>
      <c r="D137" s="2796"/>
      <c r="E137" s="2797" t="s">
        <v>478</v>
      </c>
      <c r="F137" s="1132" t="str">
        <f>IFERROR(IF(ISBLANK(E137),"","Consumption (" &amp; VLOOKUP($E137,PO_Enrgy_1_Table,MATCH($C$16,PO_Enrgy_1_Hdr,0),FALSE) &amp; ")"),"")</f>
        <v>Consumption (therm)</v>
      </c>
      <c r="G137" s="1152"/>
      <c r="H137" s="1152"/>
      <c r="I137" s="1152"/>
      <c r="J137" s="1152"/>
      <c r="K137" s="2798" t="str">
        <f t="shared" si="3"/>
        <v/>
      </c>
      <c r="L137" s="2798"/>
      <c r="M137" s="2799"/>
      <c r="Q137" s="1296">
        <f t="shared" si="4"/>
        <v>2.9308323563892142E-2</v>
      </c>
      <c r="R137" s="1296">
        <f t="shared" si="5"/>
        <v>3.0773739742086751E-2</v>
      </c>
      <c r="S137" s="1296" t="str">
        <f t="shared" si="6"/>
        <v/>
      </c>
      <c r="BC137" s="1906"/>
      <c r="BF137" s="1957" t="s">
        <v>2208</v>
      </c>
      <c r="BG137" s="1957"/>
      <c r="BH137" s="1957"/>
      <c r="BI137" s="1957"/>
    </row>
    <row r="138" spans="1:61" ht="16.5" customHeight="1" x14ac:dyDescent="0.3">
      <c r="A138" s="1063" t="s">
        <v>1299</v>
      </c>
      <c r="B138" s="2797"/>
      <c r="C138" s="2797"/>
      <c r="D138" s="2796"/>
      <c r="E138" s="2797"/>
      <c r="F138" s="1132" t="str">
        <f>IFERROR(IF(ISBLANK(E137),"","Demand (" &amp; VLOOKUP($E137,PO_Enrgy_1_Table,MATCH($E$16,PO_Enrgy_1_Hdr,0),FALSE) &amp; ")"),"")</f>
        <v>Demand (Btuh x 10^6)</v>
      </c>
      <c r="G138" s="1152"/>
      <c r="H138" s="1152"/>
      <c r="I138" s="1152"/>
      <c r="J138" s="1152"/>
      <c r="K138" s="2798" t="str">
        <f t="shared" si="3"/>
        <v/>
      </c>
      <c r="L138" s="2798"/>
      <c r="M138" s="2799"/>
      <c r="Q138" s="1296" t="str">
        <f t="shared" si="4"/>
        <v/>
      </c>
      <c r="R138" s="1296" t="str">
        <f t="shared" si="5"/>
        <v/>
      </c>
      <c r="S138" s="1296" t="str">
        <f t="shared" si="6"/>
        <v/>
      </c>
      <c r="BC138" s="1906"/>
      <c r="BF138" s="1957"/>
      <c r="BG138" s="1957"/>
      <c r="BH138" s="1957"/>
      <c r="BI138" s="1957"/>
    </row>
    <row r="139" spans="1:61" ht="16.2" customHeight="1" x14ac:dyDescent="0.3">
      <c r="A139" s="1063" t="s">
        <v>1299</v>
      </c>
      <c r="B139" s="2797" t="s">
        <v>2212</v>
      </c>
      <c r="C139" s="2797"/>
      <c r="D139" s="2796"/>
      <c r="E139" s="2797" t="s">
        <v>478</v>
      </c>
      <c r="F139" s="1132" t="str">
        <f>IFERROR(IF(ISBLANK(E139),"","Consumption (" &amp; VLOOKUP($E139,PO_Enrgy_1_Table,MATCH($C$16,PO_Enrgy_1_Hdr,0),FALSE) &amp; ")"),"")</f>
        <v>Consumption (therm)</v>
      </c>
      <c r="G139" s="1152"/>
      <c r="H139" s="1152"/>
      <c r="I139" s="1152"/>
      <c r="J139" s="1152"/>
      <c r="K139" s="2798" t="str">
        <f t="shared" si="3"/>
        <v/>
      </c>
      <c r="L139" s="2798"/>
      <c r="M139" s="2799"/>
      <c r="Q139" s="1296">
        <f t="shared" si="4"/>
        <v>2.9308323563892142E-2</v>
      </c>
      <c r="R139" s="1296">
        <f t="shared" si="5"/>
        <v>3.0773739742086751E-2</v>
      </c>
      <c r="S139" s="1296" t="str">
        <f t="shared" si="6"/>
        <v/>
      </c>
      <c r="BC139" s="1906"/>
      <c r="BF139" s="1957" t="s">
        <v>2209</v>
      </c>
      <c r="BG139" s="1957"/>
      <c r="BH139" s="1957"/>
      <c r="BI139" s="1957"/>
    </row>
    <row r="140" spans="1:61" ht="15.75" customHeight="1" x14ac:dyDescent="0.3">
      <c r="A140" s="1063" t="s">
        <v>1299</v>
      </c>
      <c r="B140" s="2797"/>
      <c r="C140" s="2797"/>
      <c r="D140" s="2796"/>
      <c r="E140" s="2797"/>
      <c r="F140" s="1132" t="str">
        <f>IFERROR(IF(ISBLANK(E139),"","Demand (" &amp; VLOOKUP($E139,PO_Enrgy_1_Table,MATCH($E$16,PO_Enrgy_1_Hdr,0),FALSE) &amp; ")"),"")</f>
        <v>Demand (Btuh x 10^6)</v>
      </c>
      <c r="G140" s="1152"/>
      <c r="H140" s="1152"/>
      <c r="I140" s="1152"/>
      <c r="J140" s="1152"/>
      <c r="K140" s="2798" t="str">
        <f t="shared" si="3"/>
        <v/>
      </c>
      <c r="L140" s="2798"/>
      <c r="M140" s="2799"/>
      <c r="Q140" s="1296" t="str">
        <f t="shared" si="4"/>
        <v/>
      </c>
      <c r="R140" s="1296" t="str">
        <f t="shared" si="5"/>
        <v/>
      </c>
      <c r="S140" s="1296" t="str">
        <f t="shared" si="6"/>
        <v/>
      </c>
      <c r="BC140" s="1906"/>
      <c r="BF140" s="1957"/>
      <c r="BG140" s="1957"/>
      <c r="BH140" s="1957"/>
      <c r="BI140" s="1957"/>
    </row>
    <row r="141" spans="1:61" ht="16.2" customHeight="1" x14ac:dyDescent="0.3">
      <c r="A141" s="1063" t="s">
        <v>1299</v>
      </c>
      <c r="B141" s="2797"/>
      <c r="C141" s="2797"/>
      <c r="D141" s="2796"/>
      <c r="E141" s="2797"/>
      <c r="F141" s="1132" t="str">
        <f>IFERROR(IF(ISBLANK(E141),"","Consumption (" &amp; VLOOKUP($E141,PO_Enrgy_1_Table,MATCH($C$16,PO_Enrgy_1_Hdr,0),FALSE) &amp; ")"),"")</f>
        <v/>
      </c>
      <c r="G141" s="1152"/>
      <c r="H141" s="1152"/>
      <c r="I141" s="1152"/>
      <c r="J141" s="1152"/>
      <c r="K141" s="2798" t="str">
        <f t="shared" si="3"/>
        <v/>
      </c>
      <c r="L141" s="2798"/>
      <c r="M141" s="2799"/>
      <c r="Q141" s="1296" t="str">
        <f t="shared" si="4"/>
        <v/>
      </c>
      <c r="R141" s="1296" t="str">
        <f t="shared" si="5"/>
        <v/>
      </c>
      <c r="S141" s="1296" t="str">
        <f t="shared" si="6"/>
        <v/>
      </c>
      <c r="BC141" s="1906"/>
      <c r="BF141" s="1906"/>
      <c r="BG141" s="1957"/>
      <c r="BH141" s="1957"/>
      <c r="BI141" s="1957"/>
    </row>
    <row r="142" spans="1:61" ht="16.5" customHeight="1" x14ac:dyDescent="0.3">
      <c r="A142" s="1063" t="s">
        <v>1299</v>
      </c>
      <c r="B142" s="2797"/>
      <c r="C142" s="2797"/>
      <c r="D142" s="2796"/>
      <c r="E142" s="2797"/>
      <c r="F142" s="1132" t="str">
        <f>IFERROR(IF(ISBLANK(E141),"","Demand (" &amp; VLOOKUP($E141,PO_Enrgy_1_Table,MATCH($E$16,PO_Enrgy_1_Hdr,0),FALSE) &amp; ")"),"")</f>
        <v/>
      </c>
      <c r="G142" s="1152"/>
      <c r="H142" s="1152"/>
      <c r="I142" s="1152"/>
      <c r="J142" s="1152"/>
      <c r="K142" s="2798" t="str">
        <f t="shared" si="3"/>
        <v/>
      </c>
      <c r="L142" s="2798"/>
      <c r="M142" s="2799"/>
      <c r="Q142" s="1296" t="str">
        <f t="shared" si="4"/>
        <v/>
      </c>
      <c r="R142" s="1296" t="str">
        <f t="shared" si="5"/>
        <v/>
      </c>
      <c r="S142" s="1296" t="str">
        <f t="shared" si="6"/>
        <v/>
      </c>
      <c r="BC142" s="1906"/>
      <c r="BF142" s="1906"/>
      <c r="BG142" s="1957"/>
      <c r="BH142" s="1957"/>
      <c r="BI142" s="1957"/>
    </row>
    <row r="143" spans="1:61" ht="16.2" customHeight="1" x14ac:dyDescent="0.3">
      <c r="A143" s="1063" t="s">
        <v>1299</v>
      </c>
      <c r="B143" s="2797"/>
      <c r="C143" s="2797"/>
      <c r="D143" s="2796"/>
      <c r="E143" s="2797"/>
      <c r="F143" s="1132" t="str">
        <f>IFERROR(IF(ISBLANK(E143),"","Consumption (" &amp; VLOOKUP($E143,PO_Enrgy_1_Table,MATCH($C$16,PO_Enrgy_1_Hdr,0),FALSE) &amp; ")"),"")</f>
        <v/>
      </c>
      <c r="G143" s="1152"/>
      <c r="H143" s="1152"/>
      <c r="I143" s="1152"/>
      <c r="J143" s="1152"/>
      <c r="K143" s="2798" t="str">
        <f t="shared" si="3"/>
        <v/>
      </c>
      <c r="L143" s="2798"/>
      <c r="M143" s="2799"/>
      <c r="Q143" s="1296" t="str">
        <f t="shared" si="4"/>
        <v/>
      </c>
      <c r="R143" s="1296" t="str">
        <f t="shared" si="5"/>
        <v/>
      </c>
      <c r="S143" s="1296" t="str">
        <f t="shared" si="6"/>
        <v/>
      </c>
      <c r="BC143" s="1906"/>
      <c r="BF143" s="1906"/>
      <c r="BG143" s="1957"/>
      <c r="BH143" s="1957"/>
      <c r="BI143" s="1957"/>
    </row>
    <row r="144" spans="1:61" ht="15.75" customHeight="1" x14ac:dyDescent="0.3">
      <c r="A144" s="1063" t="s">
        <v>1299</v>
      </c>
      <c r="B144" s="2797"/>
      <c r="C144" s="2797"/>
      <c r="D144" s="2796"/>
      <c r="E144" s="2797"/>
      <c r="F144" s="1132" t="str">
        <f>IFERROR(IF(ISBLANK(E143),"","Demand (" &amp; VLOOKUP($E143,PO_Enrgy_1_Table,MATCH($E$16,PO_Enrgy_1_Hdr,0),FALSE) &amp; ")"),"")</f>
        <v/>
      </c>
      <c r="G144" s="1152"/>
      <c r="H144" s="1152"/>
      <c r="I144" s="1152"/>
      <c r="J144" s="1152"/>
      <c r="K144" s="2798" t="str">
        <f t="shared" si="3"/>
        <v/>
      </c>
      <c r="L144" s="2798"/>
      <c r="M144" s="2799"/>
      <c r="Q144" s="1296" t="str">
        <f t="shared" si="4"/>
        <v/>
      </c>
      <c r="R144" s="1296" t="str">
        <f t="shared" si="5"/>
        <v/>
      </c>
      <c r="S144" s="1296" t="str">
        <f t="shared" si="6"/>
        <v/>
      </c>
      <c r="BC144" s="1906"/>
      <c r="BF144" s="1906"/>
      <c r="BG144" s="1957"/>
      <c r="BH144" s="1957"/>
      <c r="BI144" s="1957"/>
    </row>
    <row r="145" spans="1:61" ht="18.75" hidden="1" customHeight="1" x14ac:dyDescent="0.3">
      <c r="A145" s="1063" t="s">
        <v>1299</v>
      </c>
      <c r="B145" s="1100"/>
      <c r="C145" s="1100"/>
      <c r="D145" s="1149"/>
      <c r="E145" s="1100" t="s">
        <v>1765</v>
      </c>
      <c r="F145" s="1100" t="s">
        <v>1793</v>
      </c>
      <c r="G145" s="1100" t="s">
        <v>1794</v>
      </c>
      <c r="H145" s="1100" t="s">
        <v>1795</v>
      </c>
      <c r="I145" s="1100" t="s">
        <v>1796</v>
      </c>
      <c r="J145" s="1100" t="s">
        <v>1797</v>
      </c>
      <c r="K145" s="1100" t="s">
        <v>1799</v>
      </c>
      <c r="L145" s="1150"/>
      <c r="M145" s="1151"/>
      <c r="Q145" s="1304" t="s">
        <v>1776</v>
      </c>
      <c r="R145" s="1304" t="s">
        <v>1777</v>
      </c>
      <c r="S145" s="1296" t="str">
        <f t="shared" si="6"/>
        <v/>
      </c>
      <c r="BC145" s="1906"/>
      <c r="BF145" s="1906"/>
      <c r="BG145" s="1957"/>
      <c r="BH145" s="1957"/>
      <c r="BI145" s="1957"/>
    </row>
    <row r="146" spans="1:61" ht="21" customHeight="1" x14ac:dyDescent="0.3">
      <c r="A146" s="1063" t="s">
        <v>1299</v>
      </c>
      <c r="B146" s="2802" t="s">
        <v>1259</v>
      </c>
      <c r="C146" s="2803"/>
      <c r="D146" s="2804"/>
      <c r="E146" s="1154" t="str">
        <f>IFERROR(IF(ISBLANK(B17),"",B17),"")</f>
        <v>Electricity</v>
      </c>
      <c r="F146" s="1154" t="str">
        <f>IFERROR(IF(ISBLANK(E146),"",VLOOKUP($E146,PO_Enrgy_1_Table,MATCH($C$16,PO_Enrgy_1_Hdr,0),FALSE) ),"")</f>
        <v>kWh</v>
      </c>
      <c r="G146" s="1155">
        <f t="shared" ref="G146:M148" si="7">IFERROR(SUMIFS(INDEX(PO_baseline_table,0,MATCH(G$96,PO_baseline_hdr,0)),INDEX(PO_baseline_table,0,MATCH($E$96,PO_baseline_hdr,0)),$E146,INDEX(PO_baseline_table,0,MATCH($F$96,PO_baseline_hdr,0)),"=Con*"),"")</f>
        <v>0</v>
      </c>
      <c r="H146" s="1155">
        <f t="shared" si="7"/>
        <v>0</v>
      </c>
      <c r="I146" s="1155">
        <f t="shared" si="7"/>
        <v>0</v>
      </c>
      <c r="J146" s="1155">
        <f t="shared" si="7"/>
        <v>0</v>
      </c>
      <c r="K146" s="2801">
        <f t="shared" si="7"/>
        <v>0</v>
      </c>
      <c r="L146" s="2801" t="str">
        <f t="shared" si="7"/>
        <v/>
      </c>
      <c r="M146" s="2801" t="str">
        <f t="shared" si="7"/>
        <v/>
      </c>
      <c r="Q146" s="1296">
        <f>IFERROR(IF(ISBLANK($E146),"",VLOOKUP($E146,PO_Enrgy_1_Table,MATCH($K$16,PO_Enrgy_1_Hdr,0),FALSE)),"")</f>
        <v>9.999999999999998E-4</v>
      </c>
      <c r="R146" s="1296">
        <f>IFERROR(IF(ISBLANK($E146),"",VLOOKUP($E146,PO_Enrgy_1_Table,MATCH($M$16,PO_Enrgy_1_Hdr,0),FALSE)),"")</f>
        <v>3.1399999999999996E-3</v>
      </c>
      <c r="S146" s="1296"/>
      <c r="AD146" s="546"/>
      <c r="BC146" s="1906"/>
      <c r="BF146" s="1906"/>
      <c r="BG146" s="1957"/>
      <c r="BH146" s="1957"/>
      <c r="BI146" s="1957"/>
    </row>
    <row r="147" spans="1:61" ht="21" customHeight="1" x14ac:dyDescent="0.3">
      <c r="A147" s="1063" t="s">
        <v>1299</v>
      </c>
      <c r="B147" s="2802"/>
      <c r="C147" s="2803"/>
      <c r="D147" s="2804"/>
      <c r="E147" s="1154" t="str">
        <f>IFERROR(IF(ISBLANK(B18),"",B18),"")</f>
        <v>Natural Gas</v>
      </c>
      <c r="F147" s="1154" t="str">
        <f>IFERROR(IF(ISBLANK(E147),"",VLOOKUP($E147,PO_Enrgy_1_Table,MATCH($C$16,PO_Enrgy_1_Hdr,0),FALSE) ),"")</f>
        <v>therm</v>
      </c>
      <c r="G147" s="1155">
        <f t="shared" si="7"/>
        <v>0</v>
      </c>
      <c r="H147" s="1155">
        <f t="shared" si="7"/>
        <v>0</v>
      </c>
      <c r="I147" s="1155">
        <f t="shared" si="7"/>
        <v>0</v>
      </c>
      <c r="J147" s="1155">
        <f t="shared" si="7"/>
        <v>0</v>
      </c>
      <c r="K147" s="2801">
        <f t="shared" si="7"/>
        <v>0</v>
      </c>
      <c r="L147" s="2801" t="str">
        <f t="shared" si="7"/>
        <v/>
      </c>
      <c r="M147" s="2801" t="str">
        <f t="shared" si="7"/>
        <v/>
      </c>
      <c r="Q147" s="1296">
        <f>IFERROR(IF(ISBLANK($E147),"",VLOOKUP($E147,PO_Enrgy_1_Table,MATCH($K$16,PO_Enrgy_1_Hdr,0),FALSE)),"")</f>
        <v>2.9308323563892142E-2</v>
      </c>
      <c r="R147" s="1296">
        <f>IFERROR(IF(ISBLANK($E147),"",VLOOKUP($E147,PO_Enrgy_1_Table,MATCH($M$16,PO_Enrgy_1_Hdr,0),FALSE)),"")</f>
        <v>3.0773739742086751E-2</v>
      </c>
      <c r="S147" s="1296"/>
      <c r="AD147" s="546"/>
      <c r="BC147" s="1906"/>
      <c r="BF147" s="1906"/>
      <c r="BG147" s="1957"/>
      <c r="BH147" s="1957"/>
      <c r="BI147" s="1957"/>
    </row>
    <row r="148" spans="1:61" ht="21" customHeight="1" x14ac:dyDescent="0.3">
      <c r="A148" s="1063" t="s">
        <v>1299</v>
      </c>
      <c r="B148" s="2802"/>
      <c r="C148" s="2803"/>
      <c r="D148" s="2804"/>
      <c r="E148" s="1154" t="str">
        <f>IFERROR(IF(ISBLANK(B19),"",B19),"")</f>
        <v>District Cooling</v>
      </c>
      <c r="F148" s="1154" t="str">
        <f>IFERROR(IF(ISBLANK(E148),"",VLOOKUP($E148,PO_Enrgy_1_Table,MATCH($C$16,PO_Enrgy_1_Hdr,0),FALSE) ),"")</f>
        <v>MWh</v>
      </c>
      <c r="G148" s="1155">
        <f t="shared" si="7"/>
        <v>0</v>
      </c>
      <c r="H148" s="1155">
        <f t="shared" si="7"/>
        <v>0</v>
      </c>
      <c r="I148" s="1155">
        <f t="shared" si="7"/>
        <v>0</v>
      </c>
      <c r="J148" s="1155">
        <f t="shared" si="7"/>
        <v>0</v>
      </c>
      <c r="K148" s="2801">
        <f t="shared" si="7"/>
        <v>0</v>
      </c>
      <c r="L148" s="2801" t="str">
        <f t="shared" si="7"/>
        <v/>
      </c>
      <c r="M148" s="2801" t="str">
        <f t="shared" si="7"/>
        <v/>
      </c>
      <c r="Q148" s="1296">
        <f>IFERROR(IF(ISBLANK($E148),"",VLOOKUP($E148,PO_Enrgy_1_Table,MATCH($K$16,PO_Enrgy_1_Hdr,0),FALSE)),"")</f>
        <v>0.99999999999999989</v>
      </c>
      <c r="R148" s="1296">
        <f>IFERROR(IF(ISBLANK($E148),"",VLOOKUP($E148,PO_Enrgy_1_Table,MATCH($M$16,PO_Enrgy_1_Hdr,0),FALSE)),"")</f>
        <v>0.99999999999999989</v>
      </c>
      <c r="S148" s="1296"/>
      <c r="AD148" s="546"/>
      <c r="BC148" s="1906"/>
      <c r="BF148" s="1906"/>
      <c r="BG148" s="1957"/>
      <c r="BH148" s="1957"/>
      <c r="BI148" s="1957"/>
    </row>
    <row r="149" spans="1:61" ht="21" customHeight="1" x14ac:dyDescent="0.3">
      <c r="A149" s="1063" t="s">
        <v>1299</v>
      </c>
      <c r="B149" s="2810" t="str">
        <f>"Total site energy (" &amp; PO_SiteUnits &amp; ")"</f>
        <v>Total site energy (MWh)</v>
      </c>
      <c r="C149" s="2815"/>
      <c r="D149" s="2815"/>
      <c r="E149" s="2815"/>
      <c r="F149" s="2815"/>
      <c r="G149" s="1156">
        <f t="shared" ref="G149:M149" si="8">IFERROR(SUMPRODUCT(INDEX(PO_Enrgy_5_Table,0,MATCH(G$145,PO_Enrgy_5_Hdr,0)),INDEX(PO_Enrgy_5_Table,0,MATCH($Q145,PO_Enrgy_5_Hdr,0))),"")</f>
        <v>0</v>
      </c>
      <c r="H149" s="1156">
        <f t="shared" si="8"/>
        <v>0</v>
      </c>
      <c r="I149" s="1156">
        <f t="shared" si="8"/>
        <v>0</v>
      </c>
      <c r="J149" s="1156">
        <f t="shared" si="8"/>
        <v>0</v>
      </c>
      <c r="K149" s="2801">
        <f t="shared" si="8"/>
        <v>0</v>
      </c>
      <c r="L149" s="2816" t="str">
        <f t="shared" si="8"/>
        <v/>
      </c>
      <c r="M149" s="2817" t="str">
        <f t="shared" si="8"/>
        <v/>
      </c>
      <c r="BC149" s="1906"/>
      <c r="BF149" s="1906"/>
      <c r="BG149" s="1957"/>
      <c r="BH149" s="1957"/>
      <c r="BI149" s="1957"/>
    </row>
    <row r="150" spans="1:61" ht="21" customHeight="1" x14ac:dyDescent="0.3">
      <c r="A150" s="1063" t="s">
        <v>1299</v>
      </c>
      <c r="B150" s="2810" t="str">
        <f>"Total source energy (" &amp; PO_SourceUnits &amp; ")"</f>
        <v>Total source energy (MWh)</v>
      </c>
      <c r="C150" s="2815"/>
      <c r="D150" s="2815"/>
      <c r="E150" s="2815"/>
      <c r="F150" s="2815"/>
      <c r="G150" s="1156">
        <f>IFERROR(SUMPRODUCT(G$146:G$147,$R$146:$R$147),0)</f>
        <v>0</v>
      </c>
      <c r="H150" s="1156">
        <f>IFERROR(SUMPRODUCT(H$146:H$147,$R$146:$R$147),0)</f>
        <v>0</v>
      </c>
      <c r="I150" s="1156">
        <f>IFERROR(SUMPRODUCT(I$146:I$147,$R$146:$R$147),0)</f>
        <v>0</v>
      </c>
      <c r="J150" s="1156">
        <f>IFERROR(SUMPRODUCT(J$146:J$147,$R$146:$R$147),0)</f>
        <v>0</v>
      </c>
      <c r="K150" s="2801">
        <f t="shared" ref="K150:M150" si="9">IFERROR(SUMPRODUCT(K$146:K$147,$R$146:$R$147),0)</f>
        <v>0</v>
      </c>
      <c r="L150" s="2816">
        <f t="shared" si="9"/>
        <v>0</v>
      </c>
      <c r="M150" s="2817">
        <f t="shared" si="9"/>
        <v>0</v>
      </c>
      <c r="BC150" s="1906"/>
      <c r="BF150" s="1906"/>
      <c r="BG150" s="1957"/>
      <c r="BH150" s="1957"/>
      <c r="BI150" s="1957"/>
    </row>
    <row r="151" spans="1:61" ht="21" customHeight="1" x14ac:dyDescent="0.3">
      <c r="A151" s="1063" t="s">
        <v>1299</v>
      </c>
      <c r="B151" s="685"/>
      <c r="C151" s="685"/>
      <c r="D151" s="685"/>
      <c r="E151" s="549"/>
      <c r="F151" s="549"/>
      <c r="G151" s="533"/>
      <c r="H151" s="533"/>
      <c r="I151" s="533"/>
      <c r="J151" s="533"/>
      <c r="K151" s="533"/>
      <c r="L151" s="533"/>
      <c r="M151" s="533"/>
    </row>
    <row r="152" spans="1:61" ht="20.25" customHeight="1" x14ac:dyDescent="0.3">
      <c r="A152" s="1063" t="s">
        <v>1299</v>
      </c>
      <c r="B152" s="570" t="s">
        <v>1260</v>
      </c>
      <c r="C152" s="571"/>
      <c r="D152" s="571"/>
      <c r="E152" s="571"/>
      <c r="F152" s="571"/>
      <c r="G152" s="571"/>
      <c r="H152" s="571"/>
      <c r="I152" s="571"/>
      <c r="J152" s="571"/>
      <c r="K152" s="571"/>
      <c r="L152" s="571"/>
      <c r="M152" s="571"/>
    </row>
    <row r="153" spans="1:61" ht="63.75" customHeight="1" x14ac:dyDescent="0.3">
      <c r="A153" s="1063" t="s">
        <v>1299</v>
      </c>
      <c r="B153" s="2818" t="s">
        <v>444</v>
      </c>
      <c r="C153" s="2818"/>
      <c r="D153" s="2818"/>
      <c r="E153" s="2818"/>
      <c r="F153" s="2818"/>
      <c r="G153" s="1157" t="s">
        <v>463</v>
      </c>
      <c r="H153" s="1157" t="s">
        <v>462</v>
      </c>
      <c r="I153" s="1157" t="s">
        <v>461</v>
      </c>
      <c r="J153" s="1157" t="s">
        <v>460</v>
      </c>
      <c r="K153" s="2722" t="s">
        <v>459</v>
      </c>
      <c r="L153" s="2767"/>
      <c r="M153" s="2699"/>
    </row>
    <row r="154" spans="1:61" ht="15" hidden="1" customHeight="1" x14ac:dyDescent="0.3">
      <c r="A154" s="1063" t="s">
        <v>1299</v>
      </c>
      <c r="B154" s="1092" t="s">
        <v>1765</v>
      </c>
      <c r="C154" s="1092"/>
      <c r="D154" s="1092"/>
      <c r="E154" s="1092"/>
      <c r="F154" s="1092"/>
      <c r="G154" s="1100" t="s">
        <v>1794</v>
      </c>
      <c r="H154" s="1100" t="s">
        <v>1795</v>
      </c>
      <c r="I154" s="1100" t="s">
        <v>1796</v>
      </c>
      <c r="J154" s="1100" t="s">
        <v>1797</v>
      </c>
      <c r="K154" s="1100" t="s">
        <v>1823</v>
      </c>
      <c r="L154" s="1092"/>
      <c r="M154" s="1091"/>
      <c r="Q154" s="1297" t="s">
        <v>1776</v>
      </c>
      <c r="R154" s="1297" t="s">
        <v>1777</v>
      </c>
    </row>
    <row r="155" spans="1:61" ht="15" customHeight="1" x14ac:dyDescent="0.3">
      <c r="A155" s="1063" t="s">
        <v>1299</v>
      </c>
      <c r="B155" s="2805" t="str">
        <f>IFERROR(IF(ISBLANK(B17),"",B17),"")</f>
        <v>Electricity</v>
      </c>
      <c r="C155" s="2806"/>
      <c r="D155" s="2806"/>
      <c r="E155" s="2806"/>
      <c r="F155" s="1154" t="str">
        <f>IFERROR(IF(ISBLANK($B155),"",VLOOKUP($B155,PO_Enrgy_1_Table,MATCH($C$16,PO_Enrgy_1_Hdr,0),FALSE) ),"")</f>
        <v>kWh</v>
      </c>
      <c r="G155" s="1158"/>
      <c r="H155" s="1158"/>
      <c r="I155" s="1158"/>
      <c r="J155" s="1158"/>
      <c r="K155" s="2807" t="str">
        <f>IFERROR((AVERAGE(G155:J155)),"")</f>
        <v/>
      </c>
      <c r="L155" s="2808"/>
      <c r="M155" s="2809"/>
      <c r="Q155" s="1296">
        <f>IFERROR(IF(ISBLANK($B155),"",VLOOKUP($B155,PO_Enrgy_1_Table,MATCH($K$16,PO_Enrgy_1_Hdr,0),FALSE)),"")</f>
        <v>9.999999999999998E-4</v>
      </c>
      <c r="R155" s="1296">
        <f>IFERROR(IF(ISBLANK($B155),"",VLOOKUP($B155,PO_Enrgy_1_Table,MATCH($M$16,PO_Enrgy_1_Hdr,0),FALSE)),"")</f>
        <v>3.1399999999999996E-3</v>
      </c>
      <c r="AD155" s="546"/>
      <c r="BC155" s="1906"/>
    </row>
    <row r="156" spans="1:61" ht="15" customHeight="1" x14ac:dyDescent="0.3">
      <c r="A156" s="1063" t="s">
        <v>1299</v>
      </c>
      <c r="B156" s="2805" t="str">
        <f>IFERROR(IF(ISBLANK(B18),"",B18),"")</f>
        <v>Natural Gas</v>
      </c>
      <c r="C156" s="2806"/>
      <c r="D156" s="2806"/>
      <c r="E156" s="2806"/>
      <c r="F156" s="1154" t="str">
        <f>IFERROR(IF(ISBLANK($B156),"",VLOOKUP($B156,PO_Enrgy_1_Table,MATCH($C$16,PO_Enrgy_1_Hdr,0),FALSE) ),"")</f>
        <v>therm</v>
      </c>
      <c r="G156" s="1158"/>
      <c r="H156" s="1158"/>
      <c r="I156" s="1158"/>
      <c r="J156" s="1158"/>
      <c r="K156" s="2807" t="str">
        <f>IFERROR((AVERAGE(G156:J156)),"")</f>
        <v/>
      </c>
      <c r="L156" s="2808"/>
      <c r="M156" s="2809"/>
      <c r="Q156" s="1296">
        <f>IFERROR(IF(ISBLANK($B156),"",VLOOKUP($B156,PO_Enrgy_1_Table,MATCH($K$16,PO_Enrgy_1_Hdr,0),FALSE)),"")</f>
        <v>2.9308323563892142E-2</v>
      </c>
      <c r="R156" s="1296">
        <f>IFERROR(IF(ISBLANK($B156),"",VLOOKUP($B156,PO_Enrgy_1_Table,MATCH($M$16,PO_Enrgy_1_Hdr,0),FALSE)),"")</f>
        <v>3.0773739742086751E-2</v>
      </c>
      <c r="AD156" s="546"/>
      <c r="BC156" s="1906"/>
    </row>
    <row r="157" spans="1:61" ht="15" customHeight="1" x14ac:dyDescent="0.3">
      <c r="A157" s="1063" t="s">
        <v>1299</v>
      </c>
      <c r="B157" s="2805" t="str">
        <f>IFERROR(IF(ISBLANK(B19),"",B19),"")</f>
        <v>District Cooling</v>
      </c>
      <c r="C157" s="2806"/>
      <c r="D157" s="2806"/>
      <c r="E157" s="2806"/>
      <c r="F157" s="1154" t="str">
        <f>IFERROR(IF(ISBLANK($B157),"",VLOOKUP($B157,PO_Enrgy_1_Table,MATCH($C$16,PO_Enrgy_1_Hdr,0),FALSE) ),"")</f>
        <v>MWh</v>
      </c>
      <c r="G157" s="1158"/>
      <c r="H157" s="1158"/>
      <c r="I157" s="1158"/>
      <c r="J157" s="1158"/>
      <c r="K157" s="2807" t="str">
        <f>IFERROR((AVERAGE(G157:J157)),"")</f>
        <v/>
      </c>
      <c r="L157" s="2808"/>
      <c r="M157" s="2809"/>
      <c r="Q157" s="1296">
        <f>IFERROR(IF(ISBLANK($B157),"",VLOOKUP($B157,PO_Enrgy_1_Table,MATCH($K$16,PO_Enrgy_1_Hdr,0),FALSE)),"")</f>
        <v>0.99999999999999989</v>
      </c>
      <c r="R157" s="1296">
        <f>IFERROR(IF(ISBLANK($B157),"",VLOOKUP($B157,PO_Enrgy_1_Table,MATCH($M$16,PO_Enrgy_1_Hdr,0),FALSE)),"")</f>
        <v>0.99999999999999989</v>
      </c>
      <c r="AD157" s="546"/>
      <c r="BC157" s="1906"/>
    </row>
    <row r="158" spans="1:61" ht="21" customHeight="1" x14ac:dyDescent="0.3">
      <c r="A158" s="1063" t="s">
        <v>1299</v>
      </c>
      <c r="B158" s="2810" t="s">
        <v>1262</v>
      </c>
      <c r="C158" s="2811"/>
      <c r="D158" s="2811"/>
      <c r="E158" s="2811"/>
      <c r="F158" s="2811"/>
      <c r="G158" s="1159">
        <f t="shared" ref="G158:M158" si="10">IFERROR(SUM(INDEX(PO_Enrgy_6_Table,0,MATCH(G$154,PO_Enrgy_6_Hdr,0))),"")</f>
        <v>0</v>
      </c>
      <c r="H158" s="1159">
        <f t="shared" si="10"/>
        <v>0</v>
      </c>
      <c r="I158" s="1159">
        <f t="shared" si="10"/>
        <v>0</v>
      </c>
      <c r="J158" s="1159">
        <f t="shared" si="10"/>
        <v>0</v>
      </c>
      <c r="K158" s="2812">
        <f t="shared" si="10"/>
        <v>0</v>
      </c>
      <c r="L158" s="2813" t="str">
        <f t="shared" si="10"/>
        <v/>
      </c>
      <c r="M158" s="2814" t="str">
        <f t="shared" si="10"/>
        <v/>
      </c>
      <c r="BC158" s="1906"/>
    </row>
    <row r="159" spans="1:61" ht="18" customHeight="1" x14ac:dyDescent="0.3">
      <c r="A159" s="1063" t="s">
        <v>1299</v>
      </c>
      <c r="B159" s="685"/>
      <c r="C159" s="685"/>
      <c r="D159" s="685"/>
      <c r="E159" s="549"/>
      <c r="F159" s="549"/>
      <c r="G159" s="731"/>
      <c r="H159" s="731"/>
      <c r="I159" s="731"/>
      <c r="J159" s="731"/>
      <c r="K159" s="534"/>
      <c r="L159" s="534"/>
      <c r="M159" s="534"/>
    </row>
    <row r="160" spans="1:61" ht="33" customHeight="1" x14ac:dyDescent="0.3">
      <c r="A160" s="1063" t="s">
        <v>1299</v>
      </c>
      <c r="B160" s="685"/>
      <c r="C160" s="685"/>
      <c r="D160" s="685"/>
      <c r="E160" s="549"/>
      <c r="F160" s="549"/>
      <c r="G160" s="732"/>
      <c r="H160" s="732"/>
      <c r="I160" s="732"/>
      <c r="J160" s="732"/>
      <c r="K160" s="533"/>
      <c r="L160" s="533"/>
      <c r="M160" s="533"/>
    </row>
    <row r="161" spans="1:61" ht="21.75" customHeight="1" x14ac:dyDescent="0.3">
      <c r="A161" s="1063" t="s">
        <v>1299</v>
      </c>
      <c r="B161" s="570" t="s">
        <v>1263</v>
      </c>
      <c r="C161" s="571"/>
      <c r="D161" s="571"/>
      <c r="E161" s="571"/>
      <c r="F161" s="571"/>
      <c r="G161" s="571"/>
      <c r="H161" s="571"/>
      <c r="I161" s="571"/>
      <c r="J161" s="571"/>
      <c r="K161" s="571"/>
      <c r="L161" s="571"/>
      <c r="M161" s="571"/>
    </row>
    <row r="162" spans="1:61" ht="34.5" hidden="1" customHeight="1" x14ac:dyDescent="0.3">
      <c r="A162" s="1063" t="s">
        <v>1299</v>
      </c>
      <c r="B162" s="2697" t="s">
        <v>458</v>
      </c>
      <c r="C162" s="2697"/>
      <c r="D162" s="2697"/>
      <c r="E162" s="2697"/>
      <c r="F162" s="2697"/>
      <c r="G162" s="2697"/>
      <c r="H162" s="2697"/>
      <c r="I162" s="2697"/>
      <c r="J162" s="2697"/>
      <c r="K162" s="2697"/>
      <c r="L162" s="2697"/>
      <c r="M162" s="2697"/>
    </row>
    <row r="163" spans="1:61" ht="33" hidden="1" customHeight="1" x14ac:dyDescent="0.3">
      <c r="A163" s="1063" t="s">
        <v>1299</v>
      </c>
      <c r="B163" s="2697" t="s">
        <v>1192</v>
      </c>
      <c r="C163" s="2697"/>
      <c r="D163" s="2697"/>
      <c r="E163" s="2697"/>
      <c r="F163" s="2697"/>
      <c r="G163" s="2697"/>
      <c r="H163" s="2697"/>
      <c r="I163" s="2697"/>
      <c r="J163" s="2697"/>
      <c r="K163" s="2697"/>
      <c r="L163" s="2697"/>
      <c r="M163" s="2697"/>
    </row>
    <row r="164" spans="1:61" ht="33" hidden="1" customHeight="1" x14ac:dyDescent="0.3">
      <c r="A164" s="1063" t="s">
        <v>1299</v>
      </c>
      <c r="B164" s="2697" t="s">
        <v>1170</v>
      </c>
      <c r="C164" s="2697"/>
      <c r="D164" s="2697"/>
      <c r="E164" s="2697"/>
      <c r="F164" s="2697"/>
      <c r="G164" s="2697"/>
      <c r="H164" s="2697"/>
      <c r="I164" s="2697"/>
      <c r="J164" s="2697"/>
      <c r="K164" s="2697"/>
      <c r="L164" s="2697"/>
      <c r="M164" s="2697"/>
    </row>
    <row r="165" spans="1:61" ht="33" hidden="1" customHeight="1" x14ac:dyDescent="0.3">
      <c r="A165" s="1063" t="s">
        <v>1299</v>
      </c>
      <c r="B165" s="2697" t="s">
        <v>1194</v>
      </c>
      <c r="C165" s="2697"/>
      <c r="D165" s="2697"/>
      <c r="E165" s="2697"/>
      <c r="F165" s="2697"/>
      <c r="G165" s="2697"/>
      <c r="H165" s="2697"/>
      <c r="I165" s="2697"/>
      <c r="J165" s="2697"/>
      <c r="K165" s="2697"/>
      <c r="L165" s="2697"/>
      <c r="M165" s="2697"/>
    </row>
    <row r="166" spans="1:61" ht="33" hidden="1" customHeight="1" x14ac:dyDescent="0.3">
      <c r="A166" s="1063" t="s">
        <v>1299</v>
      </c>
      <c r="B166" s="2697" t="s">
        <v>1171</v>
      </c>
      <c r="C166" s="2695"/>
      <c r="D166" s="2695"/>
      <c r="E166" s="2695"/>
      <c r="F166" s="2695"/>
      <c r="G166" s="2695"/>
      <c r="H166" s="2695"/>
      <c r="I166" s="2695"/>
      <c r="J166" s="2695"/>
      <c r="K166" s="2695"/>
      <c r="L166" s="2695"/>
      <c r="M166" s="2695"/>
    </row>
    <row r="167" spans="1:61" ht="45" hidden="1" customHeight="1" x14ac:dyDescent="0.3">
      <c r="A167" s="1063" t="s">
        <v>1299</v>
      </c>
      <c r="B167" s="2697" t="s">
        <v>1289</v>
      </c>
      <c r="C167" s="2695"/>
      <c r="D167" s="2695"/>
      <c r="E167" s="2695"/>
      <c r="F167" s="2695"/>
      <c r="G167" s="2695"/>
      <c r="H167" s="2695"/>
      <c r="I167" s="2695"/>
      <c r="J167" s="2695"/>
      <c r="K167" s="2695"/>
      <c r="L167" s="2695"/>
      <c r="M167" s="2695"/>
    </row>
    <row r="168" spans="1:61" ht="15" customHeight="1" x14ac:dyDescent="0.3">
      <c r="A168" s="1063" t="s">
        <v>1299</v>
      </c>
      <c r="B168" s="526"/>
      <c r="BF168" s="2875" t="s">
        <v>2216</v>
      </c>
      <c r="BG168" s="2875"/>
      <c r="BH168" s="2875"/>
      <c r="BI168" s="2875"/>
    </row>
    <row r="169" spans="1:61" ht="98.25" customHeight="1" x14ac:dyDescent="0.3">
      <c r="A169" s="1063" t="s">
        <v>1299</v>
      </c>
      <c r="B169" s="2700" t="s">
        <v>457</v>
      </c>
      <c r="C169" s="2699"/>
      <c r="D169" s="1147" t="s">
        <v>456</v>
      </c>
      <c r="E169" s="966" t="s">
        <v>444</v>
      </c>
      <c r="F169" s="966" t="s">
        <v>1264</v>
      </c>
      <c r="G169" s="966" t="s">
        <v>347</v>
      </c>
      <c r="H169" s="966" t="s">
        <v>348</v>
      </c>
      <c r="I169" s="966" t="s">
        <v>1265</v>
      </c>
      <c r="J169" s="966" t="s">
        <v>1266</v>
      </c>
      <c r="K169" s="2700" t="s">
        <v>1276</v>
      </c>
      <c r="L169" s="2700"/>
      <c r="M169" s="966" t="s">
        <v>1267</v>
      </c>
      <c r="W169" s="1296" t="s">
        <v>1091</v>
      </c>
      <c r="Y169" s="1296" t="s">
        <v>1092</v>
      </c>
      <c r="Z169" s="502" t="s">
        <v>1093</v>
      </c>
      <c r="AG169" s="1296" t="s">
        <v>1841</v>
      </c>
      <c r="BF169" s="1956" t="s">
        <v>2217</v>
      </c>
      <c r="BG169" s="1956" t="s">
        <v>2218</v>
      </c>
      <c r="BH169" s="1956" t="s">
        <v>2219</v>
      </c>
      <c r="BI169" s="1956" t="s">
        <v>2220</v>
      </c>
    </row>
    <row r="170" spans="1:61" s="526" customFormat="1" ht="15" hidden="1" customHeight="1" x14ac:dyDescent="0.3">
      <c r="A170" s="1063" t="s">
        <v>1299</v>
      </c>
      <c r="B170" s="1093" t="s">
        <v>1791</v>
      </c>
      <c r="C170" s="1091"/>
      <c r="D170" s="1093" t="s">
        <v>1792</v>
      </c>
      <c r="E170" s="1093" t="s">
        <v>1765</v>
      </c>
      <c r="F170" s="1093" t="s">
        <v>1793</v>
      </c>
      <c r="G170" s="1093" t="s">
        <v>1798</v>
      </c>
      <c r="H170" s="1093" t="s">
        <v>1800</v>
      </c>
      <c r="I170" s="1093" t="s">
        <v>1801</v>
      </c>
      <c r="J170" s="1093" t="s">
        <v>1802</v>
      </c>
      <c r="K170" s="1093" t="s">
        <v>1803</v>
      </c>
      <c r="L170" s="1093"/>
      <c r="M170" s="1093" t="s">
        <v>1804</v>
      </c>
      <c r="Q170" s="1297" t="s">
        <v>1776</v>
      </c>
      <c r="R170" s="1297" t="s">
        <v>1777</v>
      </c>
      <c r="S170" s="1297" t="s">
        <v>1858</v>
      </c>
      <c r="T170" s="1297" t="s">
        <v>1859</v>
      </c>
      <c r="W170" s="526" t="s">
        <v>1091</v>
      </c>
      <c r="Y170" s="526" t="s">
        <v>1092</v>
      </c>
      <c r="Z170" s="526" t="s">
        <v>1093</v>
      </c>
      <c r="BF170" s="502"/>
      <c r="BG170" s="502"/>
      <c r="BH170" s="502"/>
      <c r="BI170" s="502"/>
    </row>
    <row r="171" spans="1:61" ht="15.75" customHeight="1" x14ac:dyDescent="0.3">
      <c r="A171" s="1063" t="s">
        <v>1299</v>
      </c>
      <c r="B171" s="2794" t="s">
        <v>482</v>
      </c>
      <c r="C171" s="2795"/>
      <c r="D171" s="2819">
        <f>INDEX(PO_baseline_table,1, 3)</f>
        <v>0</v>
      </c>
      <c r="E171" s="2820" t="str">
        <f>INDEX(PO_baseline_table,1, 4)</f>
        <v>Electricity</v>
      </c>
      <c r="F171" s="1132" t="str">
        <f>IFERROR(IF(ISBLANK(E171),"","Consumption (" &amp; VLOOKUP($E171,PO_Enrgy_1_Table,MATCH($C$16,PO_Enrgy_1_Hdr,0),FALSE) &amp; ")"),"")</f>
        <v>Consumption (kWh)</v>
      </c>
      <c r="G171" s="1217" t="str">
        <f>INDEX(PO_baseline_table,1, 10)</f>
        <v/>
      </c>
      <c r="H171" s="1160"/>
      <c r="I171" s="1359" t="str">
        <f>IFERROR(1-H171/G171,"")</f>
        <v/>
      </c>
      <c r="J171" s="2821" t="str">
        <f>IFERROR(IF($E$327-$H$327&lt;0,"",($G171-$H171)*VLOOKUP($E171,PO_Enrgy_1_Table,MATCH($K$16,PO_Enrgy_1_Hdr,0),FALSE)/($E$327-$H$327)),"")</f>
        <v/>
      </c>
      <c r="K171" s="2823" t="str">
        <f>IFERROR(IF($G$327-$J$327&lt;0,"",($G171*VLOOKUP($E171,PO_Enrgy_8_Table,MATCH($E$232,PO_Enrgy_8_Hdr,0),FALSE)-($H171*VLOOKUP($E171,PO_Enrgy_8_Table,MATCH($H$232,PO_Enrgy_8_Hdr,0),FALSE)))/($G$327-$J$327)),"")</f>
        <v/>
      </c>
      <c r="L171" s="2823"/>
      <c r="M171" s="2824" t="str">
        <f>IFERROR(H171*VLOOKUP($E171,PO_Enrgy_1_Table,MATCH($K$16,PO_Enrgy_1_Hdr,0))/$H$227,"")</f>
        <v/>
      </c>
      <c r="Q171" s="1296">
        <f t="shared" ref="Q171:Q218" si="11">IFERROR(IF(ISBLANK($E171),"",VLOOKUP($E171,PO_Enrgy_1_Table,MATCH($K$16,PO_Enrgy_1_Hdr,0),FALSE)),"")</f>
        <v>9.999999999999998E-4</v>
      </c>
      <c r="R171" s="1296">
        <f t="shared" ref="R171:R218" si="12">IFERROR(IF(ISBLANK($E171),"",VLOOKUP($E171,PO_Enrgy_1_Table,MATCH($M$16,PO_Enrgy_1_Hdr,0),FALSE)),"")</f>
        <v>3.1399999999999996E-3</v>
      </c>
      <c r="S171" s="1296" t="str">
        <f t="shared" ref="S171:S218" si="13">IFERROR(IF(FIND("Consumption",F171),(G171*VLOOKUP(MID(F171,FIND("(",F171)+1,LEN(F171)-FIND("(",F171)-1),EnergyUnitsTable,3,FALSE))/(G172*VLOOKUP(MID(F172,FIND("(",F172)+1,LEN(F172)-FIND("(",F172)-1),DemandTable,3,FALSE)),1),"")</f>
        <v/>
      </c>
      <c r="T171" s="1296" t="str">
        <f t="shared" ref="T171:T218" si="14">IFERROR(IF(FIND("Consumption",$F171),(H171*VLOOKUP(MID($F171,FIND("(",$F171)+1,LEN($F171)-FIND("(",$F171)-1),EnergyUnitsTable,3,FALSE))/(H172*VLOOKUP(MID($F172,FIND("(",$F172)+1,LEN($F172)-FIND("(",$F172)-1),DemandTable,3,FALSE)),1),"")</f>
        <v/>
      </c>
      <c r="V171" s="1305">
        <f t="shared" ref="V171:V218" si="15">IFERROR($AN171*H171,0)</f>
        <v>0</v>
      </c>
      <c r="W171" s="1296">
        <f t="shared" ref="W171:W218" si="16">IFERROR(G171*VLOOKUP($AE171,PO_Enrgy_8_Table,4,FALSE),0)</f>
        <v>0</v>
      </c>
      <c r="X171" s="1296">
        <f t="shared" ref="X171:X218" si="17">IFERROR(H171*VLOOKUP($AE171,PO_Enrgy_8_Table,7,FALSE),0)</f>
        <v>0</v>
      </c>
      <c r="Y171" s="1296" t="b">
        <f>IFERROR(IF(D171="x",IF(OR(G171/H171&gt;1.03,G171/H171&lt;0.97),TRUE,FALSE),FALSE),FALSE)</f>
        <v>0</v>
      </c>
      <c r="Z171" s="1296">
        <f>IFERROR(J171*100,)</f>
        <v>0</v>
      </c>
      <c r="AA171" s="1296"/>
      <c r="AB171" s="1296">
        <f>RANK(Z171,$Z$171:$Z$218,0)</f>
        <v>1</v>
      </c>
      <c r="AC171" s="1296">
        <f>AB171</f>
        <v>1</v>
      </c>
      <c r="AD171" s="1296" t="str">
        <f>B171</f>
        <v>Interior lighting</v>
      </c>
      <c r="AE171" s="15"/>
      <c r="AF171" s="2826" t="str">
        <f>IFERROR(G171/Lighting!$L$43,"")</f>
        <v/>
      </c>
      <c r="AG171" s="2826"/>
      <c r="AH171" s="1066"/>
      <c r="AI171" s="788"/>
      <c r="AJ171" s="788"/>
      <c r="AK171" s="1195"/>
      <c r="AO171" s="535"/>
      <c r="BC171" s="1906"/>
      <c r="BF171" s="1957" t="str">
        <f>BF97</f>
        <v>L</v>
      </c>
      <c r="BG171" s="1957" t="str">
        <f>BG97</f>
        <v>Lighting - Conditioned</v>
      </c>
      <c r="BH171" s="1957" t="str">
        <f t="shared" ref="BH171" si="18">BH97</f>
        <v>Electricity</v>
      </c>
      <c r="BI171" s="1957">
        <f>IF(BG171&lt;&gt;"",IFERROR(MATCH(BG171&amp;BH171,'Results from Trace'!$L$1:$L$21,0),""),"")</f>
        <v>7</v>
      </c>
    </row>
    <row r="172" spans="1:61" ht="16.2" customHeight="1" x14ac:dyDescent="0.3">
      <c r="A172" s="1063" t="s">
        <v>1299</v>
      </c>
      <c r="B172" s="2795"/>
      <c r="C172" s="2795"/>
      <c r="D172" s="2819"/>
      <c r="E172" s="2820"/>
      <c r="F172" s="1132" t="str">
        <f>IFERROR(IF(ISBLANK(E171),"","Demand (" &amp; VLOOKUP($E171,PO_Enrgy_1_Table,MATCH($E$16,PO_Enrgy_1_Hdr,0),FALSE) &amp; ")"),"")</f>
        <v>Demand (kW)</v>
      </c>
      <c r="G172" s="1217" t="str">
        <f>INDEX(PO_baseline_table,2, 10)</f>
        <v/>
      </c>
      <c r="H172" s="1160"/>
      <c r="I172" s="1219" t="str">
        <f t="shared" ref="I172:I218" si="19">IFERROR(1-H172/G172,"")</f>
        <v/>
      </c>
      <c r="J172" s="2822"/>
      <c r="K172" s="2823"/>
      <c r="L172" s="2823"/>
      <c r="M172" s="2825"/>
      <c r="Q172" s="1296" t="str">
        <f t="shared" si="11"/>
        <v/>
      </c>
      <c r="R172" s="1296" t="str">
        <f t="shared" si="12"/>
        <v/>
      </c>
      <c r="S172" s="1296" t="str">
        <f t="shared" si="13"/>
        <v/>
      </c>
      <c r="T172" s="1296" t="str">
        <f t="shared" si="14"/>
        <v/>
      </c>
      <c r="V172" s="1305">
        <f t="shared" si="15"/>
        <v>0</v>
      </c>
      <c r="W172" s="1296">
        <f t="shared" si="16"/>
        <v>0</v>
      </c>
      <c r="X172" s="1296">
        <f t="shared" si="17"/>
        <v>0</v>
      </c>
      <c r="Y172" s="1296"/>
      <c r="Z172" s="1296"/>
      <c r="AA172" s="1296"/>
      <c r="AB172" s="1296"/>
      <c r="AC172" s="1296"/>
      <c r="AD172" s="1296"/>
      <c r="AE172" s="15"/>
      <c r="AF172" s="2826"/>
      <c r="AG172" s="2826"/>
      <c r="AH172" s="1066"/>
      <c r="AI172" s="788"/>
      <c r="AJ172" s="788"/>
      <c r="AK172" s="1196"/>
      <c r="AO172" s="535"/>
      <c r="BC172" s="1906"/>
      <c r="BF172" s="1957" t="str">
        <f t="shared" ref="BF172:BH187" si="20">BF98</f>
        <v>Y</v>
      </c>
      <c r="BG172" s="1957">
        <f t="shared" si="20"/>
        <v>0</v>
      </c>
      <c r="BH172" s="1957">
        <f t="shared" si="20"/>
        <v>0</v>
      </c>
      <c r="BI172" s="1957" t="str">
        <f>IF(BG172&lt;&gt;"",IFERROR(MATCH(BG172&amp;BH172,'Results from Trace'!$L$1:$L$21,0),""),"")</f>
        <v/>
      </c>
    </row>
    <row r="173" spans="1:61" ht="16.2" customHeight="1" x14ac:dyDescent="0.3">
      <c r="A173" s="1063" t="s">
        <v>1299</v>
      </c>
      <c r="B173" s="2794" t="s">
        <v>481</v>
      </c>
      <c r="C173" s="2794"/>
      <c r="D173" s="2819">
        <f>INDEX(PO_baseline_table,3, 3)</f>
        <v>0</v>
      </c>
      <c r="E173" s="2820" t="str">
        <f>INDEX(PO_baseline_table,3, 4)</f>
        <v>Electricity</v>
      </c>
      <c r="F173" s="1132" t="str">
        <f>IFERROR(IF(ISBLANK(E173),"","Consumption (" &amp; VLOOKUP($E173,PO_Enrgy_1_Table,MATCH($C$16,PO_Enrgy_1_Hdr,0),FALSE) &amp; ")"),"")</f>
        <v>Consumption (kWh)</v>
      </c>
      <c r="G173" s="1217" t="str">
        <f>INDEX(PO_baseline_table,3, 10)</f>
        <v/>
      </c>
      <c r="H173" s="1160"/>
      <c r="I173" s="1359" t="str">
        <f t="shared" si="19"/>
        <v/>
      </c>
      <c r="J173" s="2821" t="str">
        <f>IFERROR(IF($E$327-$H$327&lt;0,"",($G173-$H173)*VLOOKUP($E173,PO_Enrgy_1_Table,MATCH($K$16,PO_Enrgy_1_Hdr,0),FALSE)/($E$327-$H$327)),"")</f>
        <v/>
      </c>
      <c r="K173" s="2823" t="str">
        <f>IFERROR(IF($G$327-$J$327&lt;0,"",($G173*VLOOKUP($E173,PO_Enrgy_8_Table,MATCH($E$232,PO_Enrgy_8_Hdr,0),FALSE)-($H173*VLOOKUP($E173,PO_Enrgy_8_Table,MATCH($H$232,PO_Enrgy_8_Hdr,0),FALSE)))/($G$327-$J$327)),"")</f>
        <v/>
      </c>
      <c r="L173" s="2823"/>
      <c r="M173" s="2824" t="str">
        <f>IFERROR(H173*VLOOKUP($E173,PO_Enrgy_1_Table,MATCH($K$16,PO_Enrgy_1_Hdr,0))/$H$227,"")</f>
        <v/>
      </c>
      <c r="Q173" s="1296">
        <f t="shared" si="11"/>
        <v>9.999999999999998E-4</v>
      </c>
      <c r="R173" s="1296">
        <f t="shared" si="12"/>
        <v>3.1399999999999996E-3</v>
      </c>
      <c r="S173" s="1296" t="str">
        <f t="shared" si="13"/>
        <v/>
      </c>
      <c r="T173" s="1296" t="str">
        <f t="shared" si="14"/>
        <v/>
      </c>
      <c r="V173" s="1305">
        <f t="shared" si="15"/>
        <v>0</v>
      </c>
      <c r="W173" s="1296">
        <f t="shared" si="16"/>
        <v>0</v>
      </c>
      <c r="X173" s="1296">
        <f t="shared" si="17"/>
        <v>0</v>
      </c>
      <c r="Y173" s="1296" t="b">
        <f>IFERROR(IF(D173="x",IF(OR(G173/H173&gt;1.03,G173/H173&lt;0.97),TRUE,FALSE),FALSE),FALSE)</f>
        <v>0</v>
      </c>
      <c r="Z173" s="1296">
        <f>IFERROR(J173*100,)</f>
        <v>0</v>
      </c>
      <c r="AA173" s="1296"/>
      <c r="AB173" s="1296">
        <f>RANK(Z173,$Z$171:$Z$218,0)</f>
        <v>1</v>
      </c>
      <c r="AC173" s="1296">
        <f>AB173+COUNTIF($AB$171:$AB172,AB173)</f>
        <v>2</v>
      </c>
      <c r="AD173" s="1296" t="str">
        <f>B173</f>
        <v>Exterior lighting</v>
      </c>
      <c r="AE173" s="15"/>
      <c r="AF173" s="2827"/>
      <c r="AG173" s="2827"/>
      <c r="AH173" s="1066"/>
      <c r="AI173" s="788"/>
      <c r="AJ173" s="788"/>
      <c r="AK173" s="1195"/>
      <c r="AO173" s="535"/>
      <c r="BC173" s="1906"/>
      <c r="BF173" s="1957" t="str">
        <f t="shared" si="20"/>
        <v>W</v>
      </c>
      <c r="BG173" s="1957" t="str">
        <f t="shared" si="20"/>
        <v>Stand-alone Base Utilities</v>
      </c>
      <c r="BH173" s="1957" t="str">
        <f t="shared" si="20"/>
        <v>Electricity</v>
      </c>
      <c r="BI173" s="1957">
        <f>IF(BG173&lt;&gt;"",IFERROR(MATCH(BG173&amp;BH173,'Results from Trace'!$L$1:$L$21,0),""),"")</f>
        <v>15</v>
      </c>
    </row>
    <row r="174" spans="1:61" ht="16.2" customHeight="1" x14ac:dyDescent="0.3">
      <c r="A174" s="1063" t="s">
        <v>1299</v>
      </c>
      <c r="B174" s="2794"/>
      <c r="C174" s="2794"/>
      <c r="D174" s="2819"/>
      <c r="E174" s="2820"/>
      <c r="F174" s="1132" t="str">
        <f>IFERROR(IF(ISBLANK(E173),"","Demand (" &amp; VLOOKUP($E173,PO_Enrgy_1_Table,MATCH($E$16,PO_Enrgy_1_Hdr,0),FALSE) &amp; ")"),"")</f>
        <v>Demand (kW)</v>
      </c>
      <c r="G174" s="1218" t="str">
        <f>INDEX(PO_baseline_table,4, 10)</f>
        <v/>
      </c>
      <c r="H174" s="1160"/>
      <c r="I174" s="1219" t="str">
        <f t="shared" si="19"/>
        <v/>
      </c>
      <c r="J174" s="2822"/>
      <c r="K174" s="2823"/>
      <c r="L174" s="2823"/>
      <c r="M174" s="2825"/>
      <c r="Q174" s="1296" t="str">
        <f t="shared" si="11"/>
        <v/>
      </c>
      <c r="R174" s="1296" t="str">
        <f t="shared" si="12"/>
        <v/>
      </c>
      <c r="S174" s="1296" t="str">
        <f t="shared" si="13"/>
        <v/>
      </c>
      <c r="T174" s="1296" t="str">
        <f t="shared" si="14"/>
        <v/>
      </c>
      <c r="V174" s="1305">
        <f t="shared" si="15"/>
        <v>0</v>
      </c>
      <c r="W174" s="1296">
        <f t="shared" si="16"/>
        <v>0</v>
      </c>
      <c r="X174" s="1296">
        <f t="shared" si="17"/>
        <v>0</v>
      </c>
      <c r="Y174" s="1296"/>
      <c r="Z174" s="1296"/>
      <c r="AA174" s="1296"/>
      <c r="AB174" s="1296"/>
      <c r="AC174" s="1296"/>
      <c r="AD174" s="1296"/>
      <c r="AE174" s="15"/>
      <c r="AF174" s="2827"/>
      <c r="AG174" s="2827"/>
      <c r="AH174" s="1066"/>
      <c r="AI174" s="788"/>
      <c r="AJ174" s="788"/>
      <c r="AK174" s="1196"/>
      <c r="AO174" s="535"/>
      <c r="BC174" s="1906"/>
      <c r="BF174" s="1957" t="str">
        <f t="shared" si="20"/>
        <v>AJ</v>
      </c>
      <c r="BG174" s="1957">
        <f t="shared" si="20"/>
        <v>0</v>
      </c>
      <c r="BH174" s="1957">
        <f t="shared" si="20"/>
        <v>0</v>
      </c>
      <c r="BI174" s="1957" t="str">
        <f>IF(BG174&lt;&gt;"",IFERROR(MATCH(BG174&amp;BH174,'Results from Trace'!$L$1:$L$21,0),""),"")</f>
        <v/>
      </c>
    </row>
    <row r="175" spans="1:61" ht="16.2" customHeight="1" x14ac:dyDescent="0.3">
      <c r="A175" s="1063" t="s">
        <v>1299</v>
      </c>
      <c r="B175" s="2794" t="s">
        <v>480</v>
      </c>
      <c r="C175" s="2794"/>
      <c r="D175" s="2819">
        <f>INDEX(PO_baseline_table,5, 3)</f>
        <v>0</v>
      </c>
      <c r="E175" s="2820" t="str">
        <f>INDEX(PO_baseline_table,5, 4)</f>
        <v>Natural Gas</v>
      </c>
      <c r="F175" s="1132" t="str">
        <f>IFERROR(IF(ISBLANK(E175),"","Consumption (" &amp; VLOOKUP($E175,PO_Enrgy_1_Table,MATCH($C$16,PO_Enrgy_1_Hdr,0),FALSE) &amp; ")"),"")</f>
        <v>Consumption (therm)</v>
      </c>
      <c r="G175" s="1217" t="str">
        <f>INDEX(PO_baseline_table,5, 10)</f>
        <v/>
      </c>
      <c r="H175" s="1160"/>
      <c r="I175" s="1359" t="str">
        <f t="shared" si="19"/>
        <v/>
      </c>
      <c r="J175" s="2821" t="str">
        <f>IFERROR(IF($E$327-$H$327&lt;0,"",($G175-$H175)*VLOOKUP($E175,PO_Enrgy_1_Table,MATCH($K$16,PO_Enrgy_1_Hdr,0),FALSE)/($E$327-$H$327)),"")</f>
        <v/>
      </c>
      <c r="K175" s="2823" t="str">
        <f>IFERROR(IF($G$327-$J$327&lt;0,"",($G175*VLOOKUP($E175,PO_Enrgy_8_Table,MATCH($E$232,PO_Enrgy_8_Hdr,0),FALSE)-($H175*VLOOKUP($E175,PO_Enrgy_8_Table,MATCH($H$232,PO_Enrgy_8_Hdr,0),FALSE)))/($G$327-$J$327)),"")</f>
        <v/>
      </c>
      <c r="L175" s="2823"/>
      <c r="M175" s="2824" t="str">
        <f>IFERROR(H175*VLOOKUP($E175,PO_Enrgy_1_Table,MATCH($K$16,PO_Enrgy_1_Hdr,0))/$H$227,"")</f>
        <v/>
      </c>
      <c r="Q175" s="1296">
        <f t="shared" si="11"/>
        <v>2.9308323563892142E-2</v>
      </c>
      <c r="R175" s="1296">
        <f t="shared" si="12"/>
        <v>3.0773739742086751E-2</v>
      </c>
      <c r="S175" s="1296" t="str">
        <f t="shared" si="13"/>
        <v/>
      </c>
      <c r="T175" s="1296" t="str">
        <f t="shared" si="14"/>
        <v/>
      </c>
      <c r="V175" s="1305">
        <f t="shared" si="15"/>
        <v>0</v>
      </c>
      <c r="W175" s="1296">
        <f t="shared" si="16"/>
        <v>0</v>
      </c>
      <c r="X175" s="1296">
        <f t="shared" si="17"/>
        <v>0</v>
      </c>
      <c r="Y175" s="1296" t="b">
        <f>IFERROR(IF(D175="x",IF(OR(G175/H175&gt;1.03,G175/H175&lt;0.97),TRUE,FALSE),FALSE),FALSE)</f>
        <v>0</v>
      </c>
      <c r="Z175" s="1296">
        <f>IFERROR(J175*100,)</f>
        <v>0</v>
      </c>
      <c r="AA175" s="1296"/>
      <c r="AB175" s="1296">
        <f>RANK(Z175,$Z$171:$Z$218,0)</f>
        <v>1</v>
      </c>
      <c r="AC175" s="1296">
        <f>AB175+COUNTIF($AB$171:$AB174,AB175)</f>
        <v>3</v>
      </c>
      <c r="AD175" s="1296" t="str">
        <f>B175</f>
        <v>Space heating</v>
      </c>
      <c r="AE175" s="15"/>
      <c r="AF175" s="2827"/>
      <c r="AG175" s="2827"/>
      <c r="AH175" s="1066"/>
      <c r="AI175" s="788"/>
      <c r="AJ175" s="788"/>
      <c r="AK175" s="1195"/>
      <c r="AO175" s="535"/>
      <c r="BC175" s="1906"/>
      <c r="BF175" s="1957" t="str">
        <f t="shared" si="20"/>
        <v>BA</v>
      </c>
      <c r="BG175" s="1957" t="str">
        <f t="shared" si="20"/>
        <v>Space Heating</v>
      </c>
      <c r="BH175" s="1957" t="str">
        <f t="shared" si="20"/>
        <v>Gas</v>
      </c>
      <c r="BI175" s="1957">
        <f>IF(BG175&lt;&gt;"",IFERROR(MATCH(BG175&amp;BH175,'Results from Trace'!$L$1:$L$21,0),""),"")</f>
        <v>9</v>
      </c>
    </row>
    <row r="176" spans="1:61" ht="16.2" customHeight="1" x14ac:dyDescent="0.3">
      <c r="A176" s="1063" t="s">
        <v>1299</v>
      </c>
      <c r="B176" s="2794"/>
      <c r="C176" s="2794"/>
      <c r="D176" s="2819"/>
      <c r="E176" s="2820"/>
      <c r="F176" s="1132" t="str">
        <f>IFERROR(IF(ISBLANK(E175),"","Demand (" &amp; VLOOKUP($E175,PO_Enrgy_1_Table,MATCH($E$16,PO_Enrgy_1_Hdr,0),FALSE) &amp; ")"),"")</f>
        <v>Demand (Btuh x 10^6)</v>
      </c>
      <c r="G176" s="1218" t="str">
        <f>INDEX(PO_baseline_table,6, 10)</f>
        <v/>
      </c>
      <c r="H176" s="1160"/>
      <c r="I176" s="1219" t="str">
        <f t="shared" si="19"/>
        <v/>
      </c>
      <c r="J176" s="2822"/>
      <c r="K176" s="2823"/>
      <c r="L176" s="2823"/>
      <c r="M176" s="2825"/>
      <c r="Q176" s="1296" t="str">
        <f t="shared" si="11"/>
        <v/>
      </c>
      <c r="R176" s="1296" t="str">
        <f t="shared" si="12"/>
        <v/>
      </c>
      <c r="S176" s="1296" t="str">
        <f t="shared" si="13"/>
        <v/>
      </c>
      <c r="T176" s="1296" t="str">
        <f t="shared" si="14"/>
        <v/>
      </c>
      <c r="V176" s="1305">
        <f t="shared" si="15"/>
        <v>0</v>
      </c>
      <c r="W176" s="1296">
        <f t="shared" si="16"/>
        <v>0</v>
      </c>
      <c r="X176" s="1296">
        <f t="shared" si="17"/>
        <v>0</v>
      </c>
      <c r="Y176" s="1296"/>
      <c r="Z176" s="1296"/>
      <c r="AA176" s="1296"/>
      <c r="AB176" s="1296"/>
      <c r="AC176" s="1296"/>
      <c r="AD176" s="1296"/>
      <c r="AE176" s="15"/>
      <c r="AF176" s="2827"/>
      <c r="AG176" s="2827"/>
      <c r="AH176" s="1066"/>
      <c r="AI176" s="788"/>
      <c r="AJ176" s="788"/>
      <c r="AK176" s="1196"/>
      <c r="AO176" s="535"/>
      <c r="BC176" s="1906"/>
      <c r="BF176" s="1957">
        <f t="shared" si="20"/>
        <v>0</v>
      </c>
      <c r="BG176" s="1957">
        <f t="shared" si="20"/>
        <v>0</v>
      </c>
      <c r="BH176" s="1957">
        <f t="shared" si="20"/>
        <v>0</v>
      </c>
      <c r="BI176" s="1957" t="str">
        <f>IF(BG176&lt;&gt;"",IFERROR(MATCH(BG176&amp;BH176,'Results from Trace'!$L$1:$L$21,0),""),"")</f>
        <v/>
      </c>
    </row>
    <row r="177" spans="1:61" ht="16.2" customHeight="1" x14ac:dyDescent="0.3">
      <c r="A177" s="1063" t="s">
        <v>1299</v>
      </c>
      <c r="B177" s="2794" t="s">
        <v>479</v>
      </c>
      <c r="C177" s="2794"/>
      <c r="D177" s="2819">
        <f>INDEX(PO_baseline_table,7, 3)</f>
        <v>0</v>
      </c>
      <c r="E177" s="2820" t="str">
        <f>INDEX(PO_baseline_table,7, 4)</f>
        <v>Electricity</v>
      </c>
      <c r="F177" s="1132" t="str">
        <f>IFERROR(IF(ISBLANK(E177),"","Consumption (" &amp; VLOOKUP($E177,PO_Enrgy_1_Table,MATCH($C$16,PO_Enrgy_1_Hdr,0),FALSE) &amp; ")"),"")</f>
        <v>Consumption (kWh)</v>
      </c>
      <c r="G177" s="1217" t="str">
        <f>INDEX(PO_baseline_table,7, 10)</f>
        <v/>
      </c>
      <c r="H177" s="1160"/>
      <c r="I177" s="1359" t="str">
        <f t="shared" si="19"/>
        <v/>
      </c>
      <c r="J177" s="2821" t="str">
        <f>IFERROR(IF($E$327-$H$327&lt;0,"",($G177-$H177)*VLOOKUP($E177,PO_Enrgy_1_Table,MATCH($K$16,PO_Enrgy_1_Hdr,0),FALSE)/($E$327-$H$327)),"")</f>
        <v/>
      </c>
      <c r="K177" s="2823" t="str">
        <f>IFERROR(IF($G$327-$J$327&lt;0,"",($G177*VLOOKUP($E177,PO_Enrgy_8_Table,MATCH($E$232,PO_Enrgy_8_Hdr,0),FALSE)-($H177*VLOOKUP($E177,PO_Enrgy_8_Table,MATCH($H$232,PO_Enrgy_8_Hdr,0),FALSE)))/($G$327-$J$327)),"")</f>
        <v/>
      </c>
      <c r="L177" s="2823"/>
      <c r="M177" s="2824" t="str">
        <f>IFERROR(H177*VLOOKUP($E177,PO_Enrgy_1_Table,MATCH($K$16,PO_Enrgy_1_Hdr,0))/$H$227,"")</f>
        <v/>
      </c>
      <c r="Q177" s="1296">
        <f t="shared" si="11"/>
        <v>9.999999999999998E-4</v>
      </c>
      <c r="R177" s="1296">
        <f t="shared" si="12"/>
        <v>3.1399999999999996E-3</v>
      </c>
      <c r="S177" s="1296" t="str">
        <f t="shared" si="13"/>
        <v/>
      </c>
      <c r="T177" s="1296" t="str">
        <f t="shared" si="14"/>
        <v/>
      </c>
      <c r="V177" s="1305">
        <f t="shared" si="15"/>
        <v>0</v>
      </c>
      <c r="W177" s="1296">
        <f t="shared" si="16"/>
        <v>0</v>
      </c>
      <c r="X177" s="1296">
        <f t="shared" si="17"/>
        <v>0</v>
      </c>
      <c r="Y177" s="1296" t="b">
        <f>IFERROR(IF(D177="x",IF(OR(G177/H177&gt;1.03,G177/H177&lt;0.97),TRUE,FALSE),FALSE),FALSE)</f>
        <v>0</v>
      </c>
      <c r="Z177" s="1296">
        <f>IFERROR(J177*100,)</f>
        <v>0</v>
      </c>
      <c r="AA177" s="1296"/>
      <c r="AB177" s="1296">
        <f>RANK(Z177,$Z$171:$Z$218,0)</f>
        <v>1</v>
      </c>
      <c r="AC177" s="1296">
        <f>AB177+COUNTIF($AB$171:$AB176,AB177)</f>
        <v>4</v>
      </c>
      <c r="AD177" s="1296" t="str">
        <f>B177</f>
        <v>Space cooling</v>
      </c>
      <c r="AE177" s="15"/>
      <c r="AF177" s="2827"/>
      <c r="AG177" s="2827"/>
      <c r="AH177" s="1066"/>
      <c r="AI177" s="788"/>
      <c r="AJ177" s="788"/>
      <c r="AK177" s="1195"/>
      <c r="AO177" s="535"/>
      <c r="BC177" s="1906"/>
      <c r="BF177" s="1957" t="str">
        <f t="shared" si="20"/>
        <v>P</v>
      </c>
      <c r="BG177" s="1957" t="str">
        <f t="shared" si="20"/>
        <v>Space Cooling</v>
      </c>
      <c r="BH177" s="1957" t="str">
        <f t="shared" si="20"/>
        <v>Electricity</v>
      </c>
      <c r="BI177" s="1957">
        <f>IF(BG177&lt;&gt;"",IFERROR(MATCH(BG177&amp;BH177,'Results from Trace'!$L$1:$L$21,0),""),"")</f>
        <v>10</v>
      </c>
    </row>
    <row r="178" spans="1:61" ht="16.2" customHeight="1" x14ac:dyDescent="0.3">
      <c r="A178" s="1063" t="s">
        <v>1299</v>
      </c>
      <c r="B178" s="2794"/>
      <c r="C178" s="2794"/>
      <c r="D178" s="2819"/>
      <c r="E178" s="2820"/>
      <c r="F178" s="1132" t="str">
        <f>IFERROR(IF(ISBLANK(E177),"","Demand (" &amp; VLOOKUP($E177,PO_Enrgy_1_Table,MATCH($E$16,PO_Enrgy_1_Hdr,0),FALSE) &amp; ")"),"")</f>
        <v>Demand (kW)</v>
      </c>
      <c r="G178" s="1218" t="str">
        <f>INDEX(PO_baseline_table,8, 10)</f>
        <v/>
      </c>
      <c r="H178" s="1160"/>
      <c r="I178" s="1219" t="str">
        <f t="shared" si="19"/>
        <v/>
      </c>
      <c r="J178" s="2822"/>
      <c r="K178" s="2823"/>
      <c r="L178" s="2823"/>
      <c r="M178" s="2825"/>
      <c r="Q178" s="1296" t="str">
        <f t="shared" si="11"/>
        <v/>
      </c>
      <c r="R178" s="1296" t="str">
        <f t="shared" si="12"/>
        <v/>
      </c>
      <c r="S178" s="1296" t="str">
        <f t="shared" si="13"/>
        <v/>
      </c>
      <c r="T178" s="1296" t="str">
        <f t="shared" si="14"/>
        <v/>
      </c>
      <c r="V178" s="1305">
        <f t="shared" si="15"/>
        <v>0</v>
      </c>
      <c r="W178" s="1296">
        <f t="shared" si="16"/>
        <v>0</v>
      </c>
      <c r="X178" s="1296">
        <f t="shared" si="17"/>
        <v>0</v>
      </c>
      <c r="Y178" s="1296"/>
      <c r="Z178" s="1296"/>
      <c r="AA178" s="1296"/>
      <c r="AB178" s="1296"/>
      <c r="AC178" s="1296"/>
      <c r="AD178" s="1296"/>
      <c r="AE178" s="15"/>
      <c r="AF178" s="2827"/>
      <c r="AG178" s="2827"/>
      <c r="AH178" s="1066"/>
      <c r="AI178" s="788"/>
      <c r="AJ178" s="788"/>
      <c r="AK178" s="1196"/>
      <c r="AO178" s="535"/>
      <c r="BC178" s="1906"/>
      <c r="BF178" s="1957" t="str">
        <f t="shared" si="20"/>
        <v>AC</v>
      </c>
      <c r="BG178" s="1957">
        <f t="shared" si="20"/>
        <v>0</v>
      </c>
      <c r="BH178" s="1957">
        <f t="shared" si="20"/>
        <v>0</v>
      </c>
      <c r="BI178" s="1957" t="str">
        <f>IF(BG178&lt;&gt;"",IFERROR(MATCH(BG178&amp;BH178,'Results from Trace'!$L$1:$L$21,0),""),"")</f>
        <v/>
      </c>
    </row>
    <row r="179" spans="1:61" ht="16.2" customHeight="1" x14ac:dyDescent="0.3">
      <c r="A179" s="1063" t="s">
        <v>1299</v>
      </c>
      <c r="B179" s="2794" t="s">
        <v>477</v>
      </c>
      <c r="C179" s="2794"/>
      <c r="D179" s="2819">
        <f>INDEX(PO_baseline_table,9, 3)</f>
        <v>0</v>
      </c>
      <c r="E179" s="2820" t="str">
        <f>INDEX(PO_baseline_table,9, 4)</f>
        <v>Electricity</v>
      </c>
      <c r="F179" s="1132" t="str">
        <f>IFERROR(IF(ISBLANK(E179),"","Consumption (" &amp; VLOOKUP($E179,PO_Enrgy_1_Table,MATCH($C$16,PO_Enrgy_1_Hdr,0),FALSE) &amp; ")"),"")</f>
        <v>Consumption (kWh)</v>
      </c>
      <c r="G179" s="1217" t="str">
        <f>INDEX(PO_baseline_table,9, 10)</f>
        <v/>
      </c>
      <c r="H179" s="1160"/>
      <c r="I179" s="1359" t="str">
        <f t="shared" si="19"/>
        <v/>
      </c>
      <c r="J179" s="2821" t="str">
        <f>IFERROR(IF($E$327-$H$327&lt;0,"",($G179-$H179)*VLOOKUP($E179,PO_Enrgy_1_Table,MATCH($K$16,PO_Enrgy_1_Hdr,0),FALSE)/($E$327-$H$327)),"")</f>
        <v/>
      </c>
      <c r="K179" s="2823" t="str">
        <f>IFERROR(IF($G$327-$J$327&lt;0,"",($G179*VLOOKUP($E179,PO_Enrgy_8_Table,MATCH($E$232,PO_Enrgy_8_Hdr,0),FALSE)-($H179*VLOOKUP($E179,PO_Enrgy_8_Table,MATCH($H$232,PO_Enrgy_8_Hdr,0),FALSE)))/($G$327-$J$327)),"")</f>
        <v/>
      </c>
      <c r="L179" s="2823"/>
      <c r="M179" s="2824" t="str">
        <f>IFERROR(H179*VLOOKUP($E179,PO_Enrgy_1_Table,MATCH($K$16,PO_Enrgy_1_Hdr,0))/$H$227,"")</f>
        <v/>
      </c>
      <c r="Q179" s="1296">
        <f t="shared" si="11"/>
        <v>9.999999999999998E-4</v>
      </c>
      <c r="R179" s="1296">
        <f t="shared" si="12"/>
        <v>3.1399999999999996E-3</v>
      </c>
      <c r="S179" s="1296" t="str">
        <f t="shared" si="13"/>
        <v/>
      </c>
      <c r="T179" s="1296" t="str">
        <f t="shared" si="14"/>
        <v/>
      </c>
      <c r="V179" s="1305">
        <f t="shared" si="15"/>
        <v>0</v>
      </c>
      <c r="W179" s="1296">
        <f t="shared" si="16"/>
        <v>0</v>
      </c>
      <c r="X179" s="1296">
        <f t="shared" si="17"/>
        <v>0</v>
      </c>
      <c r="Y179" s="1296" t="b">
        <f>IFERROR(IF(D179="x",IF(OR(G179/H179&gt;1.03,G179/H179&lt;0.97),TRUE,FALSE),FALSE),FALSE)</f>
        <v>0</v>
      </c>
      <c r="Z179" s="1296">
        <f>IFERROR(J179*100,)</f>
        <v>0</v>
      </c>
      <c r="AA179" s="1296"/>
      <c r="AB179" s="1296">
        <f>RANK(Z179,$Z$171:$Z$218,0)</f>
        <v>1</v>
      </c>
      <c r="AC179" s="1296">
        <f>AB179+COUNTIF($AB$171:$AB178,AB179)</f>
        <v>5</v>
      </c>
      <c r="AD179" s="1296" t="str">
        <f>B179</f>
        <v>Pumps</v>
      </c>
      <c r="AE179" s="15"/>
      <c r="AF179" s="2827"/>
      <c r="AG179" s="2827"/>
      <c r="AH179" s="1066"/>
      <c r="AI179" s="788"/>
      <c r="AJ179" s="788"/>
      <c r="AK179" s="1195"/>
      <c r="AO179" s="535"/>
      <c r="BC179" s="1906"/>
      <c r="BF179" s="1957" t="str">
        <f t="shared" si="20"/>
        <v>R</v>
      </c>
      <c r="BG179" s="1957" t="str">
        <f t="shared" si="20"/>
        <v>Pumps</v>
      </c>
      <c r="BH179" s="1957" t="str">
        <f t="shared" si="20"/>
        <v>Electricity</v>
      </c>
      <c r="BI179" s="1957">
        <f>IF(BG179&lt;&gt;"",IFERROR(MATCH(BG179&amp;BH179,'Results from Trace'!$L$1:$L$21,0),""),"")</f>
        <v>11</v>
      </c>
    </row>
    <row r="180" spans="1:61" ht="16.2" customHeight="1" x14ac:dyDescent="0.3">
      <c r="A180" s="1063" t="s">
        <v>1299</v>
      </c>
      <c r="B180" s="2794"/>
      <c r="C180" s="2794"/>
      <c r="D180" s="2819"/>
      <c r="E180" s="2820"/>
      <c r="F180" s="1132" t="str">
        <f>IFERROR(IF(ISBLANK(E179),"","Demand (" &amp; VLOOKUP($E179,PO_Enrgy_1_Table,MATCH($E$16,PO_Enrgy_1_Hdr,0),FALSE) &amp; ")"),"")</f>
        <v>Demand (kW)</v>
      </c>
      <c r="G180" s="1218" t="str">
        <f>INDEX(PO_baseline_table,10, 10)</f>
        <v/>
      </c>
      <c r="H180" s="1160"/>
      <c r="I180" s="1219" t="str">
        <f t="shared" si="19"/>
        <v/>
      </c>
      <c r="J180" s="2822"/>
      <c r="K180" s="2823"/>
      <c r="L180" s="2823"/>
      <c r="M180" s="2825"/>
      <c r="Q180" s="1296" t="str">
        <f t="shared" si="11"/>
        <v/>
      </c>
      <c r="R180" s="1296" t="str">
        <f t="shared" si="12"/>
        <v/>
      </c>
      <c r="S180" s="1296" t="str">
        <f t="shared" si="13"/>
        <v/>
      </c>
      <c r="T180" s="1296" t="str">
        <f t="shared" si="14"/>
        <v/>
      </c>
      <c r="V180" s="1305">
        <f t="shared" si="15"/>
        <v>0</v>
      </c>
      <c r="W180" s="1296">
        <f t="shared" si="16"/>
        <v>0</v>
      </c>
      <c r="X180" s="1296">
        <f t="shared" si="17"/>
        <v>0</v>
      </c>
      <c r="Y180" s="1296"/>
      <c r="Z180" s="1296"/>
      <c r="AA180" s="1296"/>
      <c r="AB180" s="1296"/>
      <c r="AC180" s="1296"/>
      <c r="AD180" s="1296"/>
      <c r="AE180" s="15"/>
      <c r="AF180" s="2827"/>
      <c r="AG180" s="2827"/>
      <c r="AH180" s="1066"/>
      <c r="AI180" s="788"/>
      <c r="AJ180" s="788"/>
      <c r="AK180" s="1196"/>
      <c r="AO180" s="535"/>
      <c r="BC180" s="1906"/>
      <c r="BF180" s="1957" t="str">
        <f t="shared" si="20"/>
        <v>AE</v>
      </c>
      <c r="BG180" s="1957">
        <f t="shared" si="20"/>
        <v>0</v>
      </c>
      <c r="BH180" s="1957">
        <f t="shared" si="20"/>
        <v>0</v>
      </c>
      <c r="BI180" s="1957" t="str">
        <f>IF(BG180&lt;&gt;"",IFERROR(MATCH(BG180&amp;BH180,'Results from Trace'!$L$1:$L$21,0),""),"")</f>
        <v/>
      </c>
    </row>
    <row r="181" spans="1:61" ht="16.2" customHeight="1" x14ac:dyDescent="0.3">
      <c r="A181" s="1063" t="s">
        <v>1299</v>
      </c>
      <c r="B181" s="2794" t="s">
        <v>476</v>
      </c>
      <c r="C181" s="2794"/>
      <c r="D181" s="2819">
        <f>INDEX(PO_baseline_table,11, 3)</f>
        <v>0</v>
      </c>
      <c r="E181" s="2820" t="str">
        <f>INDEX(PO_baseline_table,11, 4)</f>
        <v>Electricity</v>
      </c>
      <c r="F181" s="1132" t="str">
        <f>IFERROR(IF(ISBLANK(E181),"","Consumption (" &amp; VLOOKUP($E181,PO_Enrgy_1_Table,MATCH($C$16,PO_Enrgy_1_Hdr,0),FALSE) &amp; ")"),"")</f>
        <v>Consumption (kWh)</v>
      </c>
      <c r="G181" s="1217" t="str">
        <f>INDEX(PO_baseline_table,11, 10)</f>
        <v/>
      </c>
      <c r="H181" s="1160"/>
      <c r="I181" s="1359" t="str">
        <f t="shared" si="19"/>
        <v/>
      </c>
      <c r="J181" s="2821" t="str">
        <f>IFERROR(IF($E$327-$H$327&lt;0,"",($G181-$H181)*VLOOKUP($E181,PO_Enrgy_1_Table,MATCH($K$16,PO_Enrgy_1_Hdr,0),FALSE)/($E$327-$H$327)),"")</f>
        <v/>
      </c>
      <c r="K181" s="2823" t="str">
        <f>IFERROR(IF($G$327-$J$327&lt;0,"",($G181*VLOOKUP($E181,PO_Enrgy_8_Table,MATCH($E$232,PO_Enrgy_8_Hdr,0),FALSE)-($H181*VLOOKUP($E181,PO_Enrgy_8_Table,MATCH($H$232,PO_Enrgy_8_Hdr,0),FALSE)))/($G$327-$J$327)),"")</f>
        <v/>
      </c>
      <c r="L181" s="2823"/>
      <c r="M181" s="2824" t="str">
        <f>IFERROR(H181*VLOOKUP($E181,PO_Enrgy_1_Table,MATCH($K$16,PO_Enrgy_1_Hdr,0))/$H$227,"")</f>
        <v/>
      </c>
      <c r="Q181" s="1296">
        <f t="shared" si="11"/>
        <v>9.999999999999998E-4</v>
      </c>
      <c r="R181" s="1296">
        <f t="shared" si="12"/>
        <v>3.1399999999999996E-3</v>
      </c>
      <c r="S181" s="1296" t="str">
        <f t="shared" si="13"/>
        <v/>
      </c>
      <c r="T181" s="1296" t="str">
        <f t="shared" si="14"/>
        <v/>
      </c>
      <c r="V181" s="1305">
        <f t="shared" si="15"/>
        <v>0</v>
      </c>
      <c r="W181" s="1296">
        <f t="shared" si="16"/>
        <v>0</v>
      </c>
      <c r="X181" s="1296">
        <f t="shared" si="17"/>
        <v>0</v>
      </c>
      <c r="Y181" s="1296" t="b">
        <f>IFERROR(IF(D181="x",IF(OR(G181/H181&gt;1.03,G181/H181&lt;0.97),TRUE,FALSE),FALSE),FALSE)</f>
        <v>0</v>
      </c>
      <c r="Z181" s="1296">
        <f>IFERROR(J181*100,)</f>
        <v>0</v>
      </c>
      <c r="AA181" s="1296"/>
      <c r="AB181" s="1296">
        <f>RANK(Z181,$Z$171:$Z$218,0)</f>
        <v>1</v>
      </c>
      <c r="AC181" s="1296">
        <f>AB181+COUNTIF($AB$171:$AB180,AB181)</f>
        <v>6</v>
      </c>
      <c r="AD181" s="1296" t="str">
        <f>B181</f>
        <v>Heat rejection</v>
      </c>
      <c r="AE181" s="15"/>
      <c r="AF181" s="2827"/>
      <c r="AG181" s="2827"/>
      <c r="AH181" s="1066"/>
      <c r="AI181" s="788"/>
      <c r="AJ181" s="788"/>
      <c r="AK181" s="1195"/>
      <c r="AO181" s="535"/>
      <c r="BC181" s="1906"/>
      <c r="BF181" s="1957" t="str">
        <f t="shared" si="20"/>
        <v>Q</v>
      </c>
      <c r="BG181" s="1957" t="str">
        <f t="shared" si="20"/>
        <v>Heat Rejection</v>
      </c>
      <c r="BH181" s="1957" t="str">
        <f t="shared" si="20"/>
        <v>Electricity</v>
      </c>
      <c r="BI181" s="1957">
        <f>IF(BG181&lt;&gt;"",IFERROR(MATCH(BG181&amp;BH181,'Results from Trace'!$L$1:$L$21,0),""),"")</f>
        <v>12</v>
      </c>
    </row>
    <row r="182" spans="1:61" ht="16.2" customHeight="1" x14ac:dyDescent="0.3">
      <c r="A182" s="1063" t="s">
        <v>1299</v>
      </c>
      <c r="B182" s="2794"/>
      <c r="C182" s="2794"/>
      <c r="D182" s="2819"/>
      <c r="E182" s="2820"/>
      <c r="F182" s="1132" t="str">
        <f>IFERROR(IF(ISBLANK(E181),"","Demand (" &amp; VLOOKUP($E181,PO_Enrgy_1_Table,MATCH($E$16,PO_Enrgy_1_Hdr,0),FALSE) &amp; ")"),"")</f>
        <v>Demand (kW)</v>
      </c>
      <c r="G182" s="1218" t="str">
        <f>INDEX(PO_baseline_table,12, 10)</f>
        <v/>
      </c>
      <c r="H182" s="1160"/>
      <c r="I182" s="1219" t="str">
        <f t="shared" si="19"/>
        <v/>
      </c>
      <c r="J182" s="2822"/>
      <c r="K182" s="2823"/>
      <c r="L182" s="2823"/>
      <c r="M182" s="2825"/>
      <c r="Q182" s="1296" t="str">
        <f t="shared" si="11"/>
        <v/>
      </c>
      <c r="R182" s="1296" t="str">
        <f t="shared" si="12"/>
        <v/>
      </c>
      <c r="S182" s="1296" t="str">
        <f t="shared" si="13"/>
        <v/>
      </c>
      <c r="T182" s="1296" t="str">
        <f t="shared" si="14"/>
        <v/>
      </c>
      <c r="V182" s="1305">
        <f t="shared" si="15"/>
        <v>0</v>
      </c>
      <c r="W182" s="1296">
        <f t="shared" si="16"/>
        <v>0</v>
      </c>
      <c r="X182" s="1296">
        <f t="shared" si="17"/>
        <v>0</v>
      </c>
      <c r="Y182" s="1296"/>
      <c r="Z182" s="1296"/>
      <c r="AA182" s="1296"/>
      <c r="AB182" s="1296"/>
      <c r="AC182" s="1296"/>
      <c r="AD182" s="1296"/>
      <c r="AE182" s="15"/>
      <c r="AF182" s="2827"/>
      <c r="AG182" s="2827"/>
      <c r="AH182" s="1066"/>
      <c r="AI182" s="788"/>
      <c r="AJ182" s="788"/>
      <c r="AK182" s="1196"/>
      <c r="AO182" s="535"/>
      <c r="BC182" s="1906"/>
      <c r="BF182" s="1957" t="str">
        <f t="shared" si="20"/>
        <v>AD</v>
      </c>
      <c r="BG182" s="1957">
        <f t="shared" si="20"/>
        <v>0</v>
      </c>
      <c r="BH182" s="1957">
        <f t="shared" si="20"/>
        <v>0</v>
      </c>
      <c r="BI182" s="1957" t="str">
        <f>IF(BG182&lt;&gt;"",IFERROR(MATCH(BG182&amp;BH182,'Results from Trace'!$L$1:$L$21,0),""),"")</f>
        <v/>
      </c>
    </row>
    <row r="183" spans="1:61" ht="16.2" customHeight="1" x14ac:dyDescent="0.3">
      <c r="A183" s="1063" t="s">
        <v>1299</v>
      </c>
      <c r="B183" s="2794" t="s">
        <v>475</v>
      </c>
      <c r="C183" s="2794"/>
      <c r="D183" s="2819">
        <f>INDEX(PO_baseline_table,13, 3)</f>
        <v>0</v>
      </c>
      <c r="E183" s="2820" t="str">
        <f>INDEX(PO_baseline_table,13, 4)</f>
        <v>Electricity</v>
      </c>
      <c r="F183" s="1132" t="str">
        <f>IFERROR(IF(ISBLANK(E183),"","Consumption (" &amp; VLOOKUP($E183,PO_Enrgy_1_Table,MATCH($C$16,PO_Enrgy_1_Hdr,0),FALSE) &amp; ")"),"")</f>
        <v>Consumption (kWh)</v>
      </c>
      <c r="G183" s="1217" t="str">
        <f>INDEX(PO_baseline_table,13, 10)</f>
        <v/>
      </c>
      <c r="H183" s="1160"/>
      <c r="I183" s="1359" t="str">
        <f t="shared" si="19"/>
        <v/>
      </c>
      <c r="J183" s="2821" t="str">
        <f>IFERROR(IF($E$327-$H$327&lt;0,"",($G183-$H183)*VLOOKUP($E183,PO_Enrgy_1_Table,MATCH($K$16,PO_Enrgy_1_Hdr,0),FALSE)/($E$327-$H$327)),"")</f>
        <v/>
      </c>
      <c r="K183" s="2823" t="str">
        <f>IFERROR(IF($G$327-$J$327&lt;0,"",($G183*VLOOKUP($E183,PO_Enrgy_8_Table,MATCH($E$232,PO_Enrgy_8_Hdr,0),FALSE)-($H183*VLOOKUP($E183,PO_Enrgy_8_Table,MATCH($H$232,PO_Enrgy_8_Hdr,0),FALSE)))/($G$327-$J$327)),"")</f>
        <v/>
      </c>
      <c r="L183" s="2823"/>
      <c r="M183" s="2824" t="str">
        <f>IFERROR(H183*VLOOKUP($E183,PO_Enrgy_1_Table,MATCH($K$16,PO_Enrgy_1_Hdr,0))/$H$227,"")</f>
        <v/>
      </c>
      <c r="Q183" s="1296">
        <f t="shared" si="11"/>
        <v>9.999999999999998E-4</v>
      </c>
      <c r="R183" s="1296">
        <f t="shared" si="12"/>
        <v>3.1399999999999996E-3</v>
      </c>
      <c r="S183" s="1296" t="str">
        <f t="shared" si="13"/>
        <v/>
      </c>
      <c r="T183" s="1296" t="str">
        <f t="shared" si="14"/>
        <v/>
      </c>
      <c r="V183" s="1305">
        <f t="shared" si="15"/>
        <v>0</v>
      </c>
      <c r="W183" s="1296">
        <f t="shared" si="16"/>
        <v>0</v>
      </c>
      <c r="X183" s="1296">
        <f t="shared" si="17"/>
        <v>0</v>
      </c>
      <c r="Y183" s="1296" t="b">
        <f>IFERROR(IF(D183="x",IF(OR(G183/H183&gt;1.03,G183/H183&lt;0.97),TRUE,FALSE),FALSE),FALSE)</f>
        <v>0</v>
      </c>
      <c r="Z183" s="1296">
        <f>IFERROR(J183*100,)</f>
        <v>0</v>
      </c>
      <c r="AA183" s="1296"/>
      <c r="AB183" s="1296">
        <f>RANK(Z183,$Z$171:$Z$218,0)</f>
        <v>1</v>
      </c>
      <c r="AC183" s="1296">
        <f>AB183+COUNTIF($AB$171:$AB182,AB183)</f>
        <v>7</v>
      </c>
      <c r="AD183" s="1296" t="str">
        <f>B183</f>
        <v>Fans - interior ventilation</v>
      </c>
      <c r="AE183" s="15"/>
      <c r="AF183" s="2827"/>
      <c r="AG183" s="2827"/>
      <c r="AH183" s="1066"/>
      <c r="AI183" s="788"/>
      <c r="AJ183" s="788"/>
      <c r="AK183" s="1195"/>
      <c r="AO183" s="535"/>
      <c r="BC183" s="1906"/>
      <c r="BF183" s="1957" t="str">
        <f t="shared" si="20"/>
        <v>S</v>
      </c>
      <c r="BG183" s="1957" t="str">
        <f t="shared" si="20"/>
        <v>Fans - Conditioned</v>
      </c>
      <c r="BH183" s="1957" t="str">
        <f t="shared" si="20"/>
        <v>Electricity</v>
      </c>
      <c r="BI183" s="1957">
        <f>IF(BG183&lt;&gt;"",IFERROR(MATCH(BG183&amp;BH183,'Results from Trace'!$L$1:$L$21,0),""),"")</f>
        <v>13</v>
      </c>
    </row>
    <row r="184" spans="1:61" ht="16.2" customHeight="1" x14ac:dyDescent="0.3">
      <c r="A184" s="1063" t="s">
        <v>1299</v>
      </c>
      <c r="B184" s="2794"/>
      <c r="C184" s="2794"/>
      <c r="D184" s="2819"/>
      <c r="E184" s="2820"/>
      <c r="F184" s="1132" t="str">
        <f>IFERROR(IF(ISBLANK(E183),"","Demand (" &amp; VLOOKUP($E183,PO_Enrgy_1_Table,MATCH($E$16,PO_Enrgy_1_Hdr,0),FALSE) &amp; ")"),"")</f>
        <v>Demand (kW)</v>
      </c>
      <c r="G184" s="1218" t="str">
        <f>INDEX(PO_baseline_table,14, 10)</f>
        <v/>
      </c>
      <c r="H184" s="1160"/>
      <c r="I184" s="1219" t="str">
        <f t="shared" si="19"/>
        <v/>
      </c>
      <c r="J184" s="2822"/>
      <c r="K184" s="2823"/>
      <c r="L184" s="2823"/>
      <c r="M184" s="2825"/>
      <c r="Q184" s="1296" t="str">
        <f t="shared" si="11"/>
        <v/>
      </c>
      <c r="R184" s="1296" t="str">
        <f t="shared" si="12"/>
        <v/>
      </c>
      <c r="S184" s="1296" t="str">
        <f t="shared" si="13"/>
        <v/>
      </c>
      <c r="T184" s="1296" t="str">
        <f t="shared" si="14"/>
        <v/>
      </c>
      <c r="V184" s="1305">
        <f t="shared" si="15"/>
        <v>0</v>
      </c>
      <c r="W184" s="1296">
        <f t="shared" si="16"/>
        <v>0</v>
      </c>
      <c r="X184" s="1296">
        <f t="shared" si="17"/>
        <v>0</v>
      </c>
      <c r="Y184" s="1296"/>
      <c r="Z184" s="1296"/>
      <c r="AA184" s="1296"/>
      <c r="AB184" s="1296"/>
      <c r="AC184" s="1296"/>
      <c r="AD184" s="1296"/>
      <c r="AE184" s="15"/>
      <c r="AF184" s="2827"/>
      <c r="AG184" s="2827"/>
      <c r="AH184" s="1066"/>
      <c r="AI184" s="788"/>
      <c r="AJ184" s="788"/>
      <c r="AK184" s="1196"/>
      <c r="AO184" s="535"/>
      <c r="BC184" s="1906"/>
      <c r="BF184" s="1957" t="str">
        <f t="shared" si="20"/>
        <v>AF</v>
      </c>
      <c r="BG184" s="1957">
        <f t="shared" si="20"/>
        <v>0</v>
      </c>
      <c r="BH184" s="1957">
        <f t="shared" si="20"/>
        <v>0</v>
      </c>
      <c r="BI184" s="1957" t="str">
        <f>IF(BG184&lt;&gt;"",IFERROR(MATCH(BG184&amp;BH184,'Results from Trace'!$L$1:$L$21,0),""),"")</f>
        <v/>
      </c>
    </row>
    <row r="185" spans="1:61" ht="16.2" customHeight="1" x14ac:dyDescent="0.3">
      <c r="A185" s="1063" t="s">
        <v>1299</v>
      </c>
      <c r="B185" s="2794" t="s">
        <v>474</v>
      </c>
      <c r="C185" s="2794"/>
      <c r="D185" s="2819" t="str">
        <f>INDEX(PO_baseline_table,15, 3)</f>
        <v>x</v>
      </c>
      <c r="E185" s="2820" t="str">
        <f>INDEX(PO_baseline_table,15, 4)</f>
        <v>Electricity</v>
      </c>
      <c r="F185" s="1132" t="str">
        <f>IFERROR(IF(ISBLANK(E185),"","Consumption (" &amp; VLOOKUP($E185,PO_Enrgy_1_Table,MATCH($C$16,PO_Enrgy_1_Hdr,0),FALSE) &amp; ")"),"")</f>
        <v>Consumption (kWh)</v>
      </c>
      <c r="G185" s="1217" t="str">
        <f>INDEX(PO_baseline_table,15, 10)</f>
        <v/>
      </c>
      <c r="H185" s="1160"/>
      <c r="I185" s="1359" t="str">
        <f t="shared" si="19"/>
        <v/>
      </c>
      <c r="J185" s="2821" t="str">
        <f>IFERROR(IF($E$327-$H$327&lt;0,"",($G185-$H185)*VLOOKUP($E185,PO_Enrgy_1_Table,MATCH($K$16,PO_Enrgy_1_Hdr,0),FALSE)/($E$327-$H$327)),"")</f>
        <v/>
      </c>
      <c r="K185" s="2823" t="str">
        <f>IFERROR(IF($G$327-$J$327&lt;0,"",($G185*VLOOKUP($E185,PO_Enrgy_8_Table,MATCH($E$232,PO_Enrgy_8_Hdr,0),FALSE)-($H185*VLOOKUP($E185,PO_Enrgy_8_Table,MATCH($H$232,PO_Enrgy_8_Hdr,0),FALSE)))/($G$327-$J$327)),"")</f>
        <v/>
      </c>
      <c r="L185" s="2823"/>
      <c r="M185" s="2824" t="str">
        <f>IFERROR(H185*VLOOKUP($E185,PO_Enrgy_1_Table,MATCH($K$16,PO_Enrgy_1_Hdr,0))/$H$227,"")</f>
        <v/>
      </c>
      <c r="Q185" s="1296">
        <f t="shared" si="11"/>
        <v>9.999999999999998E-4</v>
      </c>
      <c r="R185" s="1296">
        <f t="shared" si="12"/>
        <v>3.1399999999999996E-3</v>
      </c>
      <c r="S185" s="1296" t="str">
        <f t="shared" si="13"/>
        <v/>
      </c>
      <c r="T185" s="1296" t="str">
        <f t="shared" si="14"/>
        <v/>
      </c>
      <c r="V185" s="1305">
        <f t="shared" si="15"/>
        <v>0</v>
      </c>
      <c r="W185" s="1296">
        <f t="shared" si="16"/>
        <v>0</v>
      </c>
      <c r="X185" s="1296">
        <f t="shared" si="17"/>
        <v>0</v>
      </c>
      <c r="Y185" s="1296" t="b">
        <f>IFERROR(IF(D185="x",IF(OR(G185/H185&gt;1.03,G185/H185&lt;0.97),TRUE,FALSE),FALSE),FALSE)</f>
        <v>0</v>
      </c>
      <c r="Z185" s="1296">
        <f>IFERROR(J185*100,)</f>
        <v>0</v>
      </c>
      <c r="AA185" s="1296"/>
      <c r="AB185" s="1296">
        <f>RANK(Z185,$Z$171:$Z$218,0)</f>
        <v>1</v>
      </c>
      <c r="AC185" s="1296">
        <f>AB185+COUNTIF($AB$171:$AB184,AB185)</f>
        <v>8</v>
      </c>
      <c r="AD185" s="1296" t="str">
        <f>B185</f>
        <v>Fans - parking garage</v>
      </c>
      <c r="AE185" s="15"/>
      <c r="AF185" s="2827"/>
      <c r="AG185" s="2827"/>
      <c r="AH185" s="1066"/>
      <c r="AI185" s="788"/>
      <c r="AJ185" s="788"/>
      <c r="AK185" s="1195"/>
      <c r="AO185" s="535"/>
      <c r="BC185" s="1906"/>
      <c r="BF185" s="1957">
        <f t="shared" si="20"/>
        <v>0</v>
      </c>
      <c r="BG185" s="1957">
        <f t="shared" si="20"/>
        <v>0</v>
      </c>
      <c r="BH185" s="1957">
        <f t="shared" si="20"/>
        <v>0</v>
      </c>
      <c r="BI185" s="1957" t="str">
        <f>IF(BG185&lt;&gt;"",IFERROR(MATCH(BG185&amp;BH185,'Results from Trace'!$L$1:$L$21,0),""),"")</f>
        <v/>
      </c>
    </row>
    <row r="186" spans="1:61" ht="16.2" customHeight="1" x14ac:dyDescent="0.3">
      <c r="A186" s="1063" t="s">
        <v>1299</v>
      </c>
      <c r="B186" s="2794"/>
      <c r="C186" s="2794"/>
      <c r="D186" s="2819"/>
      <c r="E186" s="2820"/>
      <c r="F186" s="1132" t="str">
        <f>IFERROR(IF(ISBLANK(E185),"","Demand (" &amp; VLOOKUP($E185,PO_Enrgy_1_Table,MATCH($E$16,PO_Enrgy_1_Hdr,0),FALSE) &amp; ")"),"")</f>
        <v>Demand (kW)</v>
      </c>
      <c r="G186" s="1218" t="str">
        <f>INDEX(PO_baseline_table,16, 10)</f>
        <v/>
      </c>
      <c r="H186" s="1160"/>
      <c r="I186" s="1219" t="str">
        <f t="shared" si="19"/>
        <v/>
      </c>
      <c r="J186" s="2822"/>
      <c r="K186" s="2823"/>
      <c r="L186" s="2823"/>
      <c r="M186" s="2825"/>
      <c r="Q186" s="1296" t="str">
        <f t="shared" si="11"/>
        <v/>
      </c>
      <c r="R186" s="1296" t="str">
        <f t="shared" si="12"/>
        <v/>
      </c>
      <c r="S186" s="1296" t="str">
        <f t="shared" si="13"/>
        <v/>
      </c>
      <c r="T186" s="1296" t="str">
        <f t="shared" si="14"/>
        <v/>
      </c>
      <c r="V186" s="1305">
        <f t="shared" si="15"/>
        <v>0</v>
      </c>
      <c r="W186" s="1296">
        <f t="shared" si="16"/>
        <v>0</v>
      </c>
      <c r="X186" s="1296">
        <f t="shared" si="17"/>
        <v>0</v>
      </c>
      <c r="Y186" s="1296"/>
      <c r="Z186" s="1296"/>
      <c r="AA186" s="1296"/>
      <c r="AB186" s="1296"/>
      <c r="AC186" s="1296"/>
      <c r="AD186" s="1296"/>
      <c r="AE186" s="15"/>
      <c r="AF186" s="2827"/>
      <c r="AG186" s="2827"/>
      <c r="AH186" s="1066"/>
      <c r="AI186" s="788"/>
      <c r="AJ186" s="788"/>
      <c r="AK186" s="1196"/>
      <c r="AO186" s="535"/>
      <c r="BC186" s="1906"/>
      <c r="BF186" s="1957">
        <f t="shared" si="20"/>
        <v>0</v>
      </c>
      <c r="BG186" s="1957">
        <f t="shared" si="20"/>
        <v>0</v>
      </c>
      <c r="BH186" s="1957">
        <f t="shared" si="20"/>
        <v>0</v>
      </c>
      <c r="BI186" s="1957" t="str">
        <f>IF(BG186&lt;&gt;"",IFERROR(MATCH(BG186&amp;BH186,'Results from Trace'!$L$1:$L$21,0),""),"")</f>
        <v/>
      </c>
    </row>
    <row r="187" spans="1:61" ht="16.2" customHeight="1" x14ac:dyDescent="0.3">
      <c r="A187" s="1063" t="s">
        <v>1299</v>
      </c>
      <c r="B187" s="2794" t="s">
        <v>473</v>
      </c>
      <c r="C187" s="2794"/>
      <c r="D187" s="2819">
        <f>INDEX(PO_baseline_table,17, 3)</f>
        <v>0</v>
      </c>
      <c r="E187" s="2820" t="str">
        <f>INDEX(PO_baseline_table,17, 4)</f>
        <v>Natural Gas</v>
      </c>
      <c r="F187" s="1132" t="str">
        <f>IFERROR(IF(ISBLANK(E187),"","Consumption (" &amp; VLOOKUP($E187,PO_Enrgy_1_Table,MATCH($C$16,PO_Enrgy_1_Hdr,0),FALSE) &amp; ")"),"")</f>
        <v>Consumption (therm)</v>
      </c>
      <c r="G187" s="1217" t="str">
        <f>INDEX(PO_baseline_table,17, 10)</f>
        <v/>
      </c>
      <c r="H187" s="1160"/>
      <c r="I187" s="1359" t="str">
        <f t="shared" si="19"/>
        <v/>
      </c>
      <c r="J187" s="2821" t="str">
        <f>IFERROR(IF($E$327-$H$327&lt;0,"",($G187-$H187)*VLOOKUP($E187,PO_Enrgy_1_Table,MATCH($K$16,PO_Enrgy_1_Hdr,0),FALSE)/($E$327-$H$327)),"")</f>
        <v/>
      </c>
      <c r="K187" s="2823" t="str">
        <f>IFERROR(IF($G$327-$J$327&lt;0,"",($G187*VLOOKUP($E187,PO_Enrgy_8_Table,MATCH($E$232,PO_Enrgy_8_Hdr,0),FALSE)-($H187*VLOOKUP($E187,PO_Enrgy_8_Table,MATCH($H$232,PO_Enrgy_8_Hdr,0),FALSE)))/($G$327-$J$327)),"")</f>
        <v/>
      </c>
      <c r="L187" s="2823"/>
      <c r="M187" s="2824" t="str">
        <f>IFERROR(H187*VLOOKUP($E187,PO_Enrgy_1_Table,MATCH($K$16,PO_Enrgy_1_Hdr,0))/$H$227,"")</f>
        <v/>
      </c>
      <c r="Q187" s="1296">
        <f t="shared" si="11"/>
        <v>2.9308323563892142E-2</v>
      </c>
      <c r="R187" s="1296">
        <f t="shared" si="12"/>
        <v>3.0773739742086751E-2</v>
      </c>
      <c r="S187" s="1296" t="str">
        <f t="shared" si="13"/>
        <v/>
      </c>
      <c r="T187" s="1296" t="str">
        <f t="shared" si="14"/>
        <v/>
      </c>
      <c r="V187" s="1305">
        <f t="shared" si="15"/>
        <v>0</v>
      </c>
      <c r="W187" s="1296">
        <f t="shared" si="16"/>
        <v>0</v>
      </c>
      <c r="X187" s="1296">
        <f t="shared" si="17"/>
        <v>0</v>
      </c>
      <c r="Y187" s="1296" t="b">
        <f>IFERROR(IF(D187="x",IF(OR(G187/H187&gt;1.03,G187/H187&lt;0.97),TRUE,FALSE),FALSE),FALSE)</f>
        <v>0</v>
      </c>
      <c r="Z187" s="1296">
        <f>IFERROR(J187*100,)</f>
        <v>0</v>
      </c>
      <c r="AA187" s="1296"/>
      <c r="AB187" s="1296">
        <f>RANK(Z187,$Z$171:$Z$218,0)</f>
        <v>1</v>
      </c>
      <c r="AC187" s="1296">
        <f>AB187+COUNTIF($AB$171:$AB186,AB187)</f>
        <v>9</v>
      </c>
      <c r="AD187" s="1296" t="str">
        <f>B187</f>
        <v>Service water heating</v>
      </c>
      <c r="AE187" s="15"/>
      <c r="AF187" s="2827"/>
      <c r="AG187" s="2827"/>
      <c r="AH187" s="1066"/>
      <c r="AI187" s="788"/>
      <c r="AJ187" s="788"/>
      <c r="AK187" s="1195"/>
      <c r="AO187" s="535"/>
      <c r="BC187" s="1906"/>
      <c r="BF187" s="1957" t="str">
        <f t="shared" si="20"/>
        <v>BH</v>
      </c>
      <c r="BG187" s="1957" t="str">
        <f t="shared" si="20"/>
        <v>Stand-alone Base Utilities</v>
      </c>
      <c r="BH187" s="1957" t="str">
        <f t="shared" si="20"/>
        <v>Gas</v>
      </c>
      <c r="BI187" s="1957">
        <f>IF(BG187&lt;&gt;"",IFERROR(MATCH(BG187&amp;BH187,'Results from Trace'!$L$1:$L$21,0),""),"")</f>
        <v>16</v>
      </c>
    </row>
    <row r="188" spans="1:61" ht="16.2" customHeight="1" x14ac:dyDescent="0.3">
      <c r="A188" s="1063" t="s">
        <v>1299</v>
      </c>
      <c r="B188" s="2794"/>
      <c r="C188" s="2794"/>
      <c r="D188" s="2819"/>
      <c r="E188" s="2820"/>
      <c r="F188" s="1132" t="str">
        <f>IFERROR(IF(ISBLANK(E187),"","Demand (" &amp; VLOOKUP($E187,PO_Enrgy_1_Table,MATCH($E$16,PO_Enrgy_1_Hdr,0),FALSE) &amp; ")"),"")</f>
        <v>Demand (Btuh x 10^6)</v>
      </c>
      <c r="G188" s="1218" t="str">
        <f>INDEX(PO_baseline_table,18, 10)</f>
        <v/>
      </c>
      <c r="H188" s="1160"/>
      <c r="I188" s="1219" t="str">
        <f t="shared" si="19"/>
        <v/>
      </c>
      <c r="J188" s="2822"/>
      <c r="K188" s="2823"/>
      <c r="L188" s="2823"/>
      <c r="M188" s="2825"/>
      <c r="Q188" s="1296" t="str">
        <f t="shared" si="11"/>
        <v/>
      </c>
      <c r="R188" s="1296" t="str">
        <f t="shared" si="12"/>
        <v/>
      </c>
      <c r="S188" s="1296" t="str">
        <f t="shared" si="13"/>
        <v/>
      </c>
      <c r="T188" s="1296" t="str">
        <f t="shared" si="14"/>
        <v/>
      </c>
      <c r="V188" s="1305">
        <f t="shared" si="15"/>
        <v>0</v>
      </c>
      <c r="W188" s="1296">
        <f t="shared" si="16"/>
        <v>0</v>
      </c>
      <c r="X188" s="1296">
        <f t="shared" si="17"/>
        <v>0</v>
      </c>
      <c r="Y188" s="1296"/>
      <c r="Z188" s="1296"/>
      <c r="AA188" s="1296"/>
      <c r="AB188" s="1296"/>
      <c r="AC188" s="1296"/>
      <c r="AD188" s="1296"/>
      <c r="AE188" s="15"/>
      <c r="AF188" s="2827"/>
      <c r="AG188" s="2827"/>
      <c r="AH188" s="1066"/>
      <c r="AI188" s="788"/>
      <c r="AJ188" s="788"/>
      <c r="AK188" s="1196"/>
      <c r="AO188" s="535"/>
      <c r="BC188" s="1906"/>
      <c r="BF188" s="1957">
        <f t="shared" ref="BF188:BH203" si="21">BF114</f>
        <v>0</v>
      </c>
      <c r="BG188" s="1957">
        <f t="shared" si="21"/>
        <v>0</v>
      </c>
      <c r="BH188" s="1957">
        <f t="shared" si="21"/>
        <v>0</v>
      </c>
      <c r="BI188" s="1957" t="str">
        <f>IF(BG188&lt;&gt;"",IFERROR(MATCH(BG188&amp;BH188,'Results from Trace'!$L$1:$L$21,0),""),"")</f>
        <v/>
      </c>
    </row>
    <row r="189" spans="1:61" ht="16.2" customHeight="1" x14ac:dyDescent="0.3">
      <c r="A189" s="1063" t="s">
        <v>1299</v>
      </c>
      <c r="B189" s="2794" t="s">
        <v>472</v>
      </c>
      <c r="C189" s="2794"/>
      <c r="D189" s="2819" t="str">
        <f>INDEX(PO_baseline_table,19, 3)</f>
        <v>x</v>
      </c>
      <c r="E189" s="2820" t="str">
        <f>INDEX(PO_baseline_table,19, 4)</f>
        <v>Electricity</v>
      </c>
      <c r="F189" s="1132" t="str">
        <f>IFERROR(IF(ISBLANK(E189),"","Consumption (" &amp; VLOOKUP($E189,PO_Enrgy_1_Table,MATCH($C$16,PO_Enrgy_1_Hdr,0),FALSE) &amp; ")"),"")</f>
        <v>Consumption (kWh)</v>
      </c>
      <c r="G189" s="1217" t="str">
        <f>INDEX(PO_baseline_table,19, 10)</f>
        <v/>
      </c>
      <c r="H189" s="1160"/>
      <c r="I189" s="1359" t="str">
        <f t="shared" si="19"/>
        <v/>
      </c>
      <c r="J189" s="2821" t="str">
        <f>IFERROR(IF($E$327-$H$327&lt;0,"",($G189-$H189)*VLOOKUP($E189,PO_Enrgy_1_Table,MATCH($K$16,PO_Enrgy_1_Hdr,0),FALSE)/($E$327-$H$327)),"")</f>
        <v/>
      </c>
      <c r="K189" s="2823" t="str">
        <f>IFERROR(IF($G$327-$J$327&lt;0,"",($G189*VLOOKUP($E189,PO_Enrgy_8_Table,MATCH($E$232,PO_Enrgy_8_Hdr,0),FALSE)-($H189*VLOOKUP($E189,PO_Enrgy_8_Table,MATCH($H$232,PO_Enrgy_8_Hdr,0),FALSE)))/($G$327-$J$327)),"")</f>
        <v/>
      </c>
      <c r="L189" s="2823"/>
      <c r="M189" s="2824" t="str">
        <f>IFERROR(H189*VLOOKUP($E189,PO_Enrgy_1_Table,MATCH($K$16,PO_Enrgy_1_Hdr,0))/$H$227,"")</f>
        <v/>
      </c>
      <c r="Q189" s="1296">
        <f t="shared" si="11"/>
        <v>9.999999999999998E-4</v>
      </c>
      <c r="R189" s="1296">
        <f t="shared" si="12"/>
        <v>3.1399999999999996E-3</v>
      </c>
      <c r="S189" s="1296" t="str">
        <f t="shared" si="13"/>
        <v/>
      </c>
      <c r="T189" s="1296" t="str">
        <f t="shared" si="14"/>
        <v/>
      </c>
      <c r="V189" s="1305">
        <f t="shared" si="15"/>
        <v>0</v>
      </c>
      <c r="W189" s="1296">
        <f t="shared" si="16"/>
        <v>0</v>
      </c>
      <c r="X189" s="1296">
        <f t="shared" si="17"/>
        <v>0</v>
      </c>
      <c r="Y189" s="1296" t="b">
        <f>IFERROR(IF(D189="x",IF(OR(G189/H189&gt;1.03,G189/H189&lt;0.97),TRUE,FALSE),FALSE),FALSE)</f>
        <v>0</v>
      </c>
      <c r="Z189" s="1296">
        <f>IFERROR(J189*100,)</f>
        <v>0</v>
      </c>
      <c r="AA189" s="1296"/>
      <c r="AB189" s="1296">
        <f>RANK(Z189,$Z$171:$Z$218,0)</f>
        <v>1</v>
      </c>
      <c r="AC189" s="1296">
        <f>AB189+COUNTIF($AB$171:$AB188,AB189)</f>
        <v>10</v>
      </c>
      <c r="AD189" s="1296" t="str">
        <f>B189</f>
        <v>Receptacle equipment</v>
      </c>
      <c r="AE189" s="15"/>
      <c r="AF189" s="2827"/>
      <c r="AG189" s="2827"/>
      <c r="AH189" s="1066"/>
      <c r="AI189" s="788"/>
      <c r="AJ189" s="788"/>
      <c r="AK189" s="1195"/>
      <c r="AO189" s="535"/>
      <c r="BC189" s="1906"/>
      <c r="BF189" s="1957" t="str">
        <f t="shared" si="21"/>
        <v>N</v>
      </c>
      <c r="BG189" s="1957" t="str">
        <f t="shared" si="21"/>
        <v>Receptacles - Conditioned</v>
      </c>
      <c r="BH189" s="1957" t="str">
        <f t="shared" si="21"/>
        <v>Electricity</v>
      </c>
      <c r="BI189" s="1957">
        <f>IF(BG189&lt;&gt;"",IFERROR(MATCH(BG189&amp;BH189,'Results from Trace'!$L$1:$L$21,0),""),"")</f>
        <v>14</v>
      </c>
    </row>
    <row r="190" spans="1:61" ht="16.2" customHeight="1" x14ac:dyDescent="0.3">
      <c r="A190" s="1063" t="s">
        <v>1299</v>
      </c>
      <c r="B190" s="2794"/>
      <c r="C190" s="2794"/>
      <c r="D190" s="2819"/>
      <c r="E190" s="2820"/>
      <c r="F190" s="1132" t="str">
        <f>IFERROR(IF(ISBLANK(E189),"","Demand (" &amp; VLOOKUP($E189,PO_Enrgy_1_Table,MATCH($E$16,PO_Enrgy_1_Hdr,0),FALSE) &amp; ")"),"")</f>
        <v>Demand (kW)</v>
      </c>
      <c r="G190" s="1218" t="str">
        <f>INDEX(PO_baseline_table,20, 10)</f>
        <v/>
      </c>
      <c r="H190" s="1160"/>
      <c r="I190" s="1219" t="str">
        <f t="shared" si="19"/>
        <v/>
      </c>
      <c r="J190" s="2822"/>
      <c r="K190" s="2823"/>
      <c r="L190" s="2823"/>
      <c r="M190" s="2825"/>
      <c r="Q190" s="1296" t="str">
        <f t="shared" si="11"/>
        <v/>
      </c>
      <c r="R190" s="1296" t="str">
        <f t="shared" si="12"/>
        <v/>
      </c>
      <c r="S190" s="1296" t="str">
        <f t="shared" si="13"/>
        <v/>
      </c>
      <c r="T190" s="1296" t="str">
        <f t="shared" si="14"/>
        <v/>
      </c>
      <c r="V190" s="1305">
        <f t="shared" si="15"/>
        <v>0</v>
      </c>
      <c r="W190" s="1296">
        <f t="shared" si="16"/>
        <v>0</v>
      </c>
      <c r="X190" s="1296">
        <f t="shared" si="17"/>
        <v>0</v>
      </c>
      <c r="Y190" s="1296"/>
      <c r="Z190" s="1296"/>
      <c r="AA190" s="1296"/>
      <c r="AB190" s="1296"/>
      <c r="AC190" s="1296"/>
      <c r="AD190" s="1296"/>
      <c r="AE190" s="15"/>
      <c r="AF190" s="2827"/>
      <c r="AG190" s="2827"/>
      <c r="AH190" s="1066"/>
      <c r="AI190" s="788"/>
      <c r="AJ190" s="788"/>
      <c r="AK190" s="1196"/>
      <c r="AO190" s="535"/>
      <c r="BC190" s="1906"/>
      <c r="BF190" s="1957" t="str">
        <f t="shared" si="21"/>
        <v>AA</v>
      </c>
      <c r="BG190" s="1957">
        <f t="shared" si="21"/>
        <v>0</v>
      </c>
      <c r="BH190" s="1957">
        <f t="shared" si="21"/>
        <v>0</v>
      </c>
      <c r="BI190" s="1957" t="str">
        <f>IF(BG190&lt;&gt;"",IFERROR(MATCH(BG190&amp;BH190,'Results from Trace'!$L$1:$L$21,0),""),"")</f>
        <v/>
      </c>
    </row>
    <row r="191" spans="1:61" ht="16.2" customHeight="1" x14ac:dyDescent="0.3">
      <c r="A191" s="1063" t="s">
        <v>1299</v>
      </c>
      <c r="B191" s="2794" t="s">
        <v>471</v>
      </c>
      <c r="C191" s="2794"/>
      <c r="D191" s="2819" t="str">
        <f>INDEX(PO_baseline_table,21, 3)</f>
        <v>x</v>
      </c>
      <c r="E191" s="2820" t="str">
        <f>INDEX(PO_baseline_table,21, 4)</f>
        <v>Electricity</v>
      </c>
      <c r="F191" s="1132" t="str">
        <f>IFERROR(IF(ISBLANK(E191),"","Consumption (" &amp; VLOOKUP($E191,PO_Enrgy_1_Table,MATCH($C$16,PO_Enrgy_1_Hdr,0),FALSE) &amp; ")"),"")</f>
        <v>Consumption (kWh)</v>
      </c>
      <c r="G191" s="1217" t="str">
        <f>INDEX(PO_baseline_table,21, 10)</f>
        <v/>
      </c>
      <c r="H191" s="1160"/>
      <c r="I191" s="1359" t="str">
        <f t="shared" si="19"/>
        <v/>
      </c>
      <c r="J191" s="2821" t="str">
        <f>IFERROR(IF($E$327-$H$327&lt;0,"",($G191-$H191)*VLOOKUP($E191,PO_Enrgy_1_Table,MATCH($K$16,PO_Enrgy_1_Hdr,0),FALSE)/($E$327-$H$327)),"")</f>
        <v/>
      </c>
      <c r="K191" s="2823" t="str">
        <f>IFERROR(IF($G$327-$J$327&lt;0,"",($G191*VLOOKUP($E191,PO_Enrgy_8_Table,MATCH($E$232,PO_Enrgy_8_Hdr,0),FALSE)-($H191*VLOOKUP($E191,PO_Enrgy_8_Table,MATCH($H$232,PO_Enrgy_8_Hdr,0),FALSE)))/($G$327-$J$327)),"")</f>
        <v/>
      </c>
      <c r="L191" s="2823"/>
      <c r="M191" s="2824" t="str">
        <f>IFERROR(H191*VLOOKUP($E191,PO_Enrgy_1_Table,MATCH($K$16,PO_Enrgy_1_Hdr,0))/$H$227,"")</f>
        <v/>
      </c>
      <c r="Q191" s="1296">
        <f t="shared" si="11"/>
        <v>9.999999999999998E-4</v>
      </c>
      <c r="R191" s="1296">
        <f t="shared" si="12"/>
        <v>3.1399999999999996E-3</v>
      </c>
      <c r="S191" s="1296" t="str">
        <f t="shared" si="13"/>
        <v/>
      </c>
      <c r="T191" s="1296" t="str">
        <f t="shared" si="14"/>
        <v/>
      </c>
      <c r="V191" s="1305">
        <f t="shared" si="15"/>
        <v>0</v>
      </c>
      <c r="W191" s="1296">
        <f t="shared" si="16"/>
        <v>0</v>
      </c>
      <c r="X191" s="1296">
        <f t="shared" si="17"/>
        <v>0</v>
      </c>
      <c r="Y191" s="1296" t="b">
        <f>IFERROR(IF(D191="x",IF(OR(G191/H191&gt;1.03,G191/H191&lt;0.97),TRUE,FALSE),FALSE),FALSE)</f>
        <v>0</v>
      </c>
      <c r="Z191" s="1296">
        <f>IFERROR(J191*100,)</f>
        <v>0</v>
      </c>
      <c r="AA191" s="1296"/>
      <c r="AB191" s="1296">
        <f>RANK(Z191,$Z$171:$Z$218,0)</f>
        <v>1</v>
      </c>
      <c r="AC191" s="1296">
        <f>AB191+COUNTIF($AB$171:$AB190,AB191)</f>
        <v>11</v>
      </c>
      <c r="AD191" s="1296" t="str">
        <f>B191</f>
        <v>IT equipment</v>
      </c>
      <c r="AE191" s="15"/>
      <c r="AF191" s="2827"/>
      <c r="AG191" s="2827"/>
      <c r="AH191" s="1066"/>
      <c r="AI191" s="788"/>
      <c r="AJ191" s="788"/>
      <c r="AK191" s="1195"/>
      <c r="AO191" s="535"/>
      <c r="BC191" s="1906"/>
      <c r="BF191" s="1957">
        <f t="shared" si="21"/>
        <v>0</v>
      </c>
      <c r="BG191" s="1957">
        <f t="shared" si="21"/>
        <v>0</v>
      </c>
      <c r="BH191" s="1957">
        <f t="shared" si="21"/>
        <v>0</v>
      </c>
      <c r="BI191" s="1957" t="str">
        <f>IF(BG191&lt;&gt;"",IFERROR(MATCH(BG191&amp;BH191,'Results from Trace'!$L$1:$L$21,0),""),"")</f>
        <v/>
      </c>
    </row>
    <row r="192" spans="1:61" ht="16.2" customHeight="1" x14ac:dyDescent="0.3">
      <c r="A192" s="1063" t="s">
        <v>1299</v>
      </c>
      <c r="B192" s="2794"/>
      <c r="C192" s="2794"/>
      <c r="D192" s="2819"/>
      <c r="E192" s="2820"/>
      <c r="F192" s="1132" t="str">
        <f>IFERROR(IF(ISBLANK(E191),"","Demand (" &amp; VLOOKUP($E191,PO_Enrgy_1_Table,MATCH($E$16,PO_Enrgy_1_Hdr,0),FALSE) &amp; ")"),"")</f>
        <v>Demand (kW)</v>
      </c>
      <c r="G192" s="1218" t="str">
        <f>INDEX(PO_baseline_table,22, 10)</f>
        <v/>
      </c>
      <c r="H192" s="1160"/>
      <c r="I192" s="1219" t="str">
        <f t="shared" si="19"/>
        <v/>
      </c>
      <c r="J192" s="2822"/>
      <c r="K192" s="2823"/>
      <c r="L192" s="2823"/>
      <c r="M192" s="2825"/>
      <c r="Q192" s="1296" t="str">
        <f t="shared" si="11"/>
        <v/>
      </c>
      <c r="R192" s="1296" t="str">
        <f t="shared" si="12"/>
        <v/>
      </c>
      <c r="S192" s="1296" t="str">
        <f t="shared" si="13"/>
        <v/>
      </c>
      <c r="T192" s="1296" t="str">
        <f t="shared" si="14"/>
        <v/>
      </c>
      <c r="V192" s="1305">
        <f t="shared" si="15"/>
        <v>0</v>
      </c>
      <c r="W192" s="1296">
        <f t="shared" si="16"/>
        <v>0</v>
      </c>
      <c r="X192" s="1296">
        <f t="shared" si="17"/>
        <v>0</v>
      </c>
      <c r="Y192" s="1296"/>
      <c r="Z192" s="1296"/>
      <c r="AA192" s="1296"/>
      <c r="AB192" s="1296"/>
      <c r="AC192" s="1296"/>
      <c r="AD192" s="1296"/>
      <c r="AE192" s="15"/>
      <c r="AF192" s="2827"/>
      <c r="AG192" s="2827"/>
      <c r="AH192" s="1066"/>
      <c r="AI192" s="788"/>
      <c r="AJ192" s="788"/>
      <c r="AK192" s="1196"/>
      <c r="AO192" s="535"/>
      <c r="BC192" s="1906"/>
      <c r="BF192" s="1957">
        <f t="shared" si="21"/>
        <v>0</v>
      </c>
      <c r="BG192" s="1957">
        <f t="shared" si="21"/>
        <v>0</v>
      </c>
      <c r="BH192" s="1957">
        <f t="shared" si="21"/>
        <v>0</v>
      </c>
      <c r="BI192" s="1957" t="str">
        <f>IF(BG192&lt;&gt;"",IFERROR(MATCH(BG192&amp;BH192,'Results from Trace'!$L$1:$L$21,0),""),"")</f>
        <v/>
      </c>
    </row>
    <row r="193" spans="1:61" ht="16.2" customHeight="1" x14ac:dyDescent="0.3">
      <c r="A193" s="1063" t="s">
        <v>1299</v>
      </c>
      <c r="B193" s="2794" t="s">
        <v>470</v>
      </c>
      <c r="C193" s="2794"/>
      <c r="D193" s="2819" t="str">
        <f>INDEX(PO_baseline_table,23, 3)</f>
        <v>x</v>
      </c>
      <c r="E193" s="2820" t="str">
        <f>INDEX(PO_baseline_table,23, 4)</f>
        <v>Electricity</v>
      </c>
      <c r="F193" s="1132" t="str">
        <f>IFERROR(IF(ISBLANK(E193),"","Consumption (" &amp; VLOOKUP($E193,PO_Enrgy_1_Table,MATCH($C$16,PO_Enrgy_1_Hdr,0),FALSE) &amp; ")"),"")</f>
        <v>Consumption (kWh)</v>
      </c>
      <c r="G193" s="1217" t="str">
        <f>INDEX(PO_baseline_table,23, 10)</f>
        <v/>
      </c>
      <c r="H193" s="1160"/>
      <c r="I193" s="1359" t="str">
        <f t="shared" si="19"/>
        <v/>
      </c>
      <c r="J193" s="2821" t="str">
        <f>IFERROR(IF($E$327-$H$327&lt;0,"",($G193-$H193)*VLOOKUP($E193,PO_Enrgy_1_Table,MATCH($K$16,PO_Enrgy_1_Hdr,0),FALSE)/($E$327-$H$327)),"")</f>
        <v/>
      </c>
      <c r="K193" s="2823" t="str">
        <f>IFERROR(IF($G$327-$J$327&lt;0,"",($G193*VLOOKUP($E193,PO_Enrgy_8_Table,MATCH($E$232,PO_Enrgy_8_Hdr,0),FALSE)-($H193*VLOOKUP($E193,PO_Enrgy_8_Table,MATCH($H$232,PO_Enrgy_8_Hdr,0),FALSE)))/($G$327-$J$327)),"")</f>
        <v/>
      </c>
      <c r="L193" s="2823"/>
      <c r="M193" s="2824" t="str">
        <f>IFERROR(H193*VLOOKUP($E193,PO_Enrgy_1_Table,MATCH($K$16,PO_Enrgy_1_Hdr,0))/$H$227,"")</f>
        <v/>
      </c>
      <c r="Q193" s="1296">
        <f t="shared" si="11"/>
        <v>9.999999999999998E-4</v>
      </c>
      <c r="R193" s="1296">
        <f t="shared" si="12"/>
        <v>3.1399999999999996E-3</v>
      </c>
      <c r="S193" s="1296" t="str">
        <f t="shared" si="13"/>
        <v/>
      </c>
      <c r="T193" s="1296" t="str">
        <f t="shared" si="14"/>
        <v/>
      </c>
      <c r="V193" s="1305">
        <f t="shared" si="15"/>
        <v>0</v>
      </c>
      <c r="W193" s="1296">
        <f t="shared" si="16"/>
        <v>0</v>
      </c>
      <c r="X193" s="1296">
        <f t="shared" si="17"/>
        <v>0</v>
      </c>
      <c r="Y193" s="1296" t="b">
        <f>IFERROR(IF(D193="x",IF(OR(G193/H193&gt;1.03,G193/H193&lt;0.97),TRUE,FALSE),FALSE),FALSE)</f>
        <v>0</v>
      </c>
      <c r="Z193" s="1296">
        <f>IFERROR(J193*100,)</f>
        <v>0</v>
      </c>
      <c r="AA193" s="1296"/>
      <c r="AB193" s="1296">
        <f>RANK(Z193,$Z$171:$Z$218,0)</f>
        <v>1</v>
      </c>
      <c r="AC193" s="1296">
        <f>AB193+COUNTIF($AB$171:$AB192,AB193)</f>
        <v>12</v>
      </c>
      <c r="AD193" s="1296" t="str">
        <f>B193</f>
        <v>Interior lighting - process</v>
      </c>
      <c r="AE193" s="15"/>
      <c r="AF193" s="2827"/>
      <c r="AG193" s="2827"/>
      <c r="AH193" s="1066"/>
      <c r="AI193" s="788"/>
      <c r="AJ193" s="788"/>
      <c r="AK193" s="1195"/>
      <c r="AO193" s="535"/>
      <c r="BC193" s="1906"/>
      <c r="BF193" s="1957">
        <f t="shared" si="21"/>
        <v>0</v>
      </c>
      <c r="BG193" s="1957">
        <f t="shared" si="21"/>
        <v>0</v>
      </c>
      <c r="BH193" s="1957">
        <f t="shared" si="21"/>
        <v>0</v>
      </c>
      <c r="BI193" s="1957" t="str">
        <f>IF(BG193&lt;&gt;"",IFERROR(MATCH(BG193&amp;BH193,'Results from Trace'!$L$1:$L$21,0),""),"")</f>
        <v/>
      </c>
    </row>
    <row r="194" spans="1:61" ht="16.2" customHeight="1" x14ac:dyDescent="0.3">
      <c r="A194" s="1063" t="s">
        <v>1299</v>
      </c>
      <c r="B194" s="2794"/>
      <c r="C194" s="2794"/>
      <c r="D194" s="2819"/>
      <c r="E194" s="2820"/>
      <c r="F194" s="1132" t="str">
        <f>IFERROR(IF(ISBLANK(E193),"","Demand (" &amp; VLOOKUP($E193,PO_Enrgy_1_Table,MATCH($E$16,PO_Enrgy_1_Hdr,0),FALSE) &amp; ")"),"")</f>
        <v>Demand (kW)</v>
      </c>
      <c r="G194" s="1218" t="str">
        <f>INDEX(PO_baseline_table,24, 10)</f>
        <v/>
      </c>
      <c r="H194" s="1160"/>
      <c r="I194" s="1219" t="str">
        <f t="shared" si="19"/>
        <v/>
      </c>
      <c r="J194" s="2822"/>
      <c r="K194" s="2823"/>
      <c r="L194" s="2823"/>
      <c r="M194" s="2825"/>
      <c r="Q194" s="1296" t="str">
        <f t="shared" si="11"/>
        <v/>
      </c>
      <c r="R194" s="1296" t="str">
        <f t="shared" si="12"/>
        <v/>
      </c>
      <c r="S194" s="1296" t="str">
        <f t="shared" si="13"/>
        <v/>
      </c>
      <c r="T194" s="1296" t="str">
        <f t="shared" si="14"/>
        <v/>
      </c>
      <c r="V194" s="1305">
        <f t="shared" si="15"/>
        <v>0</v>
      </c>
      <c r="W194" s="1296">
        <f t="shared" si="16"/>
        <v>0</v>
      </c>
      <c r="X194" s="1296">
        <f t="shared" si="17"/>
        <v>0</v>
      </c>
      <c r="Y194" s="1296"/>
      <c r="Z194" s="1296"/>
      <c r="AA194" s="1296"/>
      <c r="AB194" s="1296"/>
      <c r="AC194" s="1296"/>
      <c r="AD194" s="1296"/>
      <c r="AE194" s="15"/>
      <c r="AF194" s="2827"/>
      <c r="AG194" s="2827"/>
      <c r="AH194" s="1066"/>
      <c r="AI194" s="788"/>
      <c r="AJ194" s="788"/>
      <c r="AK194" s="1196"/>
      <c r="AO194" s="535"/>
      <c r="BC194" s="1906"/>
      <c r="BF194" s="1957">
        <f t="shared" si="21"/>
        <v>0</v>
      </c>
      <c r="BG194" s="1957">
        <f t="shared" si="21"/>
        <v>0</v>
      </c>
      <c r="BH194" s="1957">
        <f t="shared" si="21"/>
        <v>0</v>
      </c>
      <c r="BI194" s="1957" t="str">
        <f>IF(BG194&lt;&gt;"",IFERROR(MATCH(BG194&amp;BH194,'Results from Trace'!$L$1:$L$21,0),""),"")</f>
        <v/>
      </c>
    </row>
    <row r="195" spans="1:61" ht="16.2" customHeight="1" x14ac:dyDescent="0.3">
      <c r="A195" s="1063" t="s">
        <v>1299</v>
      </c>
      <c r="B195" s="2794" t="s">
        <v>427</v>
      </c>
      <c r="C195" s="2794"/>
      <c r="D195" s="2819" t="str">
        <f>INDEX(PO_baseline_table,25, 3)</f>
        <v>x</v>
      </c>
      <c r="E195" s="2820" t="str">
        <f>INDEX(PO_baseline_table,25, 4)</f>
        <v>Electricity</v>
      </c>
      <c r="F195" s="1132" t="str">
        <f>IFERROR(IF(ISBLANK(E195),"","Consumption (" &amp; VLOOKUP($E195,PO_Enrgy_1_Table,MATCH($C$16,PO_Enrgy_1_Hdr,0),FALSE) &amp; ")"),"")</f>
        <v>Consumption (kWh)</v>
      </c>
      <c r="G195" s="1217" t="str">
        <f>INDEX(PO_baseline_table,25, 10)</f>
        <v/>
      </c>
      <c r="H195" s="1160"/>
      <c r="I195" s="1359" t="str">
        <f t="shared" si="19"/>
        <v/>
      </c>
      <c r="J195" s="2821" t="str">
        <f>IFERROR(IF($E$327-$H$327&lt;0,"",($G195-$H195)*VLOOKUP($E195,PO_Enrgy_1_Table,MATCH($K$16,PO_Enrgy_1_Hdr,0),FALSE)/($E$327-$H$327)),"")</f>
        <v/>
      </c>
      <c r="K195" s="2823" t="str">
        <f>IFERROR(IF($G$327-$J$327&lt;0,"",($G195*VLOOKUP($E195,PO_Enrgy_8_Table,MATCH($E$232,PO_Enrgy_8_Hdr,0),FALSE)-($H195*VLOOKUP($E195,PO_Enrgy_8_Table,MATCH($H$232,PO_Enrgy_8_Hdr,0),FALSE)))/($G$327-$J$327)),"")</f>
        <v/>
      </c>
      <c r="L195" s="2823"/>
      <c r="M195" s="2824" t="str">
        <f>IFERROR(H195*VLOOKUP($E195,PO_Enrgy_1_Table,MATCH($K$16,PO_Enrgy_1_Hdr,0))/$H$227,"")</f>
        <v/>
      </c>
      <c r="Q195" s="1296">
        <f t="shared" si="11"/>
        <v>9.999999999999998E-4</v>
      </c>
      <c r="R195" s="1296">
        <f t="shared" si="12"/>
        <v>3.1399999999999996E-3</v>
      </c>
      <c r="S195" s="1296" t="str">
        <f t="shared" si="13"/>
        <v/>
      </c>
      <c r="T195" s="1296" t="str">
        <f t="shared" si="14"/>
        <v/>
      </c>
      <c r="V195" s="1305">
        <f t="shared" si="15"/>
        <v>0</v>
      </c>
      <c r="W195" s="1296">
        <f t="shared" si="16"/>
        <v>0</v>
      </c>
      <c r="X195" s="1296">
        <f t="shared" si="17"/>
        <v>0</v>
      </c>
      <c r="Y195" s="1296" t="b">
        <f>IFERROR(IF(D195="x",IF(OR(G195/H195&gt;1.03,G195/H195&lt;0.97),TRUE,FALSE),FALSE),FALSE)</f>
        <v>0</v>
      </c>
      <c r="Z195" s="1296">
        <f>IFERROR(J195*100,)</f>
        <v>0</v>
      </c>
      <c r="AA195" s="1296"/>
      <c r="AB195" s="1296">
        <f>RANK(Z195,$Z$171:$Z$218,0)</f>
        <v>1</v>
      </c>
      <c r="AC195" s="1296">
        <f>AB195+COUNTIF($AB$171:$AB194,AB195)</f>
        <v>13</v>
      </c>
      <c r="AD195" s="1296" t="str">
        <f>B195</f>
        <v>Refrigeration equipment</v>
      </c>
      <c r="AE195" s="15"/>
      <c r="AF195" s="2827"/>
      <c r="AG195" s="2827"/>
      <c r="AH195" s="1066"/>
      <c r="AI195" s="788"/>
      <c r="AJ195" s="788"/>
      <c r="AK195" s="1195"/>
      <c r="AO195" s="535"/>
      <c r="BC195" s="1906"/>
      <c r="BF195" s="1957">
        <f t="shared" si="21"/>
        <v>0</v>
      </c>
      <c r="BG195" s="1957">
        <f t="shared" si="21"/>
        <v>0</v>
      </c>
      <c r="BH195" s="1957">
        <f t="shared" si="21"/>
        <v>0</v>
      </c>
      <c r="BI195" s="1957" t="str">
        <f>IF(BG195&lt;&gt;"",IFERROR(MATCH(BG195&amp;BH195,'Results from Trace'!$L$1:$L$21,0),""),"")</f>
        <v/>
      </c>
    </row>
    <row r="196" spans="1:61" ht="16.2" customHeight="1" x14ac:dyDescent="0.3">
      <c r="A196" s="1063" t="s">
        <v>1299</v>
      </c>
      <c r="B196" s="2794"/>
      <c r="C196" s="2794"/>
      <c r="D196" s="2819"/>
      <c r="E196" s="2820"/>
      <c r="F196" s="1132" t="str">
        <f>IFERROR(IF(ISBLANK(E195),"","Demand (" &amp; VLOOKUP($E195,PO_Enrgy_1_Table,MATCH($E$16,PO_Enrgy_1_Hdr,0),FALSE) &amp; ")"),"")</f>
        <v>Demand (kW)</v>
      </c>
      <c r="G196" s="1218" t="str">
        <f>INDEX(PO_baseline_table,26, 10)</f>
        <v/>
      </c>
      <c r="H196" s="1160"/>
      <c r="I196" s="1219" t="str">
        <f t="shared" si="19"/>
        <v/>
      </c>
      <c r="J196" s="2822"/>
      <c r="K196" s="2823"/>
      <c r="L196" s="2823"/>
      <c r="M196" s="2825"/>
      <c r="Q196" s="1296" t="str">
        <f t="shared" si="11"/>
        <v/>
      </c>
      <c r="R196" s="1296" t="str">
        <f t="shared" si="12"/>
        <v/>
      </c>
      <c r="S196" s="1296" t="str">
        <f t="shared" si="13"/>
        <v/>
      </c>
      <c r="T196" s="1296" t="str">
        <f t="shared" si="14"/>
        <v/>
      </c>
      <c r="V196" s="1305">
        <f t="shared" si="15"/>
        <v>0</v>
      </c>
      <c r="W196" s="1296">
        <f t="shared" si="16"/>
        <v>0</v>
      </c>
      <c r="X196" s="1296">
        <f t="shared" si="17"/>
        <v>0</v>
      </c>
      <c r="Y196" s="1296"/>
      <c r="Z196" s="1296"/>
      <c r="AA196" s="1296"/>
      <c r="AB196" s="1296"/>
      <c r="AC196" s="1296"/>
      <c r="AD196" s="1296"/>
      <c r="AE196" s="15"/>
      <c r="AF196" s="2827"/>
      <c r="AG196" s="2827"/>
      <c r="AH196" s="1066"/>
      <c r="AI196" s="788"/>
      <c r="AJ196" s="788"/>
      <c r="AK196" s="1196"/>
      <c r="AO196" s="535"/>
      <c r="BC196" s="1906"/>
      <c r="BF196" s="1957">
        <f t="shared" si="21"/>
        <v>0</v>
      </c>
      <c r="BG196" s="1957">
        <f t="shared" si="21"/>
        <v>0</v>
      </c>
      <c r="BH196" s="1957">
        <f t="shared" si="21"/>
        <v>0</v>
      </c>
      <c r="BI196" s="1957" t="str">
        <f>IF(BG196&lt;&gt;"",IFERROR(MATCH(BG196&amp;BH196,'Results from Trace'!$L$1:$L$21,0),""),"")</f>
        <v/>
      </c>
    </row>
    <row r="197" spans="1:61" ht="16.2" customHeight="1" x14ac:dyDescent="0.3">
      <c r="A197" s="1063" t="s">
        <v>1299</v>
      </c>
      <c r="B197" s="2794" t="s">
        <v>469</v>
      </c>
      <c r="C197" s="2794"/>
      <c r="D197" s="2819" t="str">
        <f>INDEX(PO_baseline_table,27, 3)</f>
        <v>x</v>
      </c>
      <c r="E197" s="2820" t="str">
        <f>INDEX(PO_baseline_table,27, 4)</f>
        <v>Electricity</v>
      </c>
      <c r="F197" s="1132" t="str">
        <f>IFERROR(IF(ISBLANK(E197),"","Consumption (" &amp; VLOOKUP($E197,PO_Enrgy_1_Table,MATCH($C$16,PO_Enrgy_1_Hdr,0),FALSE) &amp; ")"),"")</f>
        <v>Consumption (kWh)</v>
      </c>
      <c r="G197" s="1217" t="str">
        <f>INDEX(PO_baseline_table,27, 10)</f>
        <v/>
      </c>
      <c r="H197" s="1160"/>
      <c r="I197" s="1359" t="str">
        <f t="shared" si="19"/>
        <v/>
      </c>
      <c r="J197" s="2821" t="str">
        <f>IFERROR(IF($E$327-$H$327&lt;0,"",($G197-$H197)*VLOOKUP($E197,PO_Enrgy_1_Table,MATCH($K$16,PO_Enrgy_1_Hdr,0),FALSE)/($E$327-$H$327)),"")</f>
        <v/>
      </c>
      <c r="K197" s="2823" t="str">
        <f>IFERROR(IF($G$327-$J$327&lt;0,"",($G197*VLOOKUP($E197,PO_Enrgy_8_Table,MATCH($E$232,PO_Enrgy_8_Hdr,0),FALSE)-($H197*VLOOKUP($E197,PO_Enrgy_8_Table,MATCH($H$232,PO_Enrgy_8_Hdr,0),FALSE)))/($G$327-$J$327)),"")</f>
        <v/>
      </c>
      <c r="L197" s="2823"/>
      <c r="M197" s="2824" t="str">
        <f>IFERROR(H197*VLOOKUP($E197,PO_Enrgy_1_Table,MATCH($K$16,PO_Enrgy_1_Hdr,0))/$H$227,"")</f>
        <v/>
      </c>
      <c r="Q197" s="1296">
        <f t="shared" si="11"/>
        <v>9.999999999999998E-4</v>
      </c>
      <c r="R197" s="1296">
        <f t="shared" si="12"/>
        <v>3.1399999999999996E-3</v>
      </c>
      <c r="S197" s="1296" t="str">
        <f t="shared" si="13"/>
        <v/>
      </c>
      <c r="T197" s="1296" t="str">
        <f t="shared" si="14"/>
        <v/>
      </c>
      <c r="V197" s="1305">
        <f t="shared" si="15"/>
        <v>0</v>
      </c>
      <c r="W197" s="1296">
        <f t="shared" si="16"/>
        <v>0</v>
      </c>
      <c r="X197" s="1296">
        <f t="shared" si="17"/>
        <v>0</v>
      </c>
      <c r="Y197" s="1296" t="b">
        <f>IFERROR(IF(D197="x",IF(OR(G197/H197&gt;1.03,G197/H197&lt;0.97),TRUE,FALSE),FALSE),FALSE)</f>
        <v>0</v>
      </c>
      <c r="Z197" s="1296">
        <f>IFERROR(J197*100,)</f>
        <v>0</v>
      </c>
      <c r="AA197" s="1296"/>
      <c r="AB197" s="1296">
        <f>RANK(Z197,$Z$171:$Z$218,0)</f>
        <v>1</v>
      </c>
      <c r="AC197" s="1296">
        <f>AB197+COUNTIF($AB$171:$AB196,AB197)</f>
        <v>14</v>
      </c>
      <c r="AD197" s="1296" t="str">
        <f>B197</f>
        <v>Fans - Kitchen Ventilation</v>
      </c>
      <c r="AE197" s="15"/>
      <c r="AF197" s="2827"/>
      <c r="AG197" s="2827"/>
      <c r="AH197" s="1066"/>
      <c r="AI197" s="788"/>
      <c r="AJ197" s="788"/>
      <c r="AK197" s="1195"/>
      <c r="AO197" s="535"/>
      <c r="BC197" s="1906"/>
      <c r="BF197" s="1957">
        <f t="shared" si="21"/>
        <v>0</v>
      </c>
      <c r="BG197" s="1957">
        <f t="shared" si="21"/>
        <v>0</v>
      </c>
      <c r="BH197" s="1957">
        <f t="shared" si="21"/>
        <v>0</v>
      </c>
      <c r="BI197" s="1957" t="str">
        <f>IF(BG197&lt;&gt;"",IFERROR(MATCH(BG197&amp;BH197,'Results from Trace'!$L$1:$L$21,0),""),"")</f>
        <v/>
      </c>
    </row>
    <row r="198" spans="1:61" ht="16.2" customHeight="1" x14ac:dyDescent="0.3">
      <c r="A198" s="1063" t="s">
        <v>1299</v>
      </c>
      <c r="B198" s="2794"/>
      <c r="C198" s="2794"/>
      <c r="D198" s="2819"/>
      <c r="E198" s="2820"/>
      <c r="F198" s="1132" t="str">
        <f>IFERROR(IF(ISBLANK(E197),"","Demand (" &amp; VLOOKUP($E197,PO_Enrgy_1_Table,MATCH($E$16,PO_Enrgy_1_Hdr,0),FALSE) &amp; ")"),"")</f>
        <v>Demand (kW)</v>
      </c>
      <c r="G198" s="1218" t="str">
        <f>INDEX(PO_baseline_table,28, 10)</f>
        <v/>
      </c>
      <c r="H198" s="1160"/>
      <c r="I198" s="1219" t="str">
        <f t="shared" si="19"/>
        <v/>
      </c>
      <c r="J198" s="2822"/>
      <c r="K198" s="2823"/>
      <c r="L198" s="2823"/>
      <c r="M198" s="2825"/>
      <c r="Q198" s="1296" t="str">
        <f t="shared" si="11"/>
        <v/>
      </c>
      <c r="R198" s="1296" t="str">
        <f t="shared" si="12"/>
        <v/>
      </c>
      <c r="S198" s="1296" t="str">
        <f t="shared" si="13"/>
        <v/>
      </c>
      <c r="T198" s="1296" t="str">
        <f t="shared" si="14"/>
        <v/>
      </c>
      <c r="V198" s="1305">
        <f t="shared" si="15"/>
        <v>0</v>
      </c>
      <c r="W198" s="1296">
        <f t="shared" si="16"/>
        <v>0</v>
      </c>
      <c r="X198" s="1296">
        <f t="shared" si="17"/>
        <v>0</v>
      </c>
      <c r="Y198" s="1296"/>
      <c r="Z198" s="1296"/>
      <c r="AA198" s="1296"/>
      <c r="AB198" s="1296"/>
      <c r="AC198" s="1296"/>
      <c r="AD198" s="1296"/>
      <c r="AE198" s="15"/>
      <c r="AF198" s="2827"/>
      <c r="AG198" s="2827"/>
      <c r="AH198" s="1066"/>
      <c r="AI198" s="788"/>
      <c r="AJ198" s="788"/>
      <c r="AK198" s="1196"/>
      <c r="AO198" s="535"/>
      <c r="BC198" s="1906"/>
      <c r="BF198" s="1957">
        <f t="shared" si="21"/>
        <v>0</v>
      </c>
      <c r="BG198" s="1957">
        <f t="shared" si="21"/>
        <v>0</v>
      </c>
      <c r="BH198" s="1957">
        <f t="shared" si="21"/>
        <v>0</v>
      </c>
      <c r="BI198" s="1957" t="str">
        <f>IF(BG198&lt;&gt;"",IFERROR(MATCH(BG198&amp;BH198,'Results from Trace'!$L$1:$L$21,0),""),"")</f>
        <v/>
      </c>
    </row>
    <row r="199" spans="1:61" ht="16.2" customHeight="1" x14ac:dyDescent="0.3">
      <c r="A199" s="1063" t="s">
        <v>1299</v>
      </c>
      <c r="B199" s="2794" t="s">
        <v>468</v>
      </c>
      <c r="C199" s="2794"/>
      <c r="D199" s="2819" t="str">
        <f>INDEX(PO_baseline_table,29, 3)</f>
        <v>x</v>
      </c>
      <c r="E199" s="2820" t="str">
        <f>INDEX(PO_baseline_table,29, 4)</f>
        <v>Electricity</v>
      </c>
      <c r="F199" s="1132" t="str">
        <f>IFERROR(IF(ISBLANK(E199),"","Consumption (" &amp; VLOOKUP($E199,PO_Enrgy_1_Table,MATCH($C$16,PO_Enrgy_1_Hdr,0),FALSE) &amp; ")"),"")</f>
        <v>Consumption (kWh)</v>
      </c>
      <c r="G199" s="1217" t="str">
        <f>INDEX(PO_baseline_table,29, 10)</f>
        <v/>
      </c>
      <c r="H199" s="1160"/>
      <c r="I199" s="1359" t="str">
        <f t="shared" si="19"/>
        <v/>
      </c>
      <c r="J199" s="2821" t="str">
        <f>IFERROR(IF($E$327-$H$327&lt;0,"",($G199-$H199)*VLOOKUP($E199,PO_Enrgy_1_Table,MATCH($K$16,PO_Enrgy_1_Hdr,0),FALSE)/($E$327-$H$327)),"")</f>
        <v/>
      </c>
      <c r="K199" s="2823" t="str">
        <f>IFERROR(IF($G$327-$J$327&lt;0,"",($G199*VLOOKUP($E199,PO_Enrgy_8_Table,MATCH($E$232,PO_Enrgy_8_Hdr,0),FALSE)-($H199*VLOOKUP($E199,PO_Enrgy_8_Table,MATCH($H$232,PO_Enrgy_8_Hdr,0),FALSE)))/($G$327-$J$327)),"")</f>
        <v/>
      </c>
      <c r="L199" s="2823"/>
      <c r="M199" s="2824" t="str">
        <f>IFERROR(H199*VLOOKUP($E199,PO_Enrgy_1_Table,MATCH($K$16,PO_Enrgy_1_Hdr,0))/$H$227,"")</f>
        <v/>
      </c>
      <c r="Q199" s="1296">
        <f t="shared" si="11"/>
        <v>9.999999999999998E-4</v>
      </c>
      <c r="R199" s="1296">
        <f t="shared" si="12"/>
        <v>3.1399999999999996E-3</v>
      </c>
      <c r="S199" s="1296" t="str">
        <f t="shared" si="13"/>
        <v/>
      </c>
      <c r="T199" s="1296" t="str">
        <f t="shared" si="14"/>
        <v/>
      </c>
      <c r="V199" s="1305">
        <f t="shared" si="15"/>
        <v>0</v>
      </c>
      <c r="W199" s="1296">
        <f t="shared" si="16"/>
        <v>0</v>
      </c>
      <c r="X199" s="1296">
        <f t="shared" si="17"/>
        <v>0</v>
      </c>
      <c r="Y199" s="1296" t="b">
        <f>IFERROR(IF(D199="x",IF(OR(G199/H199&gt;1.03,G199/H199&lt;0.97),TRUE,FALSE),FALSE),FALSE)</f>
        <v>0</v>
      </c>
      <c r="Z199" s="1296">
        <f>IFERROR(J199*100,)</f>
        <v>0</v>
      </c>
      <c r="AA199" s="1296"/>
      <c r="AB199" s="1296">
        <f>RANK(Z199,$Z$171:$Z$218,0)</f>
        <v>1</v>
      </c>
      <c r="AC199" s="1296">
        <f>AB199+COUNTIF($AB$171:$AB198,AB199)</f>
        <v>15</v>
      </c>
      <c r="AD199" s="1296" t="str">
        <f>B199</f>
        <v>Cooking</v>
      </c>
      <c r="AE199" s="15"/>
      <c r="AF199" s="2827"/>
      <c r="AG199" s="2827"/>
      <c r="AH199" s="1066"/>
      <c r="AI199" s="788"/>
      <c r="AJ199" s="788"/>
      <c r="AK199" s="1195"/>
      <c r="AO199" s="535"/>
      <c r="BC199" s="1906"/>
      <c r="BF199" s="1957">
        <f t="shared" si="21"/>
        <v>0</v>
      </c>
      <c r="BG199" s="1957">
        <f t="shared" si="21"/>
        <v>0</v>
      </c>
      <c r="BH199" s="1957">
        <f t="shared" si="21"/>
        <v>0</v>
      </c>
      <c r="BI199" s="1957" t="str">
        <f>IF(BG199&lt;&gt;"",IFERROR(MATCH(BG199&amp;BH199,'Results from Trace'!$L$1:$L$21,0),""),"")</f>
        <v/>
      </c>
    </row>
    <row r="200" spans="1:61" ht="16.2" customHeight="1" x14ac:dyDescent="0.3">
      <c r="A200" s="1063" t="s">
        <v>1299</v>
      </c>
      <c r="B200" s="2794"/>
      <c r="C200" s="2794"/>
      <c r="D200" s="2819"/>
      <c r="E200" s="2820"/>
      <c r="F200" s="1132" t="str">
        <f>IFERROR(IF(ISBLANK(E199),"","Demand (" &amp; VLOOKUP($E199,PO_Enrgy_1_Table,MATCH($E$16,PO_Enrgy_1_Hdr,0),FALSE) &amp; ")"),"")</f>
        <v>Demand (kW)</v>
      </c>
      <c r="G200" s="1218" t="str">
        <f>INDEX(PO_baseline_table,30, 10)</f>
        <v/>
      </c>
      <c r="H200" s="1160"/>
      <c r="I200" s="1219" t="str">
        <f t="shared" si="19"/>
        <v/>
      </c>
      <c r="J200" s="2822"/>
      <c r="K200" s="2823"/>
      <c r="L200" s="2823"/>
      <c r="M200" s="2825"/>
      <c r="Q200" s="1296" t="str">
        <f t="shared" si="11"/>
        <v/>
      </c>
      <c r="R200" s="1296" t="str">
        <f t="shared" si="12"/>
        <v/>
      </c>
      <c r="S200" s="1296" t="str">
        <f t="shared" si="13"/>
        <v/>
      </c>
      <c r="T200" s="1296" t="str">
        <f t="shared" si="14"/>
        <v/>
      </c>
      <c r="V200" s="1305">
        <f t="shared" si="15"/>
        <v>0</v>
      </c>
      <c r="W200" s="1296">
        <f t="shared" si="16"/>
        <v>0</v>
      </c>
      <c r="X200" s="1296">
        <f t="shared" si="17"/>
        <v>0</v>
      </c>
      <c r="Y200" s="1296"/>
      <c r="Z200" s="1296"/>
      <c r="AA200" s="1296"/>
      <c r="AB200" s="1296"/>
      <c r="AC200" s="1296"/>
      <c r="AD200" s="1296"/>
      <c r="AE200" s="15"/>
      <c r="AF200" s="2827"/>
      <c r="AG200" s="2827"/>
      <c r="AH200" s="1066"/>
      <c r="AI200" s="788"/>
      <c r="AJ200" s="788"/>
      <c r="AK200" s="1196"/>
      <c r="AO200" s="535"/>
      <c r="BC200" s="1906"/>
      <c r="BF200" s="1957">
        <f t="shared" si="21"/>
        <v>0</v>
      </c>
      <c r="BG200" s="1957">
        <f t="shared" si="21"/>
        <v>0</v>
      </c>
      <c r="BH200" s="1957">
        <f t="shared" si="21"/>
        <v>0</v>
      </c>
      <c r="BI200" s="1957" t="str">
        <f>IF(BG200&lt;&gt;"",IFERROR(MATCH(BG200&amp;BH200,'Results from Trace'!$L$1:$L$21,0),""),"")</f>
        <v/>
      </c>
    </row>
    <row r="201" spans="1:61" ht="16.2" customHeight="1" x14ac:dyDescent="0.3">
      <c r="A201" s="1063" t="s">
        <v>1299</v>
      </c>
      <c r="B201" s="2794" t="s">
        <v>467</v>
      </c>
      <c r="C201" s="2794"/>
      <c r="D201" s="2819" t="str">
        <f>INDEX(PO_baseline_table,31, 3)</f>
        <v>x</v>
      </c>
      <c r="E201" s="2820" t="str">
        <f>INDEX(PO_baseline_table,31, 4)</f>
        <v>Electricity</v>
      </c>
      <c r="F201" s="1132" t="str">
        <f>IFERROR(IF(ISBLANK(E201),"","Consumption (" &amp; VLOOKUP($E201,PO_Enrgy_1_Table,MATCH($C$16,PO_Enrgy_1_Hdr,0),FALSE) &amp; ")"),"")</f>
        <v>Consumption (kWh)</v>
      </c>
      <c r="G201" s="1217" t="str">
        <f>INDEX(PO_baseline_table,31, 10)</f>
        <v/>
      </c>
      <c r="H201" s="1160"/>
      <c r="I201" s="1359" t="str">
        <f t="shared" si="19"/>
        <v/>
      </c>
      <c r="J201" s="2821" t="str">
        <f>IFERROR(IF($E$327-$H$327&lt;0,"",($G201-$H201)*VLOOKUP($E201,PO_Enrgy_1_Table,MATCH($K$16,PO_Enrgy_1_Hdr,0),FALSE)/($E$327-$H$327)),"")</f>
        <v/>
      </c>
      <c r="K201" s="2823" t="str">
        <f>IFERROR(IF($G$327-$J$327&lt;0,"",($G201*VLOOKUP($E201,PO_Enrgy_8_Table,MATCH($E$232,PO_Enrgy_8_Hdr,0),FALSE)-($H201*VLOOKUP($E201,PO_Enrgy_8_Table,MATCH($H$232,PO_Enrgy_8_Hdr,0),FALSE)))/($G$327-$J$327)),"")</f>
        <v/>
      </c>
      <c r="L201" s="2823"/>
      <c r="M201" s="2824" t="str">
        <f>IFERROR(H201*VLOOKUP($E201,PO_Enrgy_1_Table,MATCH($K$16,PO_Enrgy_1_Hdr,0))/$H$227,"")</f>
        <v/>
      </c>
      <c r="Q201" s="1296">
        <f t="shared" si="11"/>
        <v>9.999999999999998E-4</v>
      </c>
      <c r="R201" s="1296">
        <f t="shared" si="12"/>
        <v>3.1399999999999996E-3</v>
      </c>
      <c r="S201" s="1296" t="str">
        <f t="shared" si="13"/>
        <v/>
      </c>
      <c r="T201" s="1296" t="str">
        <f t="shared" si="14"/>
        <v/>
      </c>
      <c r="V201" s="1305">
        <f t="shared" si="15"/>
        <v>0</v>
      </c>
      <c r="W201" s="1296">
        <f t="shared" si="16"/>
        <v>0</v>
      </c>
      <c r="X201" s="1296">
        <f t="shared" si="17"/>
        <v>0</v>
      </c>
      <c r="Y201" s="1296" t="b">
        <f>IFERROR(IF(D201="x",IF(OR(G201/H201&gt;1.03,G201/H201&lt;0.97),TRUE,FALSE),FALSE),FALSE)</f>
        <v>0</v>
      </c>
      <c r="Z201" s="1296">
        <f>IFERROR(J201*100,)</f>
        <v>0</v>
      </c>
      <c r="AA201" s="1296"/>
      <c r="AB201" s="1296">
        <f>RANK(Z201,$Z$171:$Z$218,0)</f>
        <v>1</v>
      </c>
      <c r="AC201" s="1296">
        <f>AB201+COUNTIF($AB$171:$AB200,AB201)</f>
        <v>16</v>
      </c>
      <c r="AD201" s="1296" t="str">
        <f>B201</f>
        <v>Industrial Process</v>
      </c>
      <c r="AE201" s="15"/>
      <c r="AF201" s="2827"/>
      <c r="AG201" s="2827"/>
      <c r="AH201" s="1066"/>
      <c r="AI201" s="788"/>
      <c r="AJ201" s="788"/>
      <c r="AK201" s="1195"/>
      <c r="AO201" s="535"/>
      <c r="BC201" s="1906"/>
      <c r="BF201" s="1957">
        <f t="shared" si="21"/>
        <v>0</v>
      </c>
      <c r="BG201" s="1957">
        <f t="shared" si="21"/>
        <v>0</v>
      </c>
      <c r="BH201" s="1957">
        <f t="shared" si="21"/>
        <v>0</v>
      </c>
      <c r="BI201" s="1957" t="str">
        <f>IF(BG201&lt;&gt;"",IFERROR(MATCH(BG201&amp;BH201,'Results from Trace'!$L$1:$L$21,0),""),"")</f>
        <v/>
      </c>
    </row>
    <row r="202" spans="1:61" ht="16.2" customHeight="1" x14ac:dyDescent="0.3">
      <c r="A202" s="1063" t="s">
        <v>1299</v>
      </c>
      <c r="B202" s="2794"/>
      <c r="C202" s="2794"/>
      <c r="D202" s="2819"/>
      <c r="E202" s="2820"/>
      <c r="F202" s="1132" t="str">
        <f>IFERROR(IF(ISBLANK(E201),"","Demand (" &amp; VLOOKUP($E201,PO_Enrgy_1_Table,MATCH($E$16,PO_Enrgy_1_Hdr,0),FALSE) &amp; ")"),"")</f>
        <v>Demand (kW)</v>
      </c>
      <c r="G202" s="1218" t="str">
        <f>INDEX(PO_baseline_table,32, 10)</f>
        <v/>
      </c>
      <c r="H202" s="1160"/>
      <c r="I202" s="1219" t="str">
        <f t="shared" si="19"/>
        <v/>
      </c>
      <c r="J202" s="2822"/>
      <c r="K202" s="2823"/>
      <c r="L202" s="2823"/>
      <c r="M202" s="2825"/>
      <c r="Q202" s="1296" t="str">
        <f t="shared" si="11"/>
        <v/>
      </c>
      <c r="R202" s="1296" t="str">
        <f t="shared" si="12"/>
        <v/>
      </c>
      <c r="S202" s="1296" t="str">
        <f t="shared" si="13"/>
        <v/>
      </c>
      <c r="T202" s="1296" t="str">
        <f t="shared" si="14"/>
        <v/>
      </c>
      <c r="V202" s="1305">
        <f t="shared" si="15"/>
        <v>0</v>
      </c>
      <c r="W202" s="1296">
        <f t="shared" si="16"/>
        <v>0</v>
      </c>
      <c r="X202" s="1296">
        <f t="shared" si="17"/>
        <v>0</v>
      </c>
      <c r="Y202" s="1296"/>
      <c r="Z202" s="1296"/>
      <c r="AA202" s="1296"/>
      <c r="AB202" s="1296"/>
      <c r="AC202" s="1296"/>
      <c r="AD202" s="1296"/>
      <c r="AE202" s="15"/>
      <c r="AF202" s="2827"/>
      <c r="AG202" s="2827"/>
      <c r="AH202" s="1066"/>
      <c r="AI202" s="788"/>
      <c r="AJ202" s="788"/>
      <c r="AK202" s="1196"/>
      <c r="AO202" s="535"/>
      <c r="BC202" s="1906"/>
      <c r="BF202" s="1957">
        <f t="shared" si="21"/>
        <v>0</v>
      </c>
      <c r="BG202" s="1957">
        <f t="shared" si="21"/>
        <v>0</v>
      </c>
      <c r="BH202" s="1957">
        <f t="shared" si="21"/>
        <v>0</v>
      </c>
      <c r="BI202" s="1957" t="str">
        <f>IF(BG202&lt;&gt;"",IFERROR(MATCH(BG202&amp;BH202,'Results from Trace'!$L$1:$L$21,0),""),"")</f>
        <v/>
      </c>
    </row>
    <row r="203" spans="1:61" ht="16.2" customHeight="1" x14ac:dyDescent="0.3">
      <c r="A203" s="1063" t="s">
        <v>1299</v>
      </c>
      <c r="B203" s="2794" t="s">
        <v>466</v>
      </c>
      <c r="C203" s="2794"/>
      <c r="D203" s="2819" t="str">
        <f>INDEX(PO_baseline_table,33, 3)</f>
        <v>x</v>
      </c>
      <c r="E203" s="2820" t="str">
        <f>INDEX(PO_baseline_table,33, 4)</f>
        <v>Electricity</v>
      </c>
      <c r="F203" s="1132" t="str">
        <f>IFERROR(IF(ISBLANK(E203),"","Consumption (" &amp; VLOOKUP($E203,PO_Enrgy_1_Table,MATCH($C$16,PO_Enrgy_1_Hdr,0),FALSE) &amp; ")"),"")</f>
        <v>Consumption (kWh)</v>
      </c>
      <c r="G203" s="1217" t="str">
        <f>INDEX(PO_baseline_table,33, 10)</f>
        <v/>
      </c>
      <c r="H203" s="1160"/>
      <c r="I203" s="1359" t="str">
        <f t="shared" si="19"/>
        <v/>
      </c>
      <c r="J203" s="2821" t="str">
        <f>IFERROR(IF($E$327-$H$327&lt;0,"",($G203-$H203)*VLOOKUP($E203,PO_Enrgy_1_Table,MATCH($K$16,PO_Enrgy_1_Hdr,0),FALSE)/($E$327-$H$327)),"")</f>
        <v/>
      </c>
      <c r="K203" s="2823" t="str">
        <f>IFERROR(IF($G$327-$J$327&lt;0,"",($G203*VLOOKUP($E203,PO_Enrgy_8_Table,MATCH($E$232,PO_Enrgy_8_Hdr,0),FALSE)-($H203*VLOOKUP($E203,PO_Enrgy_8_Table,MATCH($H$232,PO_Enrgy_8_Hdr,0),FALSE)))/($G$327-$J$327)),"")</f>
        <v/>
      </c>
      <c r="L203" s="2823"/>
      <c r="M203" s="2824" t="str">
        <f>IFERROR(H203*VLOOKUP($E203,PO_Enrgy_1_Table,MATCH($K$16,PO_Enrgy_1_Hdr,0))/$H$227,"")</f>
        <v/>
      </c>
      <c r="Q203" s="1296">
        <f t="shared" si="11"/>
        <v>9.999999999999998E-4</v>
      </c>
      <c r="R203" s="1296">
        <f t="shared" si="12"/>
        <v>3.1399999999999996E-3</v>
      </c>
      <c r="S203" s="1296" t="str">
        <f t="shared" si="13"/>
        <v/>
      </c>
      <c r="T203" s="1296" t="str">
        <f t="shared" si="14"/>
        <v/>
      </c>
      <c r="V203" s="1305">
        <f t="shared" si="15"/>
        <v>0</v>
      </c>
      <c r="W203" s="1296">
        <f t="shared" si="16"/>
        <v>0</v>
      </c>
      <c r="X203" s="1296">
        <f t="shared" si="17"/>
        <v>0</v>
      </c>
      <c r="Y203" s="1296" t="b">
        <f>IFERROR(IF(D203="x",IF(OR(G203/H203&gt;1.03,G203/H203&lt;0.97),TRUE,FALSE),FALSE),FALSE)</f>
        <v>0</v>
      </c>
      <c r="Z203" s="1296">
        <f>IFERROR(J203*100,)</f>
        <v>0</v>
      </c>
      <c r="AA203" s="1296"/>
      <c r="AB203" s="1296">
        <f>RANK(Z203,$Z$171:$Z$218,0)</f>
        <v>1</v>
      </c>
      <c r="AC203" s="1296">
        <f>AB203+COUNTIF($AB$171:$AB202,AB203)</f>
        <v>17</v>
      </c>
      <c r="AD203" s="1296" t="str">
        <f>B203</f>
        <v>Elevators and escalators</v>
      </c>
      <c r="AE203" s="15"/>
      <c r="AF203" s="2827"/>
      <c r="AG203" s="2827"/>
      <c r="AH203" s="1066"/>
      <c r="AI203" s="788"/>
      <c r="AJ203" s="788"/>
      <c r="AK203" s="1195"/>
      <c r="AO203" s="535"/>
      <c r="BC203" s="1906"/>
      <c r="BF203" s="1957">
        <f t="shared" si="21"/>
        <v>0</v>
      </c>
      <c r="BG203" s="1957">
        <f t="shared" si="21"/>
        <v>0</v>
      </c>
      <c r="BH203" s="1957">
        <f t="shared" si="21"/>
        <v>0</v>
      </c>
      <c r="BI203" s="1957" t="str">
        <f>IF(BG203&lt;&gt;"",IFERROR(MATCH(BG203&amp;BH203,'Results from Trace'!$L$1:$L$21,0),""),"")</f>
        <v/>
      </c>
    </row>
    <row r="204" spans="1:61" ht="16.2" customHeight="1" x14ac:dyDescent="0.3">
      <c r="A204" s="1063" t="s">
        <v>1299</v>
      </c>
      <c r="B204" s="2794"/>
      <c r="C204" s="2794"/>
      <c r="D204" s="2819"/>
      <c r="E204" s="2820"/>
      <c r="F204" s="1132" t="str">
        <f>IFERROR(IF(ISBLANK(E203),"","Demand (" &amp; VLOOKUP($E203,PO_Enrgy_1_Table,MATCH($E$16,PO_Enrgy_1_Hdr,0),FALSE) &amp; ")"),"")</f>
        <v>Demand (kW)</v>
      </c>
      <c r="G204" s="1218" t="str">
        <f>INDEX(PO_baseline_table,34, 10)</f>
        <v/>
      </c>
      <c r="H204" s="1160"/>
      <c r="I204" s="1219" t="str">
        <f t="shared" si="19"/>
        <v/>
      </c>
      <c r="J204" s="2822"/>
      <c r="K204" s="2823"/>
      <c r="L204" s="2823"/>
      <c r="M204" s="2825"/>
      <c r="Q204" s="1296" t="str">
        <f t="shared" si="11"/>
        <v/>
      </c>
      <c r="R204" s="1296" t="str">
        <f t="shared" si="12"/>
        <v/>
      </c>
      <c r="S204" s="1296" t="str">
        <f t="shared" si="13"/>
        <v/>
      </c>
      <c r="T204" s="1296" t="str">
        <f t="shared" si="14"/>
        <v/>
      </c>
      <c r="V204" s="1305">
        <f t="shared" si="15"/>
        <v>0</v>
      </c>
      <c r="W204" s="1296">
        <f t="shared" si="16"/>
        <v>0</v>
      </c>
      <c r="X204" s="1296">
        <f t="shared" si="17"/>
        <v>0</v>
      </c>
      <c r="Y204" s="1296"/>
      <c r="Z204" s="1296"/>
      <c r="AA204" s="1296"/>
      <c r="AB204" s="1296"/>
      <c r="AC204" s="1296"/>
      <c r="AD204" s="1296"/>
      <c r="AE204" s="15"/>
      <c r="AF204" s="2827"/>
      <c r="AG204" s="2827"/>
      <c r="AH204" s="1066"/>
      <c r="AI204" s="788"/>
      <c r="AJ204" s="788"/>
      <c r="AK204" s="1196"/>
      <c r="AO204" s="535"/>
      <c r="BC204" s="1906"/>
      <c r="BF204" s="1957">
        <f t="shared" ref="BF204:BH219" si="22">BF130</f>
        <v>0</v>
      </c>
      <c r="BG204" s="1957">
        <f t="shared" si="22"/>
        <v>0</v>
      </c>
      <c r="BH204" s="1957">
        <f t="shared" si="22"/>
        <v>0</v>
      </c>
      <c r="BI204" s="1957" t="str">
        <f>IF(BG204&lt;&gt;"",IFERROR(MATCH(BG204&amp;BH204,'Results from Trace'!$L$1:$L$21,0),""),"")</f>
        <v/>
      </c>
    </row>
    <row r="205" spans="1:61" ht="16.2" customHeight="1" x14ac:dyDescent="0.3">
      <c r="A205" s="1063" t="s">
        <v>1299</v>
      </c>
      <c r="B205" s="2794" t="s">
        <v>1090</v>
      </c>
      <c r="C205" s="2794"/>
      <c r="D205" s="2819">
        <f>INDEX(PO_baseline_table,35, 3)</f>
        <v>0</v>
      </c>
      <c r="E205" s="2820" t="str">
        <f>INDEX(PO_baseline_table,35, 4)</f>
        <v>Electricity</v>
      </c>
      <c r="F205" s="1132" t="str">
        <f>IFERROR(IF(ISBLANK(E205),"","Consumption (" &amp; VLOOKUP($E205,PO_Enrgy_1_Table,MATCH($C$16,PO_Enrgy_1_Hdr,0),FALSE) &amp; ")"),"")</f>
        <v>Consumption (kWh)</v>
      </c>
      <c r="G205" s="1217" t="str">
        <f>INDEX(PO_baseline_table,35, 10)</f>
        <v/>
      </c>
      <c r="H205" s="1160"/>
      <c r="I205" s="1359" t="str">
        <f t="shared" si="19"/>
        <v/>
      </c>
      <c r="J205" s="2821" t="str">
        <f>IFERROR(IF($E$327-$H$327&lt;0,"",($G205-$H205)*VLOOKUP($E205,PO_Enrgy_1_Table,MATCH($K$16,PO_Enrgy_1_Hdr,0),FALSE)/($E$327-$H$327)),"")</f>
        <v/>
      </c>
      <c r="K205" s="2823" t="str">
        <f>IFERROR(IF($G$327-$J$327&lt;0,"",($G205*VLOOKUP($E205,PO_Enrgy_8_Table,MATCH($E$232,PO_Enrgy_8_Hdr,0),FALSE)-($H205*VLOOKUP($E205,PO_Enrgy_8_Table,MATCH($H$232,PO_Enrgy_8_Hdr,0),FALSE)))/($G$327-$J$327)),"")</f>
        <v/>
      </c>
      <c r="L205" s="2823"/>
      <c r="M205" s="2824" t="str">
        <f>IFERROR(H205*VLOOKUP($E205,PO_Enrgy_1_Table,MATCH($K$16,PO_Enrgy_1_Hdr,0))/$H$227,"")</f>
        <v/>
      </c>
      <c r="Q205" s="1296">
        <f t="shared" si="11"/>
        <v>9.999999999999998E-4</v>
      </c>
      <c r="R205" s="1296">
        <f t="shared" si="12"/>
        <v>3.1399999999999996E-3</v>
      </c>
      <c r="S205" s="1296" t="str">
        <f t="shared" si="13"/>
        <v/>
      </c>
      <c r="T205" s="1296" t="str">
        <f t="shared" si="14"/>
        <v/>
      </c>
      <c r="V205" s="1305">
        <f t="shared" si="15"/>
        <v>0</v>
      </c>
      <c r="W205" s="1296">
        <f t="shared" si="16"/>
        <v>0</v>
      </c>
      <c r="X205" s="1296">
        <f t="shared" si="17"/>
        <v>0</v>
      </c>
      <c r="Y205" s="1296" t="b">
        <f>IFERROR(IF(D205="x",IF(OR(G205/H205&gt;1.03,G205/H205&lt;0.97),TRUE,FALSE),FALSE),FALSE)</f>
        <v>0</v>
      </c>
      <c r="Z205" s="1296">
        <f>IFERROR(J205*100,)</f>
        <v>0</v>
      </c>
      <c r="AA205" s="1296"/>
      <c r="AB205" s="1296">
        <f>RANK(Z205,$Z$171:$Z$218,0)</f>
        <v>1</v>
      </c>
      <c r="AC205" s="1296">
        <f>AB205+COUNTIF($AB$171:$AB204,AB205)</f>
        <v>18</v>
      </c>
      <c r="AD205" s="1296" t="str">
        <f>B205</f>
        <v>Heat Pump Supplementary</v>
      </c>
      <c r="AE205" s="15"/>
      <c r="AF205" s="2827"/>
      <c r="AG205" s="2827"/>
      <c r="AH205" s="1066"/>
      <c r="AI205" s="788"/>
      <c r="AJ205" s="788"/>
      <c r="AK205" s="1195"/>
      <c r="AO205" s="535"/>
      <c r="BC205" s="1906"/>
      <c r="BF205" s="1957" t="str">
        <f t="shared" si="22"/>
        <v>U</v>
      </c>
      <c r="BG205" s="1957">
        <f t="shared" si="22"/>
        <v>0</v>
      </c>
      <c r="BH205" s="1957">
        <f t="shared" si="22"/>
        <v>0</v>
      </c>
      <c r="BI205" s="1957" t="str">
        <f>IF(BG205&lt;&gt;"",IFERROR(MATCH(BG205&amp;BH205,'Results from Trace'!$L$1:$L$21,0),""),"")</f>
        <v/>
      </c>
    </row>
    <row r="206" spans="1:61" ht="16.2" customHeight="1" x14ac:dyDescent="0.3">
      <c r="A206" s="1063" t="s">
        <v>1299</v>
      </c>
      <c r="B206" s="2794"/>
      <c r="C206" s="2794"/>
      <c r="D206" s="2819"/>
      <c r="E206" s="2820"/>
      <c r="F206" s="1132" t="str">
        <f>IFERROR(IF(ISBLANK(E205),"","Demand (" &amp; VLOOKUP($E205,PO_Enrgy_1_Table,MATCH($E$16,PO_Enrgy_1_Hdr,0),FALSE) &amp; ")"),"")</f>
        <v>Demand (kW)</v>
      </c>
      <c r="G206" s="1218" t="str">
        <f>INDEX(PO_baseline_table,36, 10)</f>
        <v/>
      </c>
      <c r="H206" s="1160"/>
      <c r="I206" s="1219" t="str">
        <f t="shared" si="19"/>
        <v/>
      </c>
      <c r="J206" s="2822"/>
      <c r="K206" s="2823"/>
      <c r="L206" s="2823"/>
      <c r="M206" s="2825"/>
      <c r="Q206" s="1296" t="str">
        <f t="shared" si="11"/>
        <v/>
      </c>
      <c r="R206" s="1296" t="str">
        <f t="shared" si="12"/>
        <v/>
      </c>
      <c r="S206" s="1296" t="str">
        <f t="shared" si="13"/>
        <v/>
      </c>
      <c r="T206" s="1296" t="str">
        <f t="shared" si="14"/>
        <v/>
      </c>
      <c r="V206" s="1305">
        <f t="shared" si="15"/>
        <v>0</v>
      </c>
      <c r="W206" s="1296">
        <f t="shared" si="16"/>
        <v>0</v>
      </c>
      <c r="X206" s="1296">
        <f t="shared" si="17"/>
        <v>0</v>
      </c>
      <c r="Y206" s="1296"/>
      <c r="Z206" s="1296"/>
      <c r="AA206" s="1296"/>
      <c r="AB206" s="1296"/>
      <c r="AC206" s="1296"/>
      <c r="AD206" s="1296"/>
      <c r="AE206" s="15"/>
      <c r="AF206" s="2827"/>
      <c r="AG206" s="2827"/>
      <c r="AH206" s="1066"/>
      <c r="AI206" s="788"/>
      <c r="AJ206" s="788"/>
      <c r="AK206" s="1196"/>
      <c r="AO206" s="535"/>
      <c r="BC206" s="1906"/>
      <c r="BF206" s="1957" t="str">
        <f t="shared" si="22"/>
        <v>AH</v>
      </c>
      <c r="BG206" s="1957">
        <f t="shared" si="22"/>
        <v>0</v>
      </c>
      <c r="BH206" s="1957">
        <f t="shared" si="22"/>
        <v>0</v>
      </c>
      <c r="BI206" s="1957" t="str">
        <f>IF(BG206&lt;&gt;"",IFERROR(MATCH(BG206&amp;BH206,'Results from Trace'!$L$1:$L$21,0),""),"")</f>
        <v/>
      </c>
    </row>
    <row r="207" spans="1:61" ht="16.2" customHeight="1" x14ac:dyDescent="0.3">
      <c r="A207" s="1063" t="s">
        <v>1299</v>
      </c>
      <c r="B207" s="2820" t="str">
        <f>INDEX(PO_base_Add_EndUses,1, 1)</f>
        <v>Space Heating</v>
      </c>
      <c r="C207" s="2828"/>
      <c r="D207" s="2819">
        <f>INDEX(PO_baseline_table,37, 3)</f>
        <v>0</v>
      </c>
      <c r="E207" s="2820" t="str">
        <f>INDEX(PO_baseline_table,37, 4)</f>
        <v>Electricity</v>
      </c>
      <c r="F207" s="1132" t="str">
        <f>IFERROR(IF(ISBLANK(E207),"","Consumption (" &amp; VLOOKUP($E207,PO_Enrgy_1_Table,MATCH($C$16,PO_Enrgy_1_Hdr,0),FALSE) &amp; ")"),"")</f>
        <v>Consumption (kWh)</v>
      </c>
      <c r="G207" s="1217" t="str">
        <f>INDEX(PO_baseline_table,37, 10)</f>
        <v/>
      </c>
      <c r="H207" s="1160"/>
      <c r="I207" s="1359" t="str">
        <f t="shared" si="19"/>
        <v/>
      </c>
      <c r="J207" s="2821" t="str">
        <f>IFERROR(IF($E$327-$H$327&lt;0,"",($G207-$H207)*VLOOKUP($E207,PO_Enrgy_1_Table,MATCH($K$16,PO_Enrgy_1_Hdr,0),FALSE)/($E$327-$H$327)),"")</f>
        <v/>
      </c>
      <c r="K207" s="2823" t="str">
        <f>IFERROR(IF($G$327-$J$327&lt;0,"",($G207*VLOOKUP($E207,PO_Enrgy_8_Table,MATCH($E$232,PO_Enrgy_8_Hdr,0),FALSE)-($H207*VLOOKUP($E207,PO_Enrgy_8_Table,MATCH($H$232,PO_Enrgy_8_Hdr,0),FALSE)))/($G$327-$J$327)),"")</f>
        <v/>
      </c>
      <c r="L207" s="2823"/>
      <c r="M207" s="2824" t="str">
        <f>IFERROR(H207*VLOOKUP($E207,PO_Enrgy_1_Table,MATCH($K$16,PO_Enrgy_1_Hdr,0))/$H$227,"")</f>
        <v/>
      </c>
      <c r="Q207" s="1296">
        <f t="shared" si="11"/>
        <v>9.999999999999998E-4</v>
      </c>
      <c r="R207" s="1296">
        <f t="shared" si="12"/>
        <v>3.1399999999999996E-3</v>
      </c>
      <c r="S207" s="1296" t="str">
        <f t="shared" si="13"/>
        <v/>
      </c>
      <c r="T207" s="1296" t="str">
        <f t="shared" si="14"/>
        <v/>
      </c>
      <c r="V207" s="1305">
        <f t="shared" si="15"/>
        <v>0</v>
      </c>
      <c r="W207" s="1296">
        <f t="shared" si="16"/>
        <v>0</v>
      </c>
      <c r="X207" s="1296">
        <f t="shared" si="17"/>
        <v>0</v>
      </c>
      <c r="Y207" s="1296" t="b">
        <f>IFERROR(IF(D207="x",IF(OR(G207/H207&gt;1.03,G207/H207&lt;0.97),TRUE,FALSE),FALSE),FALSE)</f>
        <v>0</v>
      </c>
      <c r="Z207" s="1296">
        <f>IFERROR(J207*100,)</f>
        <v>0</v>
      </c>
      <c r="AA207" s="1296"/>
      <c r="AB207" s="1296">
        <f>RANK(Z207,$Z$171:$Z$218,0)</f>
        <v>1</v>
      </c>
      <c r="AC207" s="1296">
        <f>AB207+COUNTIF($AB$171:$AB206,AB207)</f>
        <v>19</v>
      </c>
      <c r="AD207" s="1296" t="str">
        <f>B207</f>
        <v>Space Heating</v>
      </c>
      <c r="AE207" s="15"/>
      <c r="AF207" s="2827"/>
      <c r="AG207" s="2827"/>
      <c r="AH207" s="1066"/>
      <c r="AI207" s="788"/>
      <c r="AJ207" s="788"/>
      <c r="AK207" s="1195"/>
      <c r="AO207" s="535"/>
      <c r="BC207" s="1906"/>
      <c r="BF207" s="1957" t="str">
        <f t="shared" si="22"/>
        <v>O</v>
      </c>
      <c r="BG207" s="1957">
        <f t="shared" si="22"/>
        <v>0</v>
      </c>
      <c r="BH207" s="1957">
        <f t="shared" si="22"/>
        <v>0</v>
      </c>
      <c r="BI207" s="1957" t="str">
        <f>IF(BG207&lt;&gt;"",IFERROR(MATCH(BG207&amp;BH207,'Results from Trace'!$L$1:$L$21,0),""),"")</f>
        <v/>
      </c>
    </row>
    <row r="208" spans="1:61" ht="16.2" customHeight="1" x14ac:dyDescent="0.3">
      <c r="A208" s="1063" t="s">
        <v>1299</v>
      </c>
      <c r="B208" s="2820"/>
      <c r="C208" s="2828"/>
      <c r="D208" s="2819"/>
      <c r="E208" s="2820"/>
      <c r="F208" s="1132" t="str">
        <f>IFERROR(IF(ISBLANK(E207),"","Demand (" &amp; VLOOKUP($E207,PO_Enrgy_1_Table,MATCH($E$16,PO_Enrgy_1_Hdr,0),FALSE) &amp; ")"),"")</f>
        <v>Demand (kW)</v>
      </c>
      <c r="G208" s="1218" t="str">
        <f>INDEX(PO_baseline_table,38, 10)</f>
        <v/>
      </c>
      <c r="H208" s="1160"/>
      <c r="I208" s="1219" t="str">
        <f t="shared" si="19"/>
        <v/>
      </c>
      <c r="J208" s="2822"/>
      <c r="K208" s="2823"/>
      <c r="L208" s="2823"/>
      <c r="M208" s="2825"/>
      <c r="Q208" s="1296" t="str">
        <f t="shared" si="11"/>
        <v/>
      </c>
      <c r="R208" s="1296" t="str">
        <f t="shared" si="12"/>
        <v/>
      </c>
      <c r="S208" s="1296" t="str">
        <f t="shared" si="13"/>
        <v/>
      </c>
      <c r="T208" s="1296" t="str">
        <f t="shared" si="14"/>
        <v/>
      </c>
      <c r="V208" s="1305">
        <f t="shared" si="15"/>
        <v>0</v>
      </c>
      <c r="W208" s="1296">
        <f t="shared" si="16"/>
        <v>0</v>
      </c>
      <c r="X208" s="1296">
        <f t="shared" si="17"/>
        <v>0</v>
      </c>
      <c r="Y208" s="1296"/>
      <c r="Z208" s="1296"/>
      <c r="AA208" s="1296"/>
      <c r="AB208" s="1296"/>
      <c r="AC208" s="1296"/>
      <c r="AD208" s="1296"/>
      <c r="AE208" s="15"/>
      <c r="AF208" s="2827"/>
      <c r="AG208" s="2827"/>
      <c r="AH208" s="1066"/>
      <c r="AI208" s="788"/>
      <c r="AJ208" s="788"/>
      <c r="AK208" s="1196"/>
      <c r="AO208" s="535"/>
      <c r="BC208" s="1906"/>
      <c r="BF208" s="1957" t="str">
        <f t="shared" si="22"/>
        <v>AB</v>
      </c>
      <c r="BG208" s="1957">
        <f t="shared" si="22"/>
        <v>0</v>
      </c>
      <c r="BH208" s="1957">
        <f t="shared" si="22"/>
        <v>0</v>
      </c>
      <c r="BI208" s="1957" t="str">
        <f>IF(BG208&lt;&gt;"",IFERROR(MATCH(BG208&amp;BH208,'Results from Trace'!$L$1:$L$21,0),""),"")</f>
        <v/>
      </c>
    </row>
    <row r="209" spans="1:61" ht="16.2" customHeight="1" x14ac:dyDescent="0.3">
      <c r="A209" s="1063" t="s">
        <v>1299</v>
      </c>
      <c r="B209" s="2820" t="str">
        <f>INDEX(PO_base_Add_EndUses,3, 1)</f>
        <v>Misc Equipment (Gas)</v>
      </c>
      <c r="C209" s="2828"/>
      <c r="D209" s="2819">
        <f>INDEX(PO_baseline_table,39, 3)</f>
        <v>0</v>
      </c>
      <c r="E209" s="2820" t="str">
        <f>INDEX(PO_baseline_table,39, 4)</f>
        <v>Natural Gas</v>
      </c>
      <c r="F209" s="1132" t="str">
        <f>IFERROR(IF(ISBLANK(E209),"","Consumption (" &amp; VLOOKUP($E209,PO_Enrgy_1_Table,MATCH($C$16,PO_Enrgy_1_Hdr,0),FALSE) &amp; ")"),"")</f>
        <v>Consumption (therm)</v>
      </c>
      <c r="G209" s="1217" t="str">
        <f>INDEX(PO_baseline_table,39, 10)</f>
        <v/>
      </c>
      <c r="H209" s="1160"/>
      <c r="I209" s="1359" t="str">
        <f t="shared" si="19"/>
        <v/>
      </c>
      <c r="J209" s="2821" t="str">
        <f>IFERROR(IF($E$327-$H$327&lt;0,"",($G209-$H209)*VLOOKUP($E209,PO_Enrgy_1_Table,MATCH($K$16,PO_Enrgy_1_Hdr,0),FALSE)/($E$327-$H$327)),"")</f>
        <v/>
      </c>
      <c r="K209" s="2823" t="str">
        <f>IFERROR(IF($G$327-$J$327&lt;0,"",($G209*VLOOKUP($E209,PO_Enrgy_8_Table,MATCH($E$232,PO_Enrgy_8_Hdr,0),FALSE)-($H209*VLOOKUP($E209,PO_Enrgy_8_Table,MATCH($H$232,PO_Enrgy_8_Hdr,0),FALSE)))/($G$327-$J$327)),"")</f>
        <v/>
      </c>
      <c r="L209" s="2823"/>
      <c r="M209" s="2824" t="str">
        <f>IFERROR(H209*VLOOKUP($E209,PO_Enrgy_1_Table,MATCH($K$16,PO_Enrgy_1_Hdr,0))/$H$227,"")</f>
        <v/>
      </c>
      <c r="Q209" s="1296">
        <f t="shared" si="11"/>
        <v>2.9308323563892142E-2</v>
      </c>
      <c r="R209" s="1296">
        <f t="shared" si="12"/>
        <v>3.0773739742086751E-2</v>
      </c>
      <c r="S209" s="1296" t="str">
        <f t="shared" si="13"/>
        <v/>
      </c>
      <c r="T209" s="1296" t="str">
        <f t="shared" si="14"/>
        <v/>
      </c>
      <c r="V209" s="1305">
        <f t="shared" si="15"/>
        <v>0</v>
      </c>
      <c r="W209" s="1296">
        <f t="shared" si="16"/>
        <v>0</v>
      </c>
      <c r="X209" s="1296">
        <f t="shared" si="17"/>
        <v>0</v>
      </c>
      <c r="Y209" s="1296" t="b">
        <f>IFERROR(IF(D209="x",IF(OR(G209/H209&gt;1.03,G209/H209&lt;0.97),TRUE,FALSE),FALSE),FALSE)</f>
        <v>0</v>
      </c>
      <c r="Z209" s="1296">
        <f>IFERROR(J209*100,)</f>
        <v>0</v>
      </c>
      <c r="AA209" s="1296"/>
      <c r="AB209" s="1296">
        <f>RANK(Z209,$Z$171:$Z$218,0)</f>
        <v>1</v>
      </c>
      <c r="AC209" s="1296">
        <f>AB209+COUNTIF($AB$171:$AB208,AB209)</f>
        <v>20</v>
      </c>
      <c r="AD209" s="1296" t="str">
        <f>B209</f>
        <v>Misc Equipment (Gas)</v>
      </c>
      <c r="AE209" s="15"/>
      <c r="AF209" s="2827"/>
      <c r="AG209" s="2827"/>
      <c r="AH209" s="1066"/>
      <c r="AI209" s="788"/>
      <c r="AJ209" s="788"/>
      <c r="AK209" s="1195"/>
      <c r="AO209" s="535"/>
      <c r="BC209" s="1906"/>
      <c r="BF209" s="1957" t="str">
        <f t="shared" si="22"/>
        <v>AZ</v>
      </c>
      <c r="BG209" s="1957">
        <f t="shared" si="22"/>
        <v>0</v>
      </c>
      <c r="BH209" s="1957">
        <f t="shared" si="22"/>
        <v>0</v>
      </c>
      <c r="BI209" s="1957" t="str">
        <f>IF(BG209&lt;&gt;"",IFERROR(MATCH(BG209&amp;BH209,'Results from Trace'!$L$1:$L$21,0),""),"")</f>
        <v/>
      </c>
    </row>
    <row r="210" spans="1:61" ht="15.75" customHeight="1" x14ac:dyDescent="0.3">
      <c r="A210" s="1063" t="s">
        <v>1299</v>
      </c>
      <c r="B210" s="2820"/>
      <c r="C210" s="2828"/>
      <c r="D210" s="2819"/>
      <c r="E210" s="2820"/>
      <c r="F210" s="1132" t="str">
        <f>IFERROR(IF(ISBLANK(E209),"","Demand (" &amp; VLOOKUP($E209,PO_Enrgy_1_Table,MATCH($E$16,PO_Enrgy_1_Hdr,0),FALSE) &amp; ")"),"")</f>
        <v>Demand (Btuh x 10^6)</v>
      </c>
      <c r="G210" s="1218" t="str">
        <f>INDEX(PO_baseline_table,40, 10)</f>
        <v/>
      </c>
      <c r="H210" s="1160"/>
      <c r="I210" s="1219" t="str">
        <f t="shared" si="19"/>
        <v/>
      </c>
      <c r="J210" s="2822"/>
      <c r="K210" s="2823"/>
      <c r="L210" s="2823"/>
      <c r="M210" s="2825"/>
      <c r="Q210" s="1296" t="str">
        <f t="shared" si="11"/>
        <v/>
      </c>
      <c r="R210" s="1296" t="str">
        <f t="shared" si="12"/>
        <v/>
      </c>
      <c r="S210" s="1296" t="str">
        <f t="shared" si="13"/>
        <v/>
      </c>
      <c r="T210" s="1296" t="str">
        <f t="shared" si="14"/>
        <v/>
      </c>
      <c r="V210" s="1305">
        <f t="shared" si="15"/>
        <v>0</v>
      </c>
      <c r="W210" s="1296">
        <f t="shared" si="16"/>
        <v>0</v>
      </c>
      <c r="X210" s="1296">
        <f t="shared" si="17"/>
        <v>0</v>
      </c>
      <c r="Y210" s="1296"/>
      <c r="Z210" s="1296"/>
      <c r="AA210" s="1296"/>
      <c r="AB210" s="1296"/>
      <c r="AC210" s="1296"/>
      <c r="AD210" s="1296"/>
      <c r="AE210" s="15"/>
      <c r="AF210" s="2827"/>
      <c r="AG210" s="2827"/>
      <c r="AH210" s="1066"/>
      <c r="AI210" s="788"/>
      <c r="AJ210" s="788"/>
      <c r="AK210" s="1196"/>
      <c r="AO210" s="535"/>
      <c r="BC210" s="1906"/>
      <c r="BF210" s="1957">
        <f t="shared" si="22"/>
        <v>0</v>
      </c>
      <c r="BG210" s="1957">
        <f t="shared" si="22"/>
        <v>0</v>
      </c>
      <c r="BH210" s="1957">
        <f t="shared" si="22"/>
        <v>0</v>
      </c>
      <c r="BI210" s="1957" t="str">
        <f>IF(BG210&lt;&gt;"",IFERROR(MATCH(BG210&amp;BH210,'Results from Trace'!$L$1:$L$21,0),""),"")</f>
        <v/>
      </c>
    </row>
    <row r="211" spans="1:61" ht="16.2" customHeight="1" x14ac:dyDescent="0.3">
      <c r="A211" s="1063" t="s">
        <v>1299</v>
      </c>
      <c r="B211" s="2820" t="str">
        <f>INDEX(PO_base_Add_EndUses,5, 1)</f>
        <v>Auxilary (Gas)</v>
      </c>
      <c r="C211" s="2828"/>
      <c r="D211" s="2819">
        <f>INDEX(PO_baseline_table,41, 3)</f>
        <v>0</v>
      </c>
      <c r="E211" s="2820" t="str">
        <f>INDEX(PO_baseline_table,41, 4)</f>
        <v>Natural Gas</v>
      </c>
      <c r="F211" s="1132" t="str">
        <f>IFERROR(IF(ISBLANK(E211),"","Consumption (" &amp; VLOOKUP($E211,PO_Enrgy_1_Table,MATCH($C$16,PO_Enrgy_1_Hdr,0),FALSE) &amp; ")"),"")</f>
        <v>Consumption (therm)</v>
      </c>
      <c r="G211" s="1217" t="str">
        <f>INDEX(PO_baseline_table,41, 10)</f>
        <v/>
      </c>
      <c r="H211" s="1160"/>
      <c r="I211" s="1359" t="str">
        <f t="shared" si="19"/>
        <v/>
      </c>
      <c r="J211" s="2821" t="str">
        <f>IFERROR(IF($E$327-$H$327&lt;0,"",($G211-$H211)*VLOOKUP($E211,PO_Enrgy_1_Table,MATCH($K$16,PO_Enrgy_1_Hdr,0),FALSE)/($E$327-$H$327)),"")</f>
        <v/>
      </c>
      <c r="K211" s="2823" t="str">
        <f>IFERROR(IF($G$327-$J$327&lt;0,"",($G211*VLOOKUP($E211,PO_Enrgy_8_Table,MATCH($E$232,PO_Enrgy_8_Hdr,0),FALSE)-($H211*VLOOKUP($E211,PO_Enrgy_8_Table,MATCH($H$232,PO_Enrgy_8_Hdr,0),FALSE)))/($G$327-$J$327)),"")</f>
        <v/>
      </c>
      <c r="L211" s="2823"/>
      <c r="M211" s="2824" t="str">
        <f>IFERROR(H211*VLOOKUP($E211,PO_Enrgy_1_Table,MATCH($K$16,PO_Enrgy_1_Hdr,0))/$H$227,"")</f>
        <v/>
      </c>
      <c r="Q211" s="1296">
        <f t="shared" si="11"/>
        <v>2.9308323563892142E-2</v>
      </c>
      <c r="R211" s="1296">
        <f t="shared" si="12"/>
        <v>3.0773739742086751E-2</v>
      </c>
      <c r="S211" s="1296" t="str">
        <f t="shared" si="13"/>
        <v/>
      </c>
      <c r="T211" s="1296" t="str">
        <f t="shared" si="14"/>
        <v/>
      </c>
      <c r="V211" s="1305">
        <f t="shared" si="15"/>
        <v>0</v>
      </c>
      <c r="W211" s="1296">
        <f t="shared" si="16"/>
        <v>0</v>
      </c>
      <c r="X211" s="1296">
        <f t="shared" si="17"/>
        <v>0</v>
      </c>
      <c r="Y211" s="1296" t="b">
        <f>IFERROR(IF(D211="x",IF(OR(G211/H211&gt;1.03,G211/H211&lt;0.97),TRUE,FALSE),FALSE),FALSE)</f>
        <v>0</v>
      </c>
      <c r="Z211" s="1296">
        <f>IFERROR(J211*100,)</f>
        <v>0</v>
      </c>
      <c r="AA211" s="1296"/>
      <c r="AB211" s="1296">
        <f>RANK(Z211,$Z$171:$Z$218,0)</f>
        <v>1</v>
      </c>
      <c r="AC211" s="1296">
        <f>AB211+COUNTIF($AB$171:$AB210,AB211)</f>
        <v>21</v>
      </c>
      <c r="AD211" s="1296" t="str">
        <f>B211</f>
        <v>Auxilary (Gas)</v>
      </c>
      <c r="AE211" s="15"/>
      <c r="AF211" s="2827"/>
      <c r="AG211" s="2827"/>
      <c r="AH211" s="1066"/>
      <c r="AI211" s="788"/>
      <c r="AJ211" s="788"/>
      <c r="AK211" s="1195"/>
      <c r="AO211" s="535"/>
      <c r="BC211" s="1906"/>
      <c r="BF211" s="1957" t="str">
        <f t="shared" si="22"/>
        <v>BD</v>
      </c>
      <c r="BG211" s="1957">
        <f t="shared" si="22"/>
        <v>0</v>
      </c>
      <c r="BH211" s="1957">
        <f t="shared" si="22"/>
        <v>0</v>
      </c>
      <c r="BI211" s="1957" t="str">
        <f>IF(BG211&lt;&gt;"",IFERROR(MATCH(BG211&amp;BH211,'Results from Trace'!$L$1:$L$21,0),""),"")</f>
        <v/>
      </c>
    </row>
    <row r="212" spans="1:61" ht="16.5" customHeight="1" x14ac:dyDescent="0.3">
      <c r="A212" s="1063" t="s">
        <v>1299</v>
      </c>
      <c r="B212" s="2820"/>
      <c r="C212" s="2828"/>
      <c r="D212" s="2819"/>
      <c r="E212" s="2820"/>
      <c r="F212" s="1132" t="str">
        <f>IFERROR(IF(ISBLANK(E211),"","Demand (" &amp; VLOOKUP($E211,PO_Enrgy_1_Table,MATCH($E$16,PO_Enrgy_1_Hdr,0),FALSE) &amp; ")"),"")</f>
        <v>Demand (Btuh x 10^6)</v>
      </c>
      <c r="G212" s="1218" t="str">
        <f>INDEX(PO_baseline_table,42, 10)</f>
        <v/>
      </c>
      <c r="H212" s="1160"/>
      <c r="I212" s="1219" t="str">
        <f t="shared" si="19"/>
        <v/>
      </c>
      <c r="J212" s="2822"/>
      <c r="K212" s="2823"/>
      <c r="L212" s="2823"/>
      <c r="M212" s="2825"/>
      <c r="Q212" s="1296" t="str">
        <f t="shared" si="11"/>
        <v/>
      </c>
      <c r="R212" s="1296" t="str">
        <f t="shared" si="12"/>
        <v/>
      </c>
      <c r="S212" s="1296" t="str">
        <f t="shared" si="13"/>
        <v/>
      </c>
      <c r="T212" s="1296" t="str">
        <f t="shared" si="14"/>
        <v/>
      </c>
      <c r="V212" s="1305">
        <f t="shared" si="15"/>
        <v>0</v>
      </c>
      <c r="W212" s="1296">
        <f t="shared" si="16"/>
        <v>0</v>
      </c>
      <c r="X212" s="1296">
        <f t="shared" si="17"/>
        <v>0</v>
      </c>
      <c r="Y212" s="1296"/>
      <c r="Z212" s="1296"/>
      <c r="AA212" s="1296"/>
      <c r="AB212" s="1296"/>
      <c r="AC212" s="1296"/>
      <c r="AD212" s="1296"/>
      <c r="AE212" s="15"/>
      <c r="AF212" s="2827"/>
      <c r="AG212" s="2827"/>
      <c r="AH212" s="1066"/>
      <c r="AI212" s="788"/>
      <c r="AJ212" s="788"/>
      <c r="AK212" s="1196"/>
      <c r="AO212" s="535"/>
      <c r="BC212" s="1906"/>
      <c r="BF212" s="1957">
        <f t="shared" si="22"/>
        <v>0</v>
      </c>
      <c r="BG212" s="1957">
        <f t="shared" si="22"/>
        <v>0</v>
      </c>
      <c r="BH212" s="1957">
        <f t="shared" si="22"/>
        <v>0</v>
      </c>
      <c r="BI212" s="1957" t="str">
        <f>IF(BG212&lt;&gt;"",IFERROR(MATCH(BG212&amp;BH212,'Results from Trace'!$L$1:$L$21,0),""),"")</f>
        <v/>
      </c>
    </row>
    <row r="213" spans="1:61" ht="16.2" customHeight="1" x14ac:dyDescent="0.3">
      <c r="A213" s="1063" t="s">
        <v>1299</v>
      </c>
      <c r="B213" s="2820" t="str">
        <f>INDEX(PO_base_Add_EndUses,7, 1)</f>
        <v>Cooling (Gas)</v>
      </c>
      <c r="C213" s="2828"/>
      <c r="D213" s="2819">
        <f>INDEX(PO_baseline_table,43, 3)</f>
        <v>0</v>
      </c>
      <c r="E213" s="2820" t="str">
        <f>INDEX(PO_baseline_table,43, 4)</f>
        <v>Natural Gas</v>
      </c>
      <c r="F213" s="1132" t="str">
        <f>IFERROR(IF(ISBLANK(E213),"","Consumption (" &amp; VLOOKUP($E213,PO_Enrgy_1_Table,MATCH($C$16,PO_Enrgy_1_Hdr,0),FALSE) &amp; ")"),"")</f>
        <v>Consumption (therm)</v>
      </c>
      <c r="G213" s="1217" t="str">
        <f>INDEX(PO_baseline_table,43, 10)</f>
        <v/>
      </c>
      <c r="H213" s="1160"/>
      <c r="I213" s="1359" t="str">
        <f t="shared" si="19"/>
        <v/>
      </c>
      <c r="J213" s="2821" t="str">
        <f>IFERROR(IF($E$327-$H$327&lt;0,"",($G213-$H213)*VLOOKUP($E213,PO_Enrgy_1_Table,MATCH($K$16,PO_Enrgy_1_Hdr,0),FALSE)/($E$327-$H$327)),"")</f>
        <v/>
      </c>
      <c r="K213" s="2823" t="str">
        <f>IFERROR(IF($G$327-$J$327&lt;0,"",($G213*VLOOKUP($E213,PO_Enrgy_8_Table,MATCH($E$232,PO_Enrgy_8_Hdr,0),FALSE)-($H213*VLOOKUP($E213,PO_Enrgy_8_Table,MATCH($H$232,PO_Enrgy_8_Hdr,0),FALSE)))/($G$327-$J$327)),"")</f>
        <v/>
      </c>
      <c r="L213" s="2823"/>
      <c r="M213" s="2824" t="str">
        <f>IFERROR(H213*VLOOKUP($E213,PO_Enrgy_1_Table,MATCH($K$16,PO_Enrgy_1_Hdr,0))/$H$227,"")</f>
        <v/>
      </c>
      <c r="Q213" s="1296">
        <f t="shared" si="11"/>
        <v>2.9308323563892142E-2</v>
      </c>
      <c r="R213" s="1296">
        <f t="shared" si="12"/>
        <v>3.0773739742086751E-2</v>
      </c>
      <c r="S213" s="1296" t="str">
        <f t="shared" si="13"/>
        <v/>
      </c>
      <c r="T213" s="1296" t="str">
        <f t="shared" si="14"/>
        <v/>
      </c>
      <c r="V213" s="1305">
        <f t="shared" si="15"/>
        <v>0</v>
      </c>
      <c r="W213" s="1296">
        <f t="shared" si="16"/>
        <v>0</v>
      </c>
      <c r="X213" s="1296">
        <f t="shared" si="17"/>
        <v>0</v>
      </c>
      <c r="Y213" s="1296" t="b">
        <f>IFERROR(IF(D213="x",IF(OR(G213/H213&gt;1.03,G213/H213&lt;0.97),TRUE,FALSE),FALSE),FALSE)</f>
        <v>0</v>
      </c>
      <c r="Z213" s="1296">
        <f>IFERROR(J213*100,)</f>
        <v>0</v>
      </c>
      <c r="AA213" s="1296"/>
      <c r="AB213" s="1296">
        <f>RANK(Z213,$Z$171:$Z$218,0)</f>
        <v>1</v>
      </c>
      <c r="AC213" s="1296">
        <f>AB213+COUNTIF($AB$171:$AB212,AB213)</f>
        <v>22</v>
      </c>
      <c r="AD213" s="1296" t="str">
        <f>B213</f>
        <v>Cooling (Gas)</v>
      </c>
      <c r="AE213" s="15"/>
      <c r="AF213" s="2827"/>
      <c r="AG213" s="2827"/>
      <c r="AH213" s="1066"/>
      <c r="AI213" s="788"/>
      <c r="AJ213" s="788"/>
      <c r="AK213" s="1195"/>
      <c r="AO213" s="535"/>
      <c r="BC213" s="1906"/>
      <c r="BF213" s="1957" t="str">
        <f t="shared" si="22"/>
        <v>BB</v>
      </c>
      <c r="BG213" s="1957">
        <f t="shared" si="22"/>
        <v>0</v>
      </c>
      <c r="BH213" s="1957">
        <f t="shared" si="22"/>
        <v>0</v>
      </c>
      <c r="BI213" s="1957" t="str">
        <f>IF(BG213&lt;&gt;"",IFERROR(MATCH(BG213&amp;BH213,'Results from Trace'!$L$1:$L$21,0),""),"")</f>
        <v/>
      </c>
    </row>
    <row r="214" spans="1:61" ht="15.75" customHeight="1" x14ac:dyDescent="0.3">
      <c r="A214" s="1063" t="s">
        <v>1299</v>
      </c>
      <c r="B214" s="2820"/>
      <c r="C214" s="2828"/>
      <c r="D214" s="2819"/>
      <c r="E214" s="2820"/>
      <c r="F214" s="1132" t="str">
        <f>IFERROR(IF(ISBLANK(E213),"","Demand (" &amp; VLOOKUP($E213,PO_Enrgy_1_Table,MATCH($E$16,PO_Enrgy_1_Hdr,0),FALSE) &amp; ")"),"")</f>
        <v>Demand (Btuh x 10^6)</v>
      </c>
      <c r="G214" s="1218" t="str">
        <f>INDEX(PO_baseline_table,44, 10)</f>
        <v/>
      </c>
      <c r="H214" s="1160"/>
      <c r="I214" s="1219" t="str">
        <f t="shared" si="19"/>
        <v/>
      </c>
      <c r="J214" s="2822"/>
      <c r="K214" s="2823"/>
      <c r="L214" s="2823"/>
      <c r="M214" s="2825"/>
      <c r="Q214" s="1296" t="str">
        <f t="shared" si="11"/>
        <v/>
      </c>
      <c r="R214" s="1296" t="str">
        <f t="shared" si="12"/>
        <v/>
      </c>
      <c r="S214" s="1296" t="str">
        <f t="shared" si="13"/>
        <v/>
      </c>
      <c r="T214" s="1296" t="str">
        <f t="shared" si="14"/>
        <v/>
      </c>
      <c r="V214" s="1305">
        <f t="shared" si="15"/>
        <v>0</v>
      </c>
      <c r="W214" s="1296">
        <f t="shared" si="16"/>
        <v>0</v>
      </c>
      <c r="X214" s="1296">
        <f t="shared" si="17"/>
        <v>0</v>
      </c>
      <c r="Y214" s="1296"/>
      <c r="Z214" s="1296"/>
      <c r="AA214" s="1296"/>
      <c r="AB214" s="1296"/>
      <c r="AC214" s="1296"/>
      <c r="AD214" s="1296"/>
      <c r="AE214" s="15"/>
      <c r="AF214" s="2827"/>
      <c r="AG214" s="2827"/>
      <c r="AH214" s="1066"/>
      <c r="AI214" s="788"/>
      <c r="AJ214" s="788"/>
      <c r="AK214" s="1196"/>
      <c r="AO214" s="535"/>
      <c r="BC214" s="1906"/>
      <c r="BF214" s="1957">
        <f t="shared" si="22"/>
        <v>0</v>
      </c>
      <c r="BG214" s="1957">
        <f t="shared" si="22"/>
        <v>0</v>
      </c>
      <c r="BH214" s="1957">
        <f t="shared" si="22"/>
        <v>0</v>
      </c>
      <c r="BI214" s="1957" t="str">
        <f>IF(BG214&lt;&gt;"",IFERROR(MATCH(BG214&amp;BH214,'Results from Trace'!$L$1:$L$21,0),""),"")</f>
        <v/>
      </c>
    </row>
    <row r="215" spans="1:61" ht="16.2" customHeight="1" x14ac:dyDescent="0.3">
      <c r="A215" s="1063" t="s">
        <v>1299</v>
      </c>
      <c r="B215" s="2820">
        <f>INDEX(PO_base_Add_EndUses,9, 1)</f>
        <v>0</v>
      </c>
      <c r="C215" s="2828"/>
      <c r="D215" s="2819">
        <f>INDEX(PO_baseline_table,45, 3)</f>
        <v>0</v>
      </c>
      <c r="E215" s="2820">
        <f>INDEX(PO_baseline_table,45, 4)</f>
        <v>0</v>
      </c>
      <c r="F215" s="1132" t="str">
        <f>IFERROR(IF(ISBLANK(E215),"","Consumption (" &amp; VLOOKUP($E215,PO_Enrgy_1_Table,MATCH($C$16,PO_Enrgy_1_Hdr,0),FALSE) &amp; ")"),"")</f>
        <v/>
      </c>
      <c r="G215" s="1217" t="str">
        <f>INDEX(PO_baseline_table,45, 10)</f>
        <v/>
      </c>
      <c r="H215" s="1160"/>
      <c r="I215" s="1359" t="str">
        <f t="shared" si="19"/>
        <v/>
      </c>
      <c r="J215" s="2821" t="str">
        <f>IFERROR(IF($E$327-$H$327&lt;0,"",($G215-$H215)*VLOOKUP($E215,PO_Enrgy_1_Table,MATCH($K$16,PO_Enrgy_1_Hdr,0),FALSE)/($E$327-$H$327)),"")</f>
        <v/>
      </c>
      <c r="K215" s="2823" t="str">
        <f>IFERROR(IF($G$327-$J$327&lt;0,"",($G215*VLOOKUP($E215,PO_Enrgy_8_Table,MATCH($E$232,PO_Enrgy_8_Hdr,0),FALSE)-($H215*VLOOKUP($E215,PO_Enrgy_8_Table,MATCH($H$232,PO_Enrgy_8_Hdr,0),FALSE)))/($G$327-$J$327)),"")</f>
        <v/>
      </c>
      <c r="L215" s="2823"/>
      <c r="M215" s="2824" t="str">
        <f>IFERROR(H215*VLOOKUP($E215,PO_Enrgy_1_Table,MATCH($K$16,PO_Enrgy_1_Hdr,0))/$H$227,"")</f>
        <v/>
      </c>
      <c r="Q215" s="1296" t="str">
        <f t="shared" si="11"/>
        <v/>
      </c>
      <c r="R215" s="1296" t="str">
        <f t="shared" si="12"/>
        <v/>
      </c>
      <c r="S215" s="1296" t="str">
        <f t="shared" si="13"/>
        <v/>
      </c>
      <c r="T215" s="1296" t="str">
        <f t="shared" si="14"/>
        <v/>
      </c>
      <c r="V215" s="1305">
        <f t="shared" si="15"/>
        <v>0</v>
      </c>
      <c r="W215" s="1296">
        <f t="shared" si="16"/>
        <v>0</v>
      </c>
      <c r="X215" s="1296">
        <f t="shared" si="17"/>
        <v>0</v>
      </c>
      <c r="Y215" s="1296" t="b">
        <f>IFERROR(IF(D215="x",IF(OR(G215/H215&gt;1.03,G215/H215&lt;0.97),TRUE,FALSE),FALSE),FALSE)</f>
        <v>0</v>
      </c>
      <c r="Z215" s="1296">
        <f>IFERROR(J215*100,)</f>
        <v>0</v>
      </c>
      <c r="AA215" s="1296"/>
      <c r="AB215" s="1296">
        <f>RANK(Z215,$Z$171:$Z$218,0)</f>
        <v>1</v>
      </c>
      <c r="AC215" s="1296">
        <f>AB215+COUNTIF($AB$171:$AB214,AB215)</f>
        <v>23</v>
      </c>
      <c r="AD215" s="1296">
        <f>B215</f>
        <v>0</v>
      </c>
      <c r="AE215" s="15"/>
      <c r="AF215" s="2827"/>
      <c r="AG215" s="2827"/>
      <c r="AH215" s="1066"/>
      <c r="AI215" s="788"/>
      <c r="AJ215" s="788"/>
      <c r="AK215" s="1195"/>
      <c r="AO215" s="535"/>
      <c r="BC215" s="1906"/>
      <c r="BF215" s="1957">
        <f t="shared" si="22"/>
        <v>0</v>
      </c>
      <c r="BG215" s="1957">
        <f t="shared" si="22"/>
        <v>0</v>
      </c>
      <c r="BH215" s="1957">
        <f t="shared" si="22"/>
        <v>0</v>
      </c>
      <c r="BI215" s="1957" t="str">
        <f>IF(BG215&lt;&gt;"",IFERROR(MATCH(BG215&amp;BH215,'Results from Trace'!$L$1:$L$21,0),""),"")</f>
        <v/>
      </c>
    </row>
    <row r="216" spans="1:61" ht="16.5" customHeight="1" x14ac:dyDescent="0.3">
      <c r="A216" s="1063" t="s">
        <v>1299</v>
      </c>
      <c r="B216" s="2820"/>
      <c r="C216" s="2828"/>
      <c r="D216" s="2819"/>
      <c r="E216" s="2820"/>
      <c r="F216" s="1132" t="str">
        <f>IFERROR(IF(ISBLANK(E215),"","Demand (" &amp; VLOOKUP($E215,PO_Enrgy_1_Table,MATCH($E$16,PO_Enrgy_1_Hdr,0),FALSE) &amp; ")"),"")</f>
        <v/>
      </c>
      <c r="G216" s="1218" t="str">
        <f>INDEX(PO_baseline_table,46, 10)</f>
        <v/>
      </c>
      <c r="H216" s="1160"/>
      <c r="I216" s="1219" t="str">
        <f t="shared" si="19"/>
        <v/>
      </c>
      <c r="J216" s="2822"/>
      <c r="K216" s="2823"/>
      <c r="L216" s="2823"/>
      <c r="M216" s="2825"/>
      <c r="Q216" s="1296" t="str">
        <f t="shared" si="11"/>
        <v/>
      </c>
      <c r="R216" s="1296" t="str">
        <f t="shared" si="12"/>
        <v/>
      </c>
      <c r="S216" s="1296" t="str">
        <f t="shared" si="13"/>
        <v/>
      </c>
      <c r="T216" s="1296" t="str">
        <f t="shared" si="14"/>
        <v/>
      </c>
      <c r="V216" s="1305">
        <f t="shared" si="15"/>
        <v>0</v>
      </c>
      <c r="W216" s="1296">
        <f t="shared" si="16"/>
        <v>0</v>
      </c>
      <c r="X216" s="1296">
        <f t="shared" si="17"/>
        <v>0</v>
      </c>
      <c r="Y216" s="1296"/>
      <c r="Z216" s="1296"/>
      <c r="AA216" s="1296"/>
      <c r="AB216" s="1296"/>
      <c r="AC216" s="1296"/>
      <c r="AD216" s="1296"/>
      <c r="AE216" s="15"/>
      <c r="AF216" s="2827"/>
      <c r="AG216" s="2827"/>
      <c r="AH216" s="1066"/>
      <c r="AI216" s="788"/>
      <c r="AJ216" s="788"/>
      <c r="AK216" s="1196"/>
      <c r="AO216" s="535"/>
      <c r="BC216" s="1906"/>
      <c r="BF216" s="1957">
        <f t="shared" si="22"/>
        <v>0</v>
      </c>
      <c r="BG216" s="1957">
        <f t="shared" si="22"/>
        <v>0</v>
      </c>
      <c r="BH216" s="1957">
        <f t="shared" si="22"/>
        <v>0</v>
      </c>
      <c r="BI216" s="1957" t="str">
        <f>IF(BG216&lt;&gt;"",IFERROR(MATCH(BG216&amp;BH216,'Results from Trace'!$L$1:$L$21,0),""),"")</f>
        <v/>
      </c>
    </row>
    <row r="217" spans="1:61" ht="16.2" customHeight="1" x14ac:dyDescent="0.3">
      <c r="A217" s="1063" t="s">
        <v>1299</v>
      </c>
      <c r="B217" s="2820">
        <f>INDEX(PO_base_Add_EndUses,11, 1)</f>
        <v>0</v>
      </c>
      <c r="C217" s="2828"/>
      <c r="D217" s="2819">
        <f>INDEX(PO_baseline_table,47, 3)</f>
        <v>0</v>
      </c>
      <c r="E217" s="2820">
        <f>INDEX(PO_baseline_table,47, 4)</f>
        <v>0</v>
      </c>
      <c r="F217" s="1132" t="str">
        <f>IFERROR(IF(ISBLANK(E217),"","Consumption (" &amp; VLOOKUP($E217,PO_Enrgy_1_Table,MATCH($C$16,PO_Enrgy_1_Hdr,0),FALSE) &amp; ")"),"")</f>
        <v/>
      </c>
      <c r="G217" s="1217" t="str">
        <f>INDEX(PO_baseline_table,47, 10)</f>
        <v/>
      </c>
      <c r="H217" s="1160"/>
      <c r="I217" s="1359" t="str">
        <f t="shared" si="19"/>
        <v/>
      </c>
      <c r="J217" s="2821" t="str">
        <f>IFERROR(IF($E$327-$H$327&lt;0,"",($G217-$H217)*VLOOKUP($E217,PO_Enrgy_1_Table,MATCH($K$16,PO_Enrgy_1_Hdr,0),FALSE)/($E$327-$H$327)),"")</f>
        <v/>
      </c>
      <c r="K217" s="2823" t="str">
        <f>IFERROR(IF($G$327-$J$327&lt;0,"",($G217*VLOOKUP($E217,PO_Enrgy_8_Table,MATCH($E$232,PO_Enrgy_8_Hdr,0),FALSE)-($H217*VLOOKUP($E217,PO_Enrgy_8_Table,MATCH($H$232,PO_Enrgy_8_Hdr,0),FALSE)))/($G$327-$J$327)),"")</f>
        <v/>
      </c>
      <c r="L217" s="2823"/>
      <c r="M217" s="2824" t="str">
        <f>IFERROR(H217*VLOOKUP($E217,PO_Enrgy_1_Table,MATCH($K$16,PO_Enrgy_1_Hdr,0))/$H$227,"")</f>
        <v/>
      </c>
      <c r="Q217" s="1296" t="str">
        <f t="shared" si="11"/>
        <v/>
      </c>
      <c r="R217" s="1296" t="str">
        <f t="shared" si="12"/>
        <v/>
      </c>
      <c r="S217" s="1296" t="str">
        <f t="shared" si="13"/>
        <v/>
      </c>
      <c r="T217" s="1296" t="str">
        <f t="shared" si="14"/>
        <v/>
      </c>
      <c r="V217" s="1305">
        <f t="shared" si="15"/>
        <v>0</v>
      </c>
      <c r="W217" s="1296">
        <f t="shared" si="16"/>
        <v>0</v>
      </c>
      <c r="X217" s="1296">
        <f t="shared" si="17"/>
        <v>0</v>
      </c>
      <c r="Y217" s="1296" t="b">
        <f>IFERROR(IF(D217="x",IF(OR(G217/H217&gt;1.03,G217/H217&lt;0.97),TRUE,FALSE),FALSE),FALSE)</f>
        <v>0</v>
      </c>
      <c r="Z217" s="1296">
        <f>IFERROR(J217*100,)</f>
        <v>0</v>
      </c>
      <c r="AA217" s="1296"/>
      <c r="AB217" s="1296">
        <f>RANK(Z217,$Z$171:$Z$218,0)</f>
        <v>1</v>
      </c>
      <c r="AC217" s="1296">
        <f>AB217+COUNTIF($AB$171:$AB216,AB217)</f>
        <v>24</v>
      </c>
      <c r="AD217" s="1296">
        <f>B217</f>
        <v>0</v>
      </c>
      <c r="AE217" s="15"/>
      <c r="AF217" s="2827"/>
      <c r="AG217" s="2827"/>
      <c r="AH217" s="1066"/>
      <c r="AI217" s="788"/>
      <c r="AJ217" s="788"/>
      <c r="AK217" s="1195"/>
      <c r="AO217" s="535"/>
      <c r="BC217" s="1906"/>
      <c r="BF217" s="1957">
        <f t="shared" si="22"/>
        <v>0</v>
      </c>
      <c r="BG217" s="1957">
        <f t="shared" si="22"/>
        <v>0</v>
      </c>
      <c r="BH217" s="1957">
        <f t="shared" si="22"/>
        <v>0</v>
      </c>
      <c r="BI217" s="1957" t="str">
        <f>IF(BG217&lt;&gt;"",IFERROR(MATCH(BG217&amp;BH217,'Results from Trace'!$L$1:$L$21,0),""),"")</f>
        <v/>
      </c>
    </row>
    <row r="218" spans="1:61" ht="15.75" customHeight="1" x14ac:dyDescent="0.3">
      <c r="A218" s="1063" t="s">
        <v>1299</v>
      </c>
      <c r="B218" s="2820"/>
      <c r="C218" s="2828"/>
      <c r="D218" s="2819"/>
      <c r="E218" s="2820"/>
      <c r="F218" s="1132" t="str">
        <f>IFERROR(IF(ISBLANK(E217),"","Demand (" &amp; VLOOKUP($E217,PO_Enrgy_1_Table,MATCH($E$16,PO_Enrgy_1_Hdr,0),FALSE) &amp; ")"),"")</f>
        <v/>
      </c>
      <c r="G218" s="1218" t="str">
        <f>INDEX(PO_baseline_table,48, 10)</f>
        <v/>
      </c>
      <c r="H218" s="1160"/>
      <c r="I218" s="1219" t="str">
        <f t="shared" si="19"/>
        <v/>
      </c>
      <c r="J218" s="2822"/>
      <c r="K218" s="2823"/>
      <c r="L218" s="2823"/>
      <c r="M218" s="2825"/>
      <c r="Q218" s="1296" t="str">
        <f t="shared" si="11"/>
        <v/>
      </c>
      <c r="R218" s="1296" t="str">
        <f t="shared" si="12"/>
        <v/>
      </c>
      <c r="S218" s="1296" t="str">
        <f t="shared" si="13"/>
        <v/>
      </c>
      <c r="T218" s="1296" t="str">
        <f t="shared" si="14"/>
        <v/>
      </c>
      <c r="V218" s="1305">
        <f t="shared" si="15"/>
        <v>0</v>
      </c>
      <c r="W218" s="1296">
        <f t="shared" si="16"/>
        <v>0</v>
      </c>
      <c r="X218" s="1296">
        <f t="shared" si="17"/>
        <v>0</v>
      </c>
      <c r="Y218" s="1296"/>
      <c r="Z218" s="1296"/>
      <c r="AA218" s="1296"/>
      <c r="AB218" s="1296"/>
      <c r="AC218" s="1296"/>
      <c r="AD218" s="1296"/>
      <c r="AE218" s="15"/>
      <c r="AF218" s="2827"/>
      <c r="AG218" s="2827"/>
      <c r="AH218" s="1066"/>
      <c r="AI218" s="788"/>
      <c r="AJ218" s="788"/>
      <c r="AK218" s="1196"/>
      <c r="AO218" s="535"/>
      <c r="BC218" s="1906"/>
      <c r="BF218" s="1957">
        <f t="shared" si="22"/>
        <v>0</v>
      </c>
      <c r="BG218" s="1957">
        <f t="shared" si="22"/>
        <v>0</v>
      </c>
      <c r="BH218" s="1957">
        <f t="shared" si="22"/>
        <v>0</v>
      </c>
      <c r="BI218" s="1957" t="str">
        <f>IF(BG218&lt;&gt;"",IFERROR(MATCH(BG218&amp;BH218,'Results from Trace'!$L$1:$L$21,0),""),"")</f>
        <v/>
      </c>
    </row>
    <row r="219" spans="1:61" ht="21" customHeight="1" x14ac:dyDescent="0.3">
      <c r="A219" s="1063" t="s">
        <v>1299</v>
      </c>
      <c r="B219" s="526"/>
      <c r="C219" s="526"/>
      <c r="D219" s="960"/>
      <c r="E219" s="548"/>
      <c r="F219" s="526"/>
      <c r="G219" s="560"/>
      <c r="H219" s="560"/>
      <c r="I219" s="561"/>
      <c r="J219" s="560"/>
      <c r="K219" s="560"/>
      <c r="L219" s="562"/>
      <c r="M219" s="562"/>
      <c r="S219" s="1228"/>
      <c r="BF219" s="1957">
        <f t="shared" si="22"/>
        <v>0</v>
      </c>
      <c r="BG219" s="1957">
        <f t="shared" si="22"/>
        <v>0</v>
      </c>
      <c r="BH219" s="1957">
        <f t="shared" si="22"/>
        <v>0</v>
      </c>
      <c r="BI219" s="1957" t="str">
        <f>IF(BG219&lt;&gt;"",IFERROR(MATCH(BG219&amp;BH219,'Results from Trace'!$L$1:$L$21,0),""),"")</f>
        <v/>
      </c>
    </row>
    <row r="220" spans="1:61" ht="24" customHeight="1" x14ac:dyDescent="0.3">
      <c r="A220" s="1063" t="s">
        <v>1299</v>
      </c>
      <c r="B220" s="570" t="s">
        <v>1268</v>
      </c>
      <c r="C220" s="571"/>
      <c r="D220" s="571"/>
      <c r="E220" s="571"/>
      <c r="F220" s="571"/>
      <c r="G220" s="571"/>
      <c r="H220" s="571"/>
      <c r="I220" s="571"/>
      <c r="J220" s="571"/>
      <c r="K220" s="571"/>
      <c r="L220" s="571"/>
      <c r="M220" s="571"/>
      <c r="S220" s="15"/>
      <c r="BF220" s="1957">
        <f t="shared" ref="BF220:BH224" si="23">BF146</f>
        <v>0</v>
      </c>
      <c r="BG220" s="1957">
        <f t="shared" si="23"/>
        <v>0</v>
      </c>
      <c r="BH220" s="1957">
        <f t="shared" si="23"/>
        <v>0</v>
      </c>
      <c r="BI220" s="1957" t="str">
        <f>IF(BG220&lt;&gt;"",IFERROR(MATCH(BG220&amp;BH220,'Results from Trace'!$L$1:$L$21,0),""),"")</f>
        <v/>
      </c>
    </row>
    <row r="221" spans="1:61" ht="21.75" customHeight="1" x14ac:dyDescent="0.3">
      <c r="A221" s="1063" t="s">
        <v>1299</v>
      </c>
      <c r="B221" s="2698" t="s">
        <v>444</v>
      </c>
      <c r="C221" s="2402" t="s">
        <v>1805</v>
      </c>
      <c r="D221" s="2699"/>
      <c r="E221" s="2700" t="s">
        <v>347</v>
      </c>
      <c r="F221" s="2698"/>
      <c r="G221" s="2698"/>
      <c r="H221" s="2700" t="s">
        <v>348</v>
      </c>
      <c r="I221" s="2698"/>
      <c r="J221" s="2698"/>
      <c r="K221" s="2700" t="s">
        <v>448</v>
      </c>
      <c r="L221" s="2698"/>
      <c r="M221" s="2463"/>
      <c r="N221" s="579"/>
      <c r="S221" s="15"/>
      <c r="BF221" s="1957">
        <f t="shared" si="23"/>
        <v>0</v>
      </c>
      <c r="BG221" s="1957">
        <f t="shared" si="23"/>
        <v>0</v>
      </c>
      <c r="BH221" s="1957">
        <f t="shared" si="23"/>
        <v>0</v>
      </c>
      <c r="BI221" s="1957" t="str">
        <f>IF(BG221&lt;&gt;"",IFERROR(MATCH(BG221&amp;BH221,'Results from Trace'!$L$1:$L$21,0),""),"")</f>
        <v/>
      </c>
    </row>
    <row r="222" spans="1:61" ht="63.75" customHeight="1" x14ac:dyDescent="0.3">
      <c r="A222" s="1063" t="s">
        <v>1299</v>
      </c>
      <c r="B222" s="2699"/>
      <c r="C222" s="2699"/>
      <c r="D222" s="2699"/>
      <c r="E222" s="966" t="s">
        <v>1117</v>
      </c>
      <c r="F222" s="1115" t="str">
        <f>"Source Energy Use 
("  &amp; PO_SourceUnits &amp; ")"</f>
        <v>Source Energy Use 
(MWh)</v>
      </c>
      <c r="G222" s="966" t="s">
        <v>446</v>
      </c>
      <c r="H222" s="966" t="s">
        <v>1117</v>
      </c>
      <c r="I222" s="1115" t="str">
        <f>"Source Energy Use 
("  &amp; PO_SourceUnits &amp; ")"</f>
        <v>Source Energy Use 
(MWh)</v>
      </c>
      <c r="J222" s="966" t="s">
        <v>446</v>
      </c>
      <c r="K222" s="2700" t="s">
        <v>447</v>
      </c>
      <c r="L222" s="2829"/>
      <c r="M222" s="966" t="s">
        <v>446</v>
      </c>
      <c r="AD222" s="15"/>
      <c r="AE222" s="15"/>
      <c r="AF222" s="15"/>
      <c r="AG222" s="15"/>
      <c r="AH222" s="15"/>
      <c r="AI222" s="15"/>
      <c r="AJ222" s="15"/>
      <c r="AK222" s="15"/>
      <c r="AL222" s="15"/>
      <c r="AM222" s="15"/>
      <c r="AN222" s="15"/>
      <c r="AO222" s="15"/>
      <c r="BF222" s="1957">
        <f t="shared" si="23"/>
        <v>0</v>
      </c>
      <c r="BG222" s="1957">
        <f t="shared" si="23"/>
        <v>0</v>
      </c>
      <c r="BH222" s="1957">
        <f t="shared" si="23"/>
        <v>0</v>
      </c>
      <c r="BI222" s="1957" t="str">
        <f>IF(BG222&lt;&gt;"",IFERROR(MATCH(BG222&amp;BH222,'Results from Trace'!$L$1:$L$21,0),""),"")</f>
        <v/>
      </c>
    </row>
    <row r="223" spans="1:61" s="1076" customFormat="1" ht="21.75" hidden="1" customHeight="1" x14ac:dyDescent="0.3">
      <c r="A223" s="1063" t="s">
        <v>1299</v>
      </c>
      <c r="B223" s="1092" t="s">
        <v>1765</v>
      </c>
      <c r="C223" s="1092" t="s">
        <v>1793</v>
      </c>
      <c r="D223" s="1092"/>
      <c r="E223" s="1100" t="s">
        <v>1821</v>
      </c>
      <c r="F223" s="1099" t="s">
        <v>1822</v>
      </c>
      <c r="G223" s="1100" t="s">
        <v>1823</v>
      </c>
      <c r="H223" s="1100" t="s">
        <v>1806</v>
      </c>
      <c r="I223" s="1099" t="s">
        <v>1807</v>
      </c>
      <c r="J223" s="1100" t="s">
        <v>1808</v>
      </c>
      <c r="K223" s="1093" t="s">
        <v>1809</v>
      </c>
      <c r="L223" s="1092"/>
      <c r="M223" s="1093" t="s">
        <v>1810</v>
      </c>
      <c r="N223" s="1075"/>
      <c r="Q223" s="1042" t="s">
        <v>1776</v>
      </c>
      <c r="R223" s="1042" t="s">
        <v>1777</v>
      </c>
      <c r="AD223" s="1077"/>
      <c r="AE223" s="1077"/>
      <c r="AF223" s="1077"/>
      <c r="AG223" s="1077"/>
      <c r="AH223" s="1077"/>
      <c r="AI223" s="1077"/>
      <c r="AJ223" s="1077"/>
      <c r="AK223" s="1077"/>
      <c r="AL223" s="1077"/>
      <c r="AM223" s="1077"/>
      <c r="AN223" s="1077"/>
      <c r="AO223" s="1077"/>
      <c r="BF223" s="1957">
        <f t="shared" si="23"/>
        <v>0</v>
      </c>
      <c r="BG223" s="1957">
        <f t="shared" si="23"/>
        <v>0</v>
      </c>
      <c r="BH223" s="1957">
        <f t="shared" si="23"/>
        <v>0</v>
      </c>
      <c r="BI223" s="1957" t="str">
        <f>IF(BG223&lt;&gt;"",IFERROR(MATCH(BG223&amp;BH223,'Results from Trace'!$L$1:$L$21,0),""),"")</f>
        <v/>
      </c>
    </row>
    <row r="224" spans="1:61" ht="18" customHeight="1" x14ac:dyDescent="0.3">
      <c r="A224" s="1063" t="s">
        <v>1299</v>
      </c>
      <c r="B224" s="1082" t="str">
        <f>IFERROR(IF(ISBLANK(B17),"",B17),"")</f>
        <v>Electricity</v>
      </c>
      <c r="C224" s="2688" t="str">
        <f>IFERROR(IF(ISBLANK($B224),"",VLOOKUP($B224,PO_Enrgy_1_Table,MATCH($C$16,PO_Enrgy_1_Hdr,0),FALSE) ),"")</f>
        <v>kWh</v>
      </c>
      <c r="D224" s="2689" t="e">
        <f>IF(C224="","",VLOOKUP(C224,ProjectEnergyTypeTable,3,FALSE))</f>
        <v>#NAME?</v>
      </c>
      <c r="E224" s="1188">
        <f>IFERROR(SUMIFS(G$171:G$218,$F$171:$F$218,"=Con*",$E$171:$E$218,$B224), 0)</f>
        <v>0</v>
      </c>
      <c r="F224" s="1188">
        <f>IFERROR(SUMIFS(G$171:G$218,$F$171:$F$218,"=Con*",$E$171:$E$218,$B224)*VLOOKUP($B224,PO_Enrgy_1_Table,MATCH($M$16,PO_Enrgy_1_Hdr,0),FALSE), 0)</f>
        <v>0</v>
      </c>
      <c r="G224" s="1220" t="str">
        <f>INDEX(PO_Enrgy_6_Table,MATCH($B224,PO_Enrgy_6_Index,0)-1, 10)</f>
        <v/>
      </c>
      <c r="H224" s="1188">
        <f>IFERROR(SUMIFS(H$171:H$218,$F$171:$F$218,"=Con*",$E$171:$E$218,$B224), 0)</f>
        <v>0</v>
      </c>
      <c r="I224" s="1188">
        <f>IFERROR(SUMIFS(H$171:H$218,$F$171:$F$218,"=Con*",$E$171:$E$218,$B224)*VLOOKUP($B224,PO_Enrgy_1_Table,MATCH($M$16,PO_Enrgy_1_Hdr,0),FALSE), 0)</f>
        <v>0</v>
      </c>
      <c r="J224" s="1162"/>
      <c r="K224" s="2692" t="str">
        <f>IFERROR(1-H224/E224,"")</f>
        <v/>
      </c>
      <c r="L224" s="2691"/>
      <c r="M224" s="1360" t="str">
        <f>IFERROR(1-J224/G224,"")</f>
        <v/>
      </c>
      <c r="Q224" s="1296">
        <f>IFERROR(IF(ISBLANK($B224),"",VLOOKUP($B224,PO_Enrgy_1_Table,MATCH($K$16,PO_Enrgy_1_Hdr,0),FALSE)),"")</f>
        <v>9.999999999999998E-4</v>
      </c>
      <c r="R224" s="1296">
        <f>IFERROR(IF(ISBLANK($B224),"",VLOOKUP($B224,PO_Enrgy_1_Table,MATCH($M$16,PO_Enrgy_1_Hdr,0),FALSE)),"")</f>
        <v>3.1399999999999996E-3</v>
      </c>
      <c r="AD224" s="1079"/>
      <c r="AE224" s="1079"/>
      <c r="AF224" s="536"/>
      <c r="AG224" s="536"/>
      <c r="AH224" s="1080"/>
      <c r="AI224" s="1081"/>
      <c r="AJ224" s="15"/>
      <c r="AK224" s="15"/>
      <c r="AL224" s="15"/>
      <c r="AM224" s="15"/>
      <c r="AN224" s="15"/>
      <c r="AO224" s="15"/>
      <c r="BC224" s="1906"/>
      <c r="BF224" s="1957">
        <f t="shared" si="23"/>
        <v>0</v>
      </c>
      <c r="BG224" s="1957">
        <f t="shared" si="23"/>
        <v>0</v>
      </c>
      <c r="BH224" s="1957">
        <f t="shared" si="23"/>
        <v>0</v>
      </c>
      <c r="BI224" s="1957" t="str">
        <f>IF(BG224&lt;&gt;"",IFERROR(MATCH(BG224&amp;BH224,'Results from Trace'!$L$1:$L$21,0),""),"")</f>
        <v/>
      </c>
    </row>
    <row r="225" spans="1:55" ht="18" customHeight="1" x14ac:dyDescent="0.3">
      <c r="A225" s="1063" t="s">
        <v>1299</v>
      </c>
      <c r="B225" s="1082" t="str">
        <f>IFERROR(IF(ISBLANK(B18),"",B18),"")</f>
        <v>Natural Gas</v>
      </c>
      <c r="C225" s="2688" t="str">
        <f>IFERROR(IF(ISBLANK($B225),"",VLOOKUP($B225,PO_Enrgy_1_Table,MATCH($C$16,PO_Enrgy_1_Hdr,0),FALSE) ),"")</f>
        <v>therm</v>
      </c>
      <c r="D225" s="2689" t="e">
        <f>IF(C225="","",VLOOKUP(C225,ProjectEnergyTypeTable,3,FALSE))</f>
        <v>#NAME?</v>
      </c>
      <c r="E225" s="1188">
        <f>IFERROR(SUMIFS(G$171:G$218,$F$171:$F$218,"=Con*",$E$171:$E$218,$B225), 0)</f>
        <v>0</v>
      </c>
      <c r="F225" s="1188">
        <f>IFERROR(SUMIFS(G$171:G$218,$F$171:$F$218,"=Con*",$E$171:$E$218,$B225)*VLOOKUP($B225,PO_Enrgy_1_Table,MATCH($M$16,PO_Enrgy_1_Hdr,0),FALSE), 0)</f>
        <v>0</v>
      </c>
      <c r="G225" s="1220" t="str">
        <f>INDEX(PO_Enrgy_6_Table,MATCH($B225,PO_Enrgy_6_Index,0)-1, 10)</f>
        <v/>
      </c>
      <c r="H225" s="1188">
        <f>IFERROR(SUMIFS(H$171:H$218,$F$171:$F$218,"=Con*",$E$171:$E$218,$B225), 0)</f>
        <v>0</v>
      </c>
      <c r="I225" s="1188">
        <f>IFERROR(SUMIFS(H$171:H$218,$F$171:$F$218,"=Con*",$E$171:$E$218,$B225)*VLOOKUP($B225,PO_Enrgy_1_Table,MATCH($M$16,PO_Enrgy_1_Hdr,0),FALSE), 0)</f>
        <v>0</v>
      </c>
      <c r="J225" s="1162"/>
      <c r="K225" s="2692" t="str">
        <f>IFERROR(1-H225/E225,"")</f>
        <v/>
      </c>
      <c r="L225" s="2691"/>
      <c r="M225" s="1360" t="str">
        <f>IFERROR(1-J225/G225,"")</f>
        <v/>
      </c>
      <c r="Q225" s="1296">
        <f>IFERROR(IF(ISBLANK($B225),"",VLOOKUP($B225,PO_Enrgy_1_Table,MATCH($K$16,PO_Enrgy_1_Hdr,0),FALSE)),"")</f>
        <v>2.9308323563892142E-2</v>
      </c>
      <c r="R225" s="1296">
        <f>IFERROR(IF(ISBLANK($B225),"",VLOOKUP($B225,PO_Enrgy_1_Table,MATCH($M$16,PO_Enrgy_1_Hdr,0),FALSE)),"")</f>
        <v>3.0773739742086751E-2</v>
      </c>
      <c r="AD225" s="1079"/>
      <c r="AE225" s="1079"/>
      <c r="AF225" s="536"/>
      <c r="AG225" s="536"/>
      <c r="AH225" s="1080"/>
      <c r="AI225" s="1081"/>
      <c r="AJ225" s="15"/>
      <c r="AK225" s="15"/>
      <c r="AL225" s="15"/>
      <c r="AM225" s="15"/>
      <c r="AN225" s="15"/>
      <c r="AO225" s="15"/>
      <c r="BC225" s="1906"/>
    </row>
    <row r="226" spans="1:55" ht="18" customHeight="1" x14ac:dyDescent="0.3">
      <c r="A226" s="1063" t="s">
        <v>1299</v>
      </c>
      <c r="B226" s="1082" t="str">
        <f>IFERROR(IF(ISBLANK(B19),"",B19),"")</f>
        <v>District Cooling</v>
      </c>
      <c r="C226" s="2688" t="str">
        <f>IFERROR(IF(ISBLANK($B226),"",VLOOKUP($B226,PO_Enrgy_1_Table,MATCH($C$16,PO_Enrgy_1_Hdr,0),FALSE) ),"")</f>
        <v>MWh</v>
      </c>
      <c r="D226" s="2689" t="e">
        <f>IF(C226="","",VLOOKUP(C226,ProjectEnergyTypeTable,3,FALSE))</f>
        <v>#NAME?</v>
      </c>
      <c r="E226" s="1188">
        <f>IFERROR(SUMIFS(G$171:G$218,$F$171:$F$218,"=Con*",$E$171:$E$218,$B226), 0)</f>
        <v>0</v>
      </c>
      <c r="F226" s="1188">
        <f>IFERROR(SUMIFS(G$171:G$218,$F$171:$F$218,"=Con*",$E$171:$E$218,$B226)*VLOOKUP($B226,PO_Enrgy_1_Table,MATCH($M$16,PO_Enrgy_1_Hdr,0),FALSE), 0)</f>
        <v>0</v>
      </c>
      <c r="G226" s="1220" t="str">
        <f>INDEX(PO_Enrgy_6_Table,MATCH($B226,PO_Enrgy_6_Index,0)-1, 10)</f>
        <v/>
      </c>
      <c r="H226" s="1188">
        <f>IFERROR(SUMIFS(H$171:H$218,$F$171:$F$218,"=Con*",$E$171:$E$218,$B226), 0)</f>
        <v>0</v>
      </c>
      <c r="I226" s="1188">
        <f>IFERROR(SUMIFS(H$171:H$218,$F$171:$F$218,"=Con*",$E$171:$E$218,$B226)*VLOOKUP($B226,PO_Enrgy_1_Table,MATCH($M$16,PO_Enrgy_1_Hdr,0),FALSE), 0)</f>
        <v>0</v>
      </c>
      <c r="J226" s="1162"/>
      <c r="K226" s="2692" t="str">
        <f>IFERROR(1-H226/E226,"")</f>
        <v/>
      </c>
      <c r="L226" s="2691"/>
      <c r="M226" s="1360" t="str">
        <f>IFERROR(1-J226/G226,"")</f>
        <v/>
      </c>
      <c r="Q226" s="1296">
        <f>IFERROR(IF(ISBLANK($B226),"",VLOOKUP($B226,PO_Enrgy_1_Table,MATCH($K$16,PO_Enrgy_1_Hdr,0),FALSE)),"")</f>
        <v>0.99999999999999989</v>
      </c>
      <c r="R226" s="1296">
        <f>IFERROR(IF(ISBLANK($B226),"",VLOOKUP($B226,PO_Enrgy_1_Table,MATCH($M$16,PO_Enrgy_1_Hdr,0),FALSE)),"")</f>
        <v>0.99999999999999989</v>
      </c>
      <c r="AD226" s="1079"/>
      <c r="AE226" s="1079"/>
      <c r="AF226" s="536"/>
      <c r="AG226" s="536"/>
      <c r="AH226" s="1080"/>
      <c r="AI226" s="1081"/>
      <c r="AJ226" s="15"/>
      <c r="AK226" s="15"/>
      <c r="AL226" s="15"/>
      <c r="AM226" s="15"/>
      <c r="AN226" s="15"/>
      <c r="AO226" s="15"/>
      <c r="BC226" s="1906"/>
    </row>
    <row r="227" spans="1:55" s="528" customFormat="1" ht="21" customHeight="1" x14ac:dyDescent="0.3">
      <c r="A227" s="1063" t="s">
        <v>1299</v>
      </c>
      <c r="B227" s="2693" t="str">
        <f>"Energy model subtotal (" &amp; PO_SiteUnits &amp; ")"</f>
        <v>Energy model subtotal (MWh)</v>
      </c>
      <c r="C227" s="2693"/>
      <c r="D227" s="2693"/>
      <c r="E227" s="1161">
        <f>IFERROR(SUMPRODUCT(INDEX(PO_Enrgy_7_Table,0,MATCH(E$223,PO_Enrgy_7_Hdr,0)),INDEX(PO_Enrgy_7_Table,0,MATCH($Q$223,PO_Enrgy_7_Hdr,0))),"")</f>
        <v>0</v>
      </c>
      <c r="F227" s="1161">
        <f>IFERROR(SUM(INDEX(PO_Enrgy_7_Table,0,MATCH(F$223,PO_Enrgy_7_Hdr,0))),"")</f>
        <v>0</v>
      </c>
      <c r="G227" s="1164">
        <f>IFERROR(SUM(INDEX(PO_Enrgy_7_Table,0,MATCH(G$223,PO_Enrgy_7_Hdr,0))),"")</f>
        <v>0</v>
      </c>
      <c r="H227" s="1161">
        <f>IFERROR(SUMPRODUCT(INDEX(PO_Enrgy_7_Table,0,MATCH(H$223,PO_Enrgy_7_Hdr,0)),INDEX(PO_Enrgy_7_Table,0,MATCH($Q$223,PO_Enrgy_7_Hdr,0))),"")</f>
        <v>0</v>
      </c>
      <c r="I227" s="1161">
        <f>IFERROR(SUM(INDEX(PO_Enrgy_7_Table,0,MATCH(I$223,PO_Enrgy_7_Hdr,0))),"")</f>
        <v>0</v>
      </c>
      <c r="J227" s="1164">
        <f>IFERROR(SUM(INDEX(PO_Enrgy_7_Table,0,MATCH(J$223,PO_Enrgy_7_Hdr,0))),"")</f>
        <v>0</v>
      </c>
      <c r="K227" s="2690" t="str">
        <f>IFERROR(1-H227/E227,"")</f>
        <v/>
      </c>
      <c r="L227" s="2691"/>
      <c r="M227" s="1163" t="str">
        <f>IFERROR(1-J227/G227,"")</f>
        <v/>
      </c>
      <c r="N227" s="502"/>
      <c r="O227" s="502"/>
      <c r="P227" s="502"/>
      <c r="AD227" s="15"/>
      <c r="AE227" s="15"/>
      <c r="AF227" s="15"/>
      <c r="AG227" s="15"/>
      <c r="AH227" s="1080"/>
      <c r="AI227" s="1081"/>
      <c r="AJ227" s="15"/>
      <c r="AK227" s="15"/>
      <c r="AL227" s="15"/>
      <c r="AM227" s="15"/>
      <c r="AN227" s="15"/>
      <c r="AO227" s="15"/>
      <c r="BC227" s="1906"/>
    </row>
    <row r="228" spans="1:55" s="528" customFormat="1" ht="5.25" customHeight="1" x14ac:dyDescent="0.3">
      <c r="A228" s="1063" t="s">
        <v>1299</v>
      </c>
      <c r="B228" s="532"/>
      <c r="C228" s="532"/>
      <c r="D228" s="532"/>
      <c r="E228" s="533"/>
      <c r="F228" s="533"/>
      <c r="G228" s="577"/>
      <c r="H228" s="533"/>
      <c r="I228" s="533"/>
      <c r="J228" s="577"/>
      <c r="K228" s="720"/>
      <c r="L228" s="720"/>
      <c r="M228" s="720"/>
      <c r="N228" s="502"/>
      <c r="O228" s="502"/>
      <c r="P228" s="502"/>
      <c r="AD228" s="15"/>
      <c r="AE228" s="15"/>
      <c r="AF228" s="15"/>
      <c r="AG228" s="15"/>
      <c r="AH228" s="1080"/>
      <c r="AI228" s="1081"/>
      <c r="AJ228" s="15"/>
      <c r="AK228" s="15"/>
      <c r="AL228" s="15"/>
      <c r="AM228" s="15"/>
      <c r="AN228" s="15"/>
      <c r="AO228" s="15"/>
    </row>
    <row r="229" spans="1:55" s="528" customFormat="1" ht="33" customHeight="1" x14ac:dyDescent="0.3">
      <c r="A229" s="1063" t="s">
        <v>1299</v>
      </c>
      <c r="B229" s="532"/>
      <c r="C229" s="532"/>
      <c r="D229" s="532"/>
      <c r="E229" s="533"/>
      <c r="F229" s="533"/>
      <c r="G229" s="577"/>
      <c r="H229" s="533"/>
      <c r="I229" s="533"/>
      <c r="J229" s="577"/>
      <c r="K229" s="720"/>
      <c r="L229" s="720"/>
      <c r="M229" s="720"/>
      <c r="N229" s="502"/>
      <c r="O229" s="502"/>
      <c r="P229" s="502"/>
      <c r="AD229" s="15"/>
      <c r="AE229" s="15"/>
      <c r="AF229" s="15"/>
      <c r="AG229" s="15"/>
      <c r="AH229" s="1080"/>
      <c r="AI229" s="1081"/>
      <c r="AJ229" s="15"/>
      <c r="AK229" s="15"/>
      <c r="AL229" s="15"/>
      <c r="AM229" s="15"/>
      <c r="AN229" s="15"/>
      <c r="AO229" s="15"/>
    </row>
    <row r="230" spans="1:55" s="528" customFormat="1" ht="21" customHeight="1" x14ac:dyDescent="0.3">
      <c r="A230" s="1063" t="s">
        <v>1299</v>
      </c>
      <c r="B230" s="2694" t="s">
        <v>1269</v>
      </c>
      <c r="C230" s="2695"/>
      <c r="D230" s="2695"/>
      <c r="E230" s="2695"/>
      <c r="F230" s="2695"/>
      <c r="G230" s="2695"/>
      <c r="H230" s="2695"/>
      <c r="I230" s="2695"/>
      <c r="J230" s="2695"/>
      <c r="K230" s="2695"/>
      <c r="L230" s="2695"/>
      <c r="M230" s="720"/>
      <c r="Z230" s="550"/>
      <c r="AA230" s="551"/>
      <c r="AD230" s="15"/>
      <c r="AE230" s="15"/>
      <c r="AF230" s="15"/>
      <c r="AG230" s="15"/>
      <c r="AH230" s="15"/>
      <c r="AI230" s="15"/>
      <c r="AJ230" s="15"/>
      <c r="AK230" s="15"/>
      <c r="AL230" s="15"/>
      <c r="AM230" s="15"/>
      <c r="AN230" s="15"/>
      <c r="AO230" s="15"/>
    </row>
    <row r="231" spans="1:55" ht="33.75" customHeight="1" x14ac:dyDescent="0.3">
      <c r="A231" s="1063" t="s">
        <v>1299</v>
      </c>
      <c r="B231" s="2698" t="s">
        <v>444</v>
      </c>
      <c r="C231" s="2451"/>
      <c r="D231" s="2451"/>
      <c r="E231" s="2700" t="s">
        <v>347</v>
      </c>
      <c r="F231" s="2698"/>
      <c r="G231" s="2698"/>
      <c r="H231" s="2700" t="s">
        <v>348</v>
      </c>
      <c r="I231" s="2698"/>
      <c r="J231" s="2698"/>
      <c r="K231" s="2700" t="s">
        <v>455</v>
      </c>
      <c r="L231" s="2698"/>
      <c r="M231" s="2451"/>
      <c r="AD231" s="15"/>
      <c r="AE231" s="15"/>
      <c r="AF231" s="15"/>
      <c r="AG231" s="15"/>
      <c r="AH231" s="15"/>
      <c r="AI231" s="15"/>
      <c r="AJ231" s="15"/>
      <c r="AK231" s="15"/>
      <c r="AL231" s="15"/>
      <c r="AM231" s="15"/>
      <c r="AN231" s="15"/>
      <c r="AO231" s="15"/>
    </row>
    <row r="232" spans="1:55" s="1076" customFormat="1" ht="38.25" hidden="1" customHeight="1" x14ac:dyDescent="0.3">
      <c r="A232" s="1063" t="s">
        <v>1299</v>
      </c>
      <c r="B232" s="1092" t="s">
        <v>1765</v>
      </c>
      <c r="C232" s="1165" t="s">
        <v>173</v>
      </c>
      <c r="D232" s="1165"/>
      <c r="E232" s="1093" t="s">
        <v>1811</v>
      </c>
      <c r="F232" s="1092"/>
      <c r="G232" s="1092"/>
      <c r="H232" s="1093" t="s">
        <v>1812</v>
      </c>
      <c r="I232" s="1092"/>
      <c r="J232" s="1092"/>
      <c r="K232" s="1093" t="s">
        <v>1813</v>
      </c>
      <c r="L232" s="1092"/>
      <c r="M232" s="1165"/>
      <c r="Q232" s="1042" t="s">
        <v>1776</v>
      </c>
      <c r="R232" s="1042" t="s">
        <v>1777</v>
      </c>
      <c r="T232" s="1357" t="s">
        <v>1998</v>
      </c>
      <c r="U232" s="1357" t="s">
        <v>1999</v>
      </c>
      <c r="AD232" s="1077"/>
      <c r="AE232" s="1077"/>
      <c r="AF232" s="1077"/>
      <c r="AG232" s="1077"/>
      <c r="AH232" s="1077"/>
      <c r="AI232" s="1077"/>
      <c r="AJ232" s="1077"/>
      <c r="AK232" s="1077"/>
      <c r="AL232" s="1077"/>
      <c r="AM232" s="1077"/>
      <c r="AN232" s="1077"/>
      <c r="AO232" s="1077"/>
    </row>
    <row r="233" spans="1:55" ht="18" customHeight="1" x14ac:dyDescent="0.3">
      <c r="A233" s="1063" t="s">
        <v>1299</v>
      </c>
      <c r="B233" s="1082" t="str">
        <f>IFERROR(IF(ISBLANK(B17),"",B17),"")</f>
        <v>Electricity</v>
      </c>
      <c r="C233" s="2688" t="str">
        <f>IFERROR(CONCATENATE("$ / ",VLOOKUP($B233,PO_Enrgy_1_Table,MATCH($C$16,PO_Enrgy_1_Hdr,0),FALSE)),"")</f>
        <v>$ / kWh</v>
      </c>
      <c r="D233" s="2689" t="e">
        <f>IF(C233="","",VLOOKUP(C233,ProjectEnergyTypeTable,3,FALSE))</f>
        <v>#NAME?</v>
      </c>
      <c r="E233" s="2830" t="str">
        <f t="shared" ref="E233:G235" si="24">IFERROR(IF(AND(DESPath=3,OR($B233="District Cooling",$B233="District Steam",$B233="District Hot Water")),IF($B233="District Cooling",$V$251,$W$251),VLOOKUP($B233,PO_Enrgy_7_Table,MATCH($G$223,PO_Enrgy_7_Hdr,0),FALSE)/VLOOKUP($B233,PO_Enrgy_7_Table,MATCH($E$223,PO_Enrgy_7_Hdr,0),FALSE)),"")</f>
        <v/>
      </c>
      <c r="F233" s="2831" t="str">
        <f t="shared" si="24"/>
        <v/>
      </c>
      <c r="G233" s="2831" t="str">
        <f t="shared" si="24"/>
        <v/>
      </c>
      <c r="H233" s="2830" t="str">
        <f t="shared" ref="H233:J235" si="25">IFERROR(IF(AND(DESPath=3,OR($B233="District Cooling",$B233="District Steam",$B233="District Hot Water")),IF($B233="District Cooling",$V$255,$W$255),VLOOKUP($B233,PO_Enrgy_7_Table,MATCH($J$223,PO_Enrgy_7_Hdr,0),FALSE)/VLOOKUP($B233,PO_Enrgy_7_Table,MATCH($H$223,PO_Enrgy_7_Hdr,0),FALSE)),"")</f>
        <v/>
      </c>
      <c r="I233" s="2831" t="str">
        <f t="shared" si="25"/>
        <v/>
      </c>
      <c r="J233" s="2831" t="str">
        <f t="shared" si="25"/>
        <v/>
      </c>
      <c r="K233" s="2692" t="str">
        <f>IFERROR(ABS(1-H233/E233),"")</f>
        <v/>
      </c>
      <c r="L233" s="2825"/>
      <c r="M233" s="2721"/>
      <c r="Q233" s="1296">
        <f>IFERROR(IF(ISBLANK($B233),"",VLOOKUP($B233,PO_Enrgy_1_Table,MATCH($K$16,PO_Enrgy_1_Hdr,0),FALSE)),"")</f>
        <v>9.999999999999998E-4</v>
      </c>
      <c r="R233" s="1296">
        <f>IFERROR(IF(ISBLANK($B233),"",VLOOKUP($B233,PO_Enrgy_1_Table,MATCH($M$16,PO_Enrgy_1_Hdr,0),FALSE)),"")</f>
        <v>3.1399999999999996E-3</v>
      </c>
      <c r="T233" s="1296" t="str">
        <f>IFERROR(IF(AND(DESPath=3,OR($B233="District Cooling",$B233="District Steam",$B233="District Hot Water")),IF($B233="District Cooling",$V$251,$W$251),VLOOKUP($B233,PO_Enrgy_7_Table,MATCH($G$223,PO_Enrgy_7_Hdr,0),FALSE)/VLOOKUP($B233,PO_Enrgy_7_Table,MATCH($E$223,PO_Enrgy_7_Hdr,0),FALSE)),"")</f>
        <v/>
      </c>
      <c r="U233" s="1296" t="str">
        <f>IFERROR(IF(AND(DESPath=3,OR($B233="District Cooling",$B233="District Steam",$B233="District Hot Water")),IF($B233="District Cooling",$V$255,$W$255),VLOOKUP($B233,PO_Enrgy_7_Table,MATCH($J$223,PO_Enrgy_7_Hdr,0),FALSE)/VLOOKUP($B233,PO_Enrgy_7_Table,MATCH($H$223,PO_Enrgy_7_Hdr,0),FALSE)),"")</f>
        <v/>
      </c>
      <c r="AD233" s="1079"/>
      <c r="AE233" s="1079"/>
      <c r="AF233" s="536"/>
      <c r="AG233" s="15"/>
      <c r="AH233" s="1080"/>
      <c r="AI233" s="1081"/>
      <c r="AJ233" s="1083"/>
      <c r="AK233" s="15"/>
      <c r="AL233" s="15"/>
      <c r="AM233" s="15"/>
      <c r="AN233" s="15"/>
      <c r="AO233" s="15"/>
      <c r="BC233" s="1906"/>
    </row>
    <row r="234" spans="1:55" ht="18" customHeight="1" x14ac:dyDescent="0.3">
      <c r="A234" s="1063" t="s">
        <v>1299</v>
      </c>
      <c r="B234" s="1082" t="str">
        <f>IFERROR(IF(ISBLANK(B18),"",B18),"")</f>
        <v>Natural Gas</v>
      </c>
      <c r="C234" s="2688" t="str">
        <f>IFERROR(CONCATENATE("$ / ",VLOOKUP($B234,PO_Enrgy_1_Table,MATCH($C$16,PO_Enrgy_1_Hdr,0),FALSE)),"")</f>
        <v>$ / therm</v>
      </c>
      <c r="D234" s="2689" t="e">
        <f>IF(C234="","",VLOOKUP(C234,ProjectEnergyTypeTable,3,FALSE))</f>
        <v>#NAME?</v>
      </c>
      <c r="E234" s="2830" t="str">
        <f t="shared" si="24"/>
        <v/>
      </c>
      <c r="F234" s="2831" t="str">
        <f t="shared" si="24"/>
        <v/>
      </c>
      <c r="G234" s="2831" t="str">
        <f t="shared" si="24"/>
        <v/>
      </c>
      <c r="H234" s="2830" t="str">
        <f t="shared" si="25"/>
        <v/>
      </c>
      <c r="I234" s="2831" t="str">
        <f t="shared" si="25"/>
        <v/>
      </c>
      <c r="J234" s="2831" t="str">
        <f t="shared" si="25"/>
        <v/>
      </c>
      <c r="K234" s="2692" t="str">
        <f>IFERROR(ABS(1-H234/E234),"")</f>
        <v/>
      </c>
      <c r="L234" s="2825"/>
      <c r="M234" s="2721"/>
      <c r="Q234" s="1296">
        <f>IFERROR(IF(ISBLANK($B234),"",VLOOKUP($B234,PO_Enrgy_1_Table,MATCH($K$16,PO_Enrgy_1_Hdr,0),FALSE)),"")</f>
        <v>2.9308323563892142E-2</v>
      </c>
      <c r="R234" s="1296">
        <f>IFERROR(IF(ISBLANK($B234),"",VLOOKUP($B234,PO_Enrgy_1_Table,MATCH($M$16,PO_Enrgy_1_Hdr,0),FALSE)),"")</f>
        <v>3.0773739742086751E-2</v>
      </c>
      <c r="T234" s="1296" t="str">
        <f>IFERROR(IF(AND(DESPath=3,OR($B234="District Cooling",$B234="District Steam",$B234="District Hot Water")),IF($B234="District Cooling",$V$251,$W$251),VLOOKUP($B234,PO_Enrgy_7_Table,MATCH($G$223,PO_Enrgy_7_Hdr,0),FALSE)/VLOOKUP($B234,PO_Enrgy_7_Table,MATCH($E$223,PO_Enrgy_7_Hdr,0),FALSE)),"")</f>
        <v/>
      </c>
      <c r="U234" s="1296" t="str">
        <f>IFERROR(IF(AND(DESPath=3,OR($B234="District Cooling",$B234="District Steam",$B234="District Hot Water")),IF($B234="District Cooling",$V$255,$W$255),VLOOKUP($B234,PO_Enrgy_7_Table,MATCH($J$223,PO_Enrgy_7_Hdr,0),FALSE)/VLOOKUP($B234,PO_Enrgy_7_Table,MATCH($H$223,PO_Enrgy_7_Hdr,0),FALSE)),"")</f>
        <v/>
      </c>
      <c r="AD234" s="1079"/>
      <c r="AE234" s="1079"/>
      <c r="AF234" s="536"/>
      <c r="AG234" s="15"/>
      <c r="AH234" s="1080"/>
      <c r="AI234" s="1081"/>
      <c r="AJ234" s="1083"/>
      <c r="AK234" s="15"/>
      <c r="AL234" s="15"/>
      <c r="AM234" s="15"/>
      <c r="AN234" s="15"/>
      <c r="AO234" s="15"/>
      <c r="BC234" s="1906"/>
    </row>
    <row r="235" spans="1:55" ht="18" customHeight="1" x14ac:dyDescent="0.3">
      <c r="A235" s="1063" t="s">
        <v>1299</v>
      </c>
      <c r="B235" s="1082" t="str">
        <f>IFERROR(IF(ISBLANK(B19),"",B19),"")</f>
        <v>District Cooling</v>
      </c>
      <c r="C235" s="2688" t="str">
        <f>IFERROR(CONCATENATE("$ / ",VLOOKUP($B235,PO_Enrgy_1_Table,MATCH($C$16,PO_Enrgy_1_Hdr,0),FALSE)),"")</f>
        <v>$ / MWh</v>
      </c>
      <c r="D235" s="2689" t="e">
        <f>IF(C235="","",VLOOKUP(C235,ProjectEnergyTypeTable,3,FALSE))</f>
        <v>#NAME?</v>
      </c>
      <c r="E235" s="2830" t="str">
        <f t="shared" si="24"/>
        <v/>
      </c>
      <c r="F235" s="2831" t="str">
        <f t="shared" si="24"/>
        <v/>
      </c>
      <c r="G235" s="2831" t="str">
        <f t="shared" si="24"/>
        <v/>
      </c>
      <c r="H235" s="2830" t="str">
        <f t="shared" si="25"/>
        <v/>
      </c>
      <c r="I235" s="2831" t="str">
        <f t="shared" si="25"/>
        <v/>
      </c>
      <c r="J235" s="2831" t="str">
        <f t="shared" si="25"/>
        <v/>
      </c>
      <c r="K235" s="2692" t="str">
        <f>IFERROR(ABS(1-H235/E235),"")</f>
        <v/>
      </c>
      <c r="L235" s="2825"/>
      <c r="M235" s="2721"/>
      <c r="Q235" s="1296">
        <f>IFERROR(IF(ISBLANK($B235),"",VLOOKUP($B235,PO_Enrgy_1_Table,MATCH($K$16,PO_Enrgy_1_Hdr,0),FALSE)),"")</f>
        <v>0.99999999999999989</v>
      </c>
      <c r="R235" s="1296">
        <f>IFERROR(IF(ISBLANK($B235),"",VLOOKUP($B235,PO_Enrgy_1_Table,MATCH($M$16,PO_Enrgy_1_Hdr,0),FALSE)),"")</f>
        <v>0.99999999999999989</v>
      </c>
      <c r="T235" s="1296" t="str">
        <f>IFERROR(IF(AND(DESPath=3,OR($B235="District Cooling",$B235="District Steam",$B235="District Hot Water")),IF($B235="District Cooling",$V$251,$W$251),VLOOKUP($B235,PO_Enrgy_7_Table,MATCH($G$223,PO_Enrgy_7_Hdr,0),FALSE)/VLOOKUP($B235,PO_Enrgy_7_Table,MATCH($E$223,PO_Enrgy_7_Hdr,0),FALSE)),"")</f>
        <v/>
      </c>
      <c r="U235" s="1296" t="str">
        <f>IFERROR(IF(AND(DESPath=3,OR($B235="District Cooling",$B235="District Steam",$B235="District Hot Water")),IF($B235="District Cooling",$V$255,$W$255),VLOOKUP($B235,PO_Enrgy_7_Table,MATCH($J$223,PO_Enrgy_7_Hdr,0),FALSE)/VLOOKUP($B235,PO_Enrgy_7_Table,MATCH($H$223,PO_Enrgy_7_Hdr,0),FALSE)),"")</f>
        <v/>
      </c>
      <c r="AD235" s="1079"/>
      <c r="AE235" s="1079"/>
      <c r="AF235" s="536"/>
      <c r="AG235" s="15"/>
      <c r="AH235" s="1080"/>
      <c r="AI235" s="1081"/>
      <c r="AJ235" s="1083"/>
      <c r="AK235" s="15"/>
      <c r="AL235" s="15"/>
      <c r="AM235" s="15"/>
      <c r="AN235" s="15"/>
      <c r="AO235" s="15"/>
      <c r="BC235" s="1906"/>
    </row>
    <row r="236" spans="1:55" s="528" customFormat="1" ht="31.5" customHeight="1" x14ac:dyDescent="0.3">
      <c r="A236" s="1063" t="s">
        <v>1299</v>
      </c>
      <c r="B236" s="532"/>
      <c r="C236" s="532"/>
      <c r="D236" s="532"/>
      <c r="E236" s="533"/>
      <c r="F236" s="533"/>
      <c r="G236" s="577"/>
      <c r="H236" s="533"/>
      <c r="I236" s="533"/>
      <c r="J236" s="577"/>
      <c r="K236" s="729"/>
      <c r="L236" s="720"/>
      <c r="M236" s="720"/>
      <c r="N236" s="502"/>
      <c r="O236" s="502"/>
      <c r="P236" s="502"/>
      <c r="AD236" s="15"/>
      <c r="AE236" s="15"/>
      <c r="AF236" s="15"/>
      <c r="AG236" s="15"/>
      <c r="AH236" s="1080"/>
      <c r="AI236" s="1081"/>
      <c r="AJ236" s="15"/>
      <c r="AK236" s="15"/>
      <c r="AL236" s="15"/>
      <c r="AM236" s="15"/>
      <c r="AN236" s="15"/>
      <c r="AO236" s="15"/>
    </row>
    <row r="237" spans="1:55" ht="21" customHeight="1" x14ac:dyDescent="0.3">
      <c r="A237" s="1063" t="s">
        <v>1299</v>
      </c>
      <c r="B237" s="2694" t="s">
        <v>1270</v>
      </c>
      <c r="C237" s="2695"/>
      <c r="D237" s="2695"/>
      <c r="E237" s="2695"/>
      <c r="F237" s="2695"/>
      <c r="G237" s="2695"/>
      <c r="H237" s="2695"/>
      <c r="I237" s="2695"/>
      <c r="J237" s="2695"/>
      <c r="K237" s="2695"/>
      <c r="L237" s="2695"/>
      <c r="Z237" s="550"/>
      <c r="AA237" s="551"/>
      <c r="AD237" s="15"/>
      <c r="AE237" s="15"/>
      <c r="AF237" s="15"/>
      <c r="AG237" s="15"/>
      <c r="AH237" s="15"/>
      <c r="AI237" s="15"/>
      <c r="AJ237" s="15"/>
      <c r="AK237" s="15"/>
      <c r="AL237" s="15"/>
      <c r="AM237" s="15"/>
      <c r="AN237" s="15"/>
      <c r="AO237" s="15"/>
    </row>
    <row r="238" spans="1:55" ht="41.25" customHeight="1" x14ac:dyDescent="0.3">
      <c r="A238" s="1063" t="s">
        <v>1299</v>
      </c>
      <c r="B238" s="2698" t="s">
        <v>444</v>
      </c>
      <c r="C238" s="2402" t="s">
        <v>1805</v>
      </c>
      <c r="D238" s="2699"/>
      <c r="E238" s="2767" t="s">
        <v>1271</v>
      </c>
      <c r="F238" s="2767"/>
      <c r="G238" s="2767"/>
      <c r="H238" s="2722" t="s">
        <v>1172</v>
      </c>
      <c r="I238" s="2722"/>
      <c r="J238" s="2722"/>
      <c r="K238" s="2833" t="s">
        <v>448</v>
      </c>
      <c r="L238" s="2818"/>
      <c r="M238" s="2834"/>
      <c r="N238" s="2832"/>
      <c r="O238" s="2832"/>
      <c r="P238" s="2832"/>
      <c r="AD238" s="15"/>
      <c r="AE238" s="15"/>
      <c r="AF238" s="15"/>
      <c r="AG238" s="15"/>
      <c r="AH238" s="1080"/>
      <c r="AI238" s="1081"/>
      <c r="AJ238" s="15"/>
      <c r="AK238" s="15"/>
      <c r="AL238" s="15"/>
      <c r="AM238" s="15"/>
      <c r="AN238" s="15"/>
      <c r="AO238" s="15"/>
    </row>
    <row r="239" spans="1:55" ht="63" customHeight="1" x14ac:dyDescent="0.3">
      <c r="A239" s="1063" t="s">
        <v>1299</v>
      </c>
      <c r="B239" s="2699"/>
      <c r="C239" s="2699"/>
      <c r="D239" s="2699"/>
      <c r="E239" s="1048" t="s">
        <v>1117</v>
      </c>
      <c r="F239" s="1049" t="str">
        <f>"Source Energy Use 
("  &amp; PO_SourceUnits &amp; ")"</f>
        <v>Source Energy Use 
(MWh)</v>
      </c>
      <c r="G239" s="1048" t="s">
        <v>446</v>
      </c>
      <c r="H239" s="1048" t="s">
        <v>1117</v>
      </c>
      <c r="I239" s="1049" t="str">
        <f>"Source Energy Use 
("  &amp; PO_SourceUnits &amp; ")"</f>
        <v>Source Energy Use 
(MWh)</v>
      </c>
      <c r="J239" s="1048" t="s">
        <v>446</v>
      </c>
      <c r="K239" s="2833" t="s">
        <v>447</v>
      </c>
      <c r="L239" s="2834"/>
      <c r="M239" s="1048" t="s">
        <v>446</v>
      </c>
      <c r="N239" s="578"/>
      <c r="O239" s="578"/>
      <c r="P239" s="578"/>
      <c r="AD239" s="15"/>
      <c r="AE239" s="15"/>
      <c r="AF239" s="15"/>
      <c r="AG239" s="15"/>
      <c r="AH239" s="15"/>
      <c r="AI239" s="15"/>
      <c r="AJ239" s="15"/>
      <c r="AK239" s="15"/>
      <c r="AL239" s="15"/>
      <c r="AM239" s="15"/>
      <c r="AN239" s="15"/>
      <c r="AO239" s="15"/>
    </row>
    <row r="240" spans="1:55" s="1076" customFormat="1" ht="21.75" hidden="1" customHeight="1" x14ac:dyDescent="0.3">
      <c r="A240" s="1063" t="s">
        <v>1299</v>
      </c>
      <c r="B240" s="1092" t="s">
        <v>1765</v>
      </c>
      <c r="C240" s="1092" t="s">
        <v>1793</v>
      </c>
      <c r="D240" s="1092"/>
      <c r="E240" s="1100" t="s">
        <v>1821</v>
      </c>
      <c r="F240" s="1099" t="s">
        <v>1822</v>
      </c>
      <c r="G240" s="1100" t="s">
        <v>1823</v>
      </c>
      <c r="H240" s="1100" t="s">
        <v>1806</v>
      </c>
      <c r="I240" s="1099" t="s">
        <v>1807</v>
      </c>
      <c r="J240" s="1100" t="s">
        <v>1808</v>
      </c>
      <c r="K240" s="1093" t="s">
        <v>1809</v>
      </c>
      <c r="L240" s="1092"/>
      <c r="M240" s="1093" t="s">
        <v>1810</v>
      </c>
      <c r="N240" s="1075"/>
      <c r="Q240" s="1042" t="s">
        <v>1776</v>
      </c>
      <c r="R240" s="1042" t="s">
        <v>1777</v>
      </c>
      <c r="AD240" s="1077"/>
      <c r="AE240" s="1077"/>
      <c r="AF240" s="1077"/>
      <c r="AG240" s="1077"/>
      <c r="AH240" s="1077"/>
      <c r="AI240" s="1077"/>
      <c r="AJ240" s="1077"/>
      <c r="AK240" s="1077"/>
      <c r="AL240" s="1077"/>
      <c r="AM240" s="1077"/>
      <c r="AN240" s="1077"/>
      <c r="AO240" s="1077"/>
    </row>
    <row r="241" spans="1:55" ht="15" customHeight="1" x14ac:dyDescent="0.3">
      <c r="A241" s="1063" t="s">
        <v>1299</v>
      </c>
      <c r="B241" s="1082" t="str">
        <f>IFERROR(IF(ISBLANK(B17),"",B17),"")</f>
        <v>Electricity</v>
      </c>
      <c r="C241" s="2688" t="str">
        <f>IFERROR(IF(ISBLANK($B241),"",VLOOKUP($B241,PO_Enrgy_1_Table,MATCH($C$16,PO_Enrgy_1_Hdr,0),FALSE) ),"")</f>
        <v>kWh</v>
      </c>
      <c r="D241" s="2689" t="e">
        <f>IF(C241="","",VLOOKUP(C241,ProjectEnergyTypeTable,3,FALSE))</f>
        <v>#NAME?</v>
      </c>
      <c r="E241" s="1161">
        <f>IFERROR(VLOOKUP($B241,PO_Enrgy_7_Table,MATCH($E$223,PO_Enrgy_7_Hdr,0),FALSE)+IF(PO_ShowExCalc=TRUE,VLOOKUP($B241,PO_Enrgy_3_Table,MATCH($G$62,PO_Enrgy_3_Hdr,0),FALSE),0),0)</f>
        <v>0</v>
      </c>
      <c r="F241" s="1161">
        <f>IFERROR(VLOOKUP($B241,PO_Enrgy_7_Table,MATCH($F$223,PO_Enrgy_7_Hdr,0),FALSE)+IF(PO_ShowExCalc=TRUE,VLOOKUP($B241,PO_Enrgy_3_Table,MATCH($J$62,PO_Enrgy_3_Hdr,0),FALSE),0),0)</f>
        <v>0</v>
      </c>
      <c r="G241" s="1164">
        <f>IFERROR(VLOOKUP($B241,PO_Enrgy_7_Table,MATCH($G$223,PO_Enrgy_7_Hdr,0),FALSE)+IF(PO_ShowExCalc=TRUE,VLOOKUP($B241,PO_Enrgy_3_Table,MATCH($L$62,PO_Enrgy_3_Hdr,0),FALSE),0),0)</f>
        <v>0</v>
      </c>
      <c r="H241" s="1161">
        <f>IFERROR(VLOOKUP($B241,PO_Enrgy_7_Table,MATCH($H$223,PO_Enrgy_7_Hdr,0),FALSE)-IF(PO_ShowExCalc=TRUE,VLOOKUP($B241,PO_Enrgy_4_Table,MATCH($G$62,PO_Enrgy_3_Hdr,0),FALSE),0),0)</f>
        <v>0</v>
      </c>
      <c r="I241" s="1161">
        <f>IFERROR(VLOOKUP($B241,PO_Enrgy_7_Table,MATCH($I$223,PO_Enrgy_7_Hdr,0),FALSE)-IF(PO_ShowExCalc=TRUE,VLOOKUP($B241,PO_Enrgy_4_Table,MATCH($J$62,PO_Enrgy_3_Hdr,0),FALSE),0),0)</f>
        <v>0</v>
      </c>
      <c r="J241" s="1164">
        <f>IFERROR(VLOOKUP($B241,PO_Enrgy_7_Table,MATCH($J$223,PO_Enrgy_7_Hdr,0),FALSE)-IF(PO_ShowExCalc=TRUE,VLOOKUP($B241,PO_Enrgy_4_Table,MATCH($L$62,PO_Enrgy_3_Hdr,0),FALSE),0),0)</f>
        <v>0</v>
      </c>
      <c r="K241" s="2690" t="str">
        <f>IFERROR(1-H241/E241,"")</f>
        <v/>
      </c>
      <c r="L241" s="2691"/>
      <c r="M241" s="1163" t="str">
        <f>IFERROR(1-J241/G241,"")</f>
        <v/>
      </c>
      <c r="Q241" s="1296">
        <f>IFERROR(IF(ISBLANK($B241),"",VLOOKUP($B241,PO_Enrgy_1_Table,MATCH($K$16,PO_Enrgy_1_Hdr,0),FALSE)),"")</f>
        <v>9.999999999999998E-4</v>
      </c>
      <c r="R241" s="1296">
        <f>IFERROR(IF(ISBLANK($B241),"",VLOOKUP($B241,PO_Enrgy_1_Table,MATCH($M$16,PO_Enrgy_1_Hdr,0),FALSE)),"")</f>
        <v>3.1399999999999996E-3</v>
      </c>
      <c r="AD241" s="1079"/>
      <c r="AE241" s="1079"/>
      <c r="AF241" s="15"/>
      <c r="AG241" s="15"/>
      <c r="AH241" s="1084"/>
      <c r="AI241" s="1084"/>
      <c r="AJ241" s="1085"/>
      <c r="AK241" s="1085"/>
      <c r="AL241" s="15"/>
      <c r="AM241" s="1086"/>
      <c r="AN241" s="15"/>
      <c r="AO241" s="15"/>
      <c r="AP241" s="580"/>
      <c r="AQ241" s="580"/>
      <c r="BC241" s="1906"/>
    </row>
    <row r="242" spans="1:55" ht="15" customHeight="1" x14ac:dyDescent="0.3">
      <c r="A242" s="1063" t="s">
        <v>1299</v>
      </c>
      <c r="B242" s="1082" t="str">
        <f>IFERROR(IF(ISBLANK(B18),"",B18),"")</f>
        <v>Natural Gas</v>
      </c>
      <c r="C242" s="2688" t="str">
        <f>IFERROR(IF(ISBLANK($B242),"",VLOOKUP($B242,PO_Enrgy_1_Table,MATCH($C$16,PO_Enrgy_1_Hdr,0),FALSE) ),"")</f>
        <v>therm</v>
      </c>
      <c r="D242" s="2689" t="e">
        <f>IF(C242="","",VLOOKUP(C242,ProjectEnergyTypeTable,3,FALSE))</f>
        <v>#NAME?</v>
      </c>
      <c r="E242" s="1161">
        <f>IFERROR(VLOOKUP($B242,PO_Enrgy_7_Table,MATCH($E$223,PO_Enrgy_7_Hdr,0),FALSE)+IF(PO_ShowExCalc=TRUE,VLOOKUP($B242,PO_Enrgy_3_Table,MATCH($G$62,PO_Enrgy_3_Hdr,0),FALSE),0),0)</f>
        <v>0</v>
      </c>
      <c r="F242" s="1161">
        <f>IFERROR(VLOOKUP($B242,PO_Enrgy_7_Table,MATCH($F$223,PO_Enrgy_7_Hdr,0),FALSE)+IF(PO_ShowExCalc=TRUE,VLOOKUP($B242,PO_Enrgy_3_Table,MATCH($J$62,PO_Enrgy_3_Hdr,0),FALSE),0),0)</f>
        <v>0</v>
      </c>
      <c r="G242" s="1164">
        <f>IFERROR(VLOOKUP($B242,PO_Enrgy_7_Table,MATCH($G$223,PO_Enrgy_7_Hdr,0),FALSE)+IF(PO_ShowExCalc=TRUE,VLOOKUP($B242,PO_Enrgy_3_Table,MATCH($L$62,PO_Enrgy_3_Hdr,0),FALSE),0),0)</f>
        <v>0</v>
      </c>
      <c r="H242" s="1161">
        <f>IFERROR(VLOOKUP($B242,PO_Enrgy_7_Table,MATCH($H$223,PO_Enrgy_7_Hdr,0),FALSE)-IF(PO_ShowExCalc=TRUE,VLOOKUP($B242,PO_Enrgy_4_Table,MATCH($G$62,PO_Enrgy_3_Hdr,0),FALSE),0),0)</f>
        <v>0</v>
      </c>
      <c r="I242" s="1161">
        <f>IFERROR(VLOOKUP($B242,PO_Enrgy_7_Table,MATCH($I$223,PO_Enrgy_7_Hdr,0),FALSE)-IF(PO_ShowExCalc=TRUE,VLOOKUP($B242,PO_Enrgy_4_Table,MATCH($J$62,PO_Enrgy_3_Hdr,0),FALSE),0),0)</f>
        <v>0</v>
      </c>
      <c r="J242" s="1164">
        <f>IFERROR(VLOOKUP($B242,PO_Enrgy_7_Table,MATCH($J$223,PO_Enrgy_7_Hdr,0),FALSE)-IF(PO_ShowExCalc=TRUE,VLOOKUP($B242,PO_Enrgy_4_Table,MATCH($L$62,PO_Enrgy_3_Hdr,0),FALSE),0),0)</f>
        <v>0</v>
      </c>
      <c r="K242" s="2690" t="str">
        <f>IFERROR(1-H242/E242,"")</f>
        <v/>
      </c>
      <c r="L242" s="2691"/>
      <c r="M242" s="1163" t="str">
        <f>IFERROR(1-J242/G242,"")</f>
        <v/>
      </c>
      <c r="Q242" s="1296">
        <f>IFERROR(IF(ISBLANK($B242),"",VLOOKUP($B242,PO_Enrgy_1_Table,MATCH($K$16,PO_Enrgy_1_Hdr,0),FALSE)),"")</f>
        <v>2.9308323563892142E-2</v>
      </c>
      <c r="R242" s="1296">
        <f>IFERROR(IF(ISBLANK($B242),"",VLOOKUP($B242,PO_Enrgy_1_Table,MATCH($M$16,PO_Enrgy_1_Hdr,0),FALSE)),"")</f>
        <v>3.0773739742086751E-2</v>
      </c>
      <c r="AD242" s="1079"/>
      <c r="AE242" s="1079"/>
      <c r="AF242" s="15"/>
      <c r="AG242" s="15"/>
      <c r="AH242" s="1084"/>
      <c r="AI242" s="1084"/>
      <c r="AJ242" s="1085"/>
      <c r="AK242" s="1085"/>
      <c r="AL242" s="15"/>
      <c r="AM242" s="1086"/>
      <c r="AN242" s="15"/>
      <c r="AO242" s="15"/>
      <c r="AP242" s="580"/>
      <c r="AQ242" s="580"/>
      <c r="BC242" s="1906"/>
    </row>
    <row r="243" spans="1:55" ht="15" customHeight="1" x14ac:dyDescent="0.3">
      <c r="A243" s="1063" t="s">
        <v>1299</v>
      </c>
      <c r="B243" s="1082" t="str">
        <f>IFERROR(IF(ISBLANK(B19),"",B19),"")</f>
        <v>District Cooling</v>
      </c>
      <c r="C243" s="2688" t="str">
        <f>IFERROR(IF(ISBLANK($B243),"",VLOOKUP($B243,PO_Enrgy_1_Table,MATCH($C$16,PO_Enrgy_1_Hdr,0),FALSE) ),"")</f>
        <v>MWh</v>
      </c>
      <c r="D243" s="2689" t="e">
        <f>IF(C243="","",VLOOKUP(C243,ProjectEnergyTypeTable,3,FALSE))</f>
        <v>#NAME?</v>
      </c>
      <c r="E243" s="1161">
        <f>IFERROR(VLOOKUP($B243,PO_Enrgy_7_Table,MATCH($E$223,PO_Enrgy_7_Hdr,0),FALSE)+IF(PO_ShowExCalc=TRUE,VLOOKUP($B243,PO_Enrgy_3_Table,MATCH($G$62,PO_Enrgy_3_Hdr,0),FALSE),0),0)</f>
        <v>0</v>
      </c>
      <c r="F243" s="1161">
        <f>IFERROR(VLOOKUP($B243,PO_Enrgy_7_Table,MATCH($F$223,PO_Enrgy_7_Hdr,0),FALSE)+IF(PO_ShowExCalc=TRUE,VLOOKUP($B243,PO_Enrgy_3_Table,MATCH($J$62,PO_Enrgy_3_Hdr,0),FALSE),0),0)</f>
        <v>0</v>
      </c>
      <c r="G243" s="1164">
        <f>IFERROR(VLOOKUP($B243,PO_Enrgy_7_Table,MATCH($G$223,PO_Enrgy_7_Hdr,0),FALSE)+IF(PO_ShowExCalc=TRUE,VLOOKUP($B243,PO_Enrgy_3_Table,MATCH($L$62,PO_Enrgy_3_Hdr,0),FALSE),0),0)</f>
        <v>0</v>
      </c>
      <c r="H243" s="1161">
        <f>IFERROR(VLOOKUP($B243,PO_Enrgy_7_Table,MATCH($H$223,PO_Enrgy_7_Hdr,0),FALSE)-IF(PO_ShowExCalc=TRUE,VLOOKUP($B243,PO_Enrgy_4_Table,MATCH($G$62,PO_Enrgy_3_Hdr,0),FALSE),0),0)</f>
        <v>0</v>
      </c>
      <c r="I243" s="1161">
        <f>IFERROR(VLOOKUP($B243,PO_Enrgy_7_Table,MATCH($I$223,PO_Enrgy_7_Hdr,0),FALSE)-IF(PO_ShowExCalc=TRUE,VLOOKUP($B243,PO_Enrgy_4_Table,MATCH($J$62,PO_Enrgy_3_Hdr,0),FALSE),0),0)</f>
        <v>0</v>
      </c>
      <c r="J243" s="1164">
        <f>IFERROR(VLOOKUP($B243,PO_Enrgy_7_Table,MATCH($J$223,PO_Enrgy_7_Hdr,0),FALSE)-IF(PO_ShowExCalc=TRUE,VLOOKUP($B243,PO_Enrgy_4_Table,MATCH($L$62,PO_Enrgy_3_Hdr,0),FALSE),0),0)</f>
        <v>0</v>
      </c>
      <c r="K243" s="2690" t="str">
        <f>IFERROR(1-H243/E243,"")</f>
        <v/>
      </c>
      <c r="L243" s="2691"/>
      <c r="M243" s="1163" t="str">
        <f>IFERROR(1-J243/G243,"")</f>
        <v/>
      </c>
      <c r="Q243" s="1296">
        <f>IFERROR(IF(ISBLANK($B243),"",VLOOKUP($B243,PO_Enrgy_1_Table,MATCH($K$16,PO_Enrgy_1_Hdr,0),FALSE)),"")</f>
        <v>0.99999999999999989</v>
      </c>
      <c r="R243" s="1296">
        <f>IFERROR(IF(ISBLANK($B243),"",VLOOKUP($B243,PO_Enrgy_1_Table,MATCH($M$16,PO_Enrgy_1_Hdr,0),FALSE)),"")</f>
        <v>0.99999999999999989</v>
      </c>
      <c r="AD243" s="1079"/>
      <c r="AE243" s="1079"/>
      <c r="AF243" s="15"/>
      <c r="AG243" s="15"/>
      <c r="AH243" s="1084"/>
      <c r="AI243" s="1084"/>
      <c r="AJ243" s="1085"/>
      <c r="AK243" s="1085"/>
      <c r="AL243" s="15"/>
      <c r="AM243" s="1086"/>
      <c r="AN243" s="15"/>
      <c r="AO243" s="15"/>
      <c r="AP243" s="580"/>
      <c r="AQ243" s="580"/>
      <c r="BC243" s="1906"/>
    </row>
    <row r="244" spans="1:55" s="528" customFormat="1" ht="21" customHeight="1" x14ac:dyDescent="0.3">
      <c r="A244" s="1063" t="s">
        <v>1299</v>
      </c>
      <c r="B244" s="2693" t="str">
        <f>"Energy model subtotal (" &amp; PO_SiteUnits &amp; ")"</f>
        <v>Energy model subtotal (MWh)</v>
      </c>
      <c r="C244" s="2693"/>
      <c r="D244" s="2693"/>
      <c r="E244" s="1161">
        <f>IFERROR(SUMPRODUCT(INDEX(PO_Enrgy_9_Table,0,MATCH(E$240,PO_Enrgy_9_Hdr,0)),INDEX(PO_Enrgy_9_Table,0,MATCH($Q$240,PO_Enrgy_9_Hdr,0))),"")</f>
        <v>0</v>
      </c>
      <c r="F244" s="1161">
        <f>IFERROR(SUM(INDEX(PO_Enrgy_9_Table,0,MATCH(F$240,PO_Enrgy_9_Hdr,0))),"")</f>
        <v>0</v>
      </c>
      <c r="G244" s="1164">
        <f>IFERROR(SUM(INDEX(PO_Enrgy_9_Table,0,MATCH(G$240,PO_Enrgy_9_Hdr,0))),"")</f>
        <v>0</v>
      </c>
      <c r="H244" s="1161">
        <f>IFERROR(SUMPRODUCT(INDEX(PO_Enrgy_9_Table,0,MATCH(H$240,PO_Enrgy_9_Hdr,0)),INDEX(PO_Enrgy_9_Table,0,MATCH($Q$240,PO_Enrgy_9_Hdr,0))),"")</f>
        <v>0</v>
      </c>
      <c r="I244" s="1161">
        <f>IFERROR(SUM(INDEX(PO_Enrgy_9_Table,0,MATCH(I$240,PO_Enrgy_9_Hdr,0))),"")</f>
        <v>0</v>
      </c>
      <c r="J244" s="1164">
        <f>IFERROR(SUM(INDEX(PO_Enrgy_9_Table,0,MATCH(J$240,PO_Enrgy_9_Hdr,0))),"")</f>
        <v>0</v>
      </c>
      <c r="K244" s="2690" t="str">
        <f>IFERROR(1-H244/E244,"")</f>
        <v/>
      </c>
      <c r="L244" s="2691"/>
      <c r="M244" s="1163" t="str">
        <f>IFERROR(1-J244/G244,"")</f>
        <v/>
      </c>
      <c r="N244" s="502"/>
      <c r="O244" s="502"/>
      <c r="P244" s="502"/>
      <c r="AD244" s="15"/>
      <c r="AE244" s="15"/>
      <c r="AF244" s="15"/>
      <c r="AG244" s="15"/>
      <c r="AH244" s="1080"/>
      <c r="AI244" s="1081"/>
      <c r="AJ244" s="15"/>
      <c r="AK244" s="15"/>
      <c r="AL244" s="15"/>
      <c r="AM244" s="15"/>
      <c r="AN244" s="15"/>
      <c r="AO244" s="15"/>
      <c r="BC244" s="1906"/>
    </row>
    <row r="245" spans="1:55" s="528" customFormat="1" ht="33" customHeight="1" x14ac:dyDescent="0.3">
      <c r="A245" s="1063" t="s">
        <v>1299</v>
      </c>
      <c r="B245" s="1087"/>
      <c r="C245" s="1087"/>
      <c r="D245" s="1087"/>
      <c r="E245" s="1088"/>
      <c r="F245" s="1088"/>
      <c r="G245" s="1089"/>
      <c r="H245" s="1088"/>
      <c r="I245" s="1088"/>
      <c r="J245" s="1089"/>
      <c r="K245" s="1090"/>
      <c r="L245" s="1090"/>
      <c r="M245" s="1090"/>
      <c r="N245" s="502"/>
      <c r="O245" s="502"/>
      <c r="P245" s="502"/>
      <c r="AH245" s="550"/>
      <c r="AI245" s="551"/>
    </row>
    <row r="246" spans="1:55" ht="21" hidden="1" customHeight="1" x14ac:dyDescent="0.3">
      <c r="A246" s="1063" t="s">
        <v>1299</v>
      </c>
      <c r="B246" s="2694" t="s">
        <v>1122</v>
      </c>
      <c r="C246" s="2695"/>
      <c r="D246" s="2695"/>
      <c r="E246" s="2695"/>
      <c r="F246" s="2695"/>
      <c r="G246" s="2695"/>
      <c r="H246" s="2695"/>
      <c r="I246" s="2695"/>
      <c r="J246" s="2695"/>
      <c r="K246" s="2695"/>
      <c r="L246" s="2695"/>
      <c r="X246" s="15"/>
      <c r="Z246" s="550"/>
      <c r="AA246" s="551"/>
    </row>
    <row r="247" spans="1:55" ht="116.25" hidden="1" customHeight="1" x14ac:dyDescent="0.3">
      <c r="A247" s="1063" t="s">
        <v>1299</v>
      </c>
      <c r="B247" s="2696" t="s">
        <v>1195</v>
      </c>
      <c r="C247" s="2696"/>
      <c r="D247" s="2696"/>
      <c r="E247" s="2696"/>
      <c r="F247" s="2696"/>
      <c r="G247" s="2696"/>
      <c r="H247" s="2696"/>
      <c r="I247" s="2696"/>
      <c r="J247" s="2696"/>
      <c r="K247" s="2697"/>
      <c r="L247" s="2697"/>
      <c r="M247" s="2697"/>
      <c r="X247" s="15"/>
      <c r="Z247" s="550"/>
      <c r="AA247" s="551"/>
    </row>
    <row r="248" spans="1:55" ht="21" hidden="1" customHeight="1" x14ac:dyDescent="0.3">
      <c r="A248" s="1063" t="s">
        <v>1299</v>
      </c>
      <c r="B248" s="2698" t="s">
        <v>1814</v>
      </c>
      <c r="C248" s="2402" t="s">
        <v>1805</v>
      </c>
      <c r="D248" s="2699"/>
      <c r="E248" s="2700" t="s">
        <v>453</v>
      </c>
      <c r="F248" s="2698"/>
      <c r="G248" s="2698"/>
      <c r="H248" s="2700" t="s">
        <v>159</v>
      </c>
      <c r="I248" s="2698"/>
      <c r="J248" s="2698"/>
      <c r="K248" s="2701"/>
      <c r="L248" s="2702"/>
      <c r="M248" s="960"/>
      <c r="O248" s="580"/>
      <c r="AF248" s="15"/>
    </row>
    <row r="249" spans="1:55" ht="39.6" hidden="1" x14ac:dyDescent="0.3">
      <c r="A249" s="1063" t="s">
        <v>1299</v>
      </c>
      <c r="B249" s="2699"/>
      <c r="C249" s="2699"/>
      <c r="D249" s="2699"/>
      <c r="E249" s="1115" t="s">
        <v>1300</v>
      </c>
      <c r="F249" s="966" t="s">
        <v>1301</v>
      </c>
      <c r="G249" s="966" t="s">
        <v>446</v>
      </c>
      <c r="H249" s="1115" t="s">
        <v>1300</v>
      </c>
      <c r="I249" s="966" t="s">
        <v>1117</v>
      </c>
      <c r="J249" s="966" t="s">
        <v>446</v>
      </c>
      <c r="K249" s="578"/>
      <c r="L249" s="578"/>
      <c r="M249" s="960"/>
      <c r="AH249" s="15"/>
      <c r="AI249" s="15"/>
      <c r="AJ249" s="15"/>
      <c r="AK249" s="15"/>
    </row>
    <row r="250" spans="1:55" s="1076" customFormat="1" ht="15" hidden="1" customHeight="1" x14ac:dyDescent="0.3">
      <c r="A250" s="1063" t="s">
        <v>1299</v>
      </c>
      <c r="B250" s="1091" t="s">
        <v>1765</v>
      </c>
      <c r="C250" s="1091" t="s">
        <v>1793</v>
      </c>
      <c r="D250" s="1091"/>
      <c r="E250" s="1092" t="s">
        <v>1815</v>
      </c>
      <c r="F250" s="1093" t="s">
        <v>1816</v>
      </c>
      <c r="G250" s="1093" t="s">
        <v>1817</v>
      </c>
      <c r="H250" s="1092" t="s">
        <v>1818</v>
      </c>
      <c r="I250" s="1093" t="s">
        <v>1819</v>
      </c>
      <c r="J250" s="1093" t="s">
        <v>1820</v>
      </c>
      <c r="K250" s="1094"/>
      <c r="L250" s="1094"/>
      <c r="U250" s="502" t="s">
        <v>1200</v>
      </c>
      <c r="V250" s="1095" t="s">
        <v>1202</v>
      </c>
      <c r="W250" s="1095" t="s">
        <v>1203</v>
      </c>
      <c r="AJ250" s="1077"/>
      <c r="AK250" s="1077"/>
    </row>
    <row r="251" spans="1:55" ht="17.25" hidden="1" customHeight="1" x14ac:dyDescent="0.3">
      <c r="A251" s="1063" t="s">
        <v>1299</v>
      </c>
      <c r="B251" s="2870" t="s">
        <v>347</v>
      </c>
      <c r="C251" s="2870"/>
      <c r="D251" s="2870"/>
      <c r="E251" s="1169"/>
      <c r="F251" s="1169"/>
      <c r="G251" s="1170"/>
      <c r="H251" s="1169"/>
      <c r="I251" s="1169"/>
      <c r="J251" s="1170"/>
      <c r="K251" s="720"/>
      <c r="L251" s="720"/>
      <c r="Q251" s="1042" t="s">
        <v>1776</v>
      </c>
      <c r="R251" s="1042" t="s">
        <v>1777</v>
      </c>
      <c r="V251" s="1096" t="str">
        <f>IFERROR(V253+V252,"")</f>
        <v/>
      </c>
      <c r="W251" s="1096" t="str">
        <f>IFERROR(W253+W252,"")</f>
        <v/>
      </c>
      <c r="AH251" s="15"/>
      <c r="AI251" s="15"/>
      <c r="AJ251" s="15"/>
      <c r="AK251" s="15"/>
      <c r="AL251" s="553"/>
      <c r="AM251" s="554"/>
    </row>
    <row r="252" spans="1:55" ht="18" hidden="1" customHeight="1" x14ac:dyDescent="0.3">
      <c r="A252" s="1063" t="s">
        <v>1299</v>
      </c>
      <c r="B252" s="1198" t="str">
        <f>IFERROR(IF(DESPath=3,"Electricity",""),"")</f>
        <v/>
      </c>
      <c r="C252" s="2688" t="str">
        <f>IFERROR(IF(ISBLANK($B252),"",VLOOKUP($B252,PO_Enrgy_1_Table,MATCH($C$16,PO_Enrgy_1_Hdr,0),FALSE) ),"")</f>
        <v/>
      </c>
      <c r="D252" s="2689" t="str">
        <f>IF(C252="","",VLOOKUP(C252,ProjectEnergyTypeTable,3,FALSE))</f>
        <v/>
      </c>
      <c r="E252" s="1171">
        <f>IFERROR(IF(AND(DESPath=3,DistrictCooling,$B$252="Electricity"),DESPath3_Cooling_COP,0),0)</f>
        <v>0</v>
      </c>
      <c r="F252" s="1172">
        <f>IFERROR(IF(DESPath=3,VLOOKUP("District Cooling",PO_Enrgy_9_Table,MATCH($E$240,PO_Enrgy_9_Hdr,0),FALSE)/$E252*VLOOKUP(VLOOKUP("District Cooling",PO_Enrgy_9_Table,MATCH($C$240,PO_Enrgy_9_Hdr,0),FALSE),EnergyUnitsTable,3,FALSE)/VLOOKUP($C252,EnergyUnitsTable,3,FALSE),0),0)</f>
        <v>0</v>
      </c>
      <c r="G252" s="1164">
        <f>IFERROR(F252*VLOOKUP($B252,PO_Enrgy_8_Table,MATCH($E$232,PO_Enrgy_8_Hdr,0),FALSE),0)</f>
        <v>0</v>
      </c>
      <c r="H252" s="1172">
        <f>IFERROR(IF(AND(DESPath=3,DistrictHeating,$B$252="Electricity"),DESPath3_Heating_eCOP,0),0)</f>
        <v>0</v>
      </c>
      <c r="I252" s="1172">
        <f>IF(DESPath = 3,IFERROR(VLOOKUP("District Hot Water",PO_Enrgy_9_Table,MATCH($E$240,PO_Enrgy_9_Hdr,0),FALSE)/$H252*VLOOKUP(VLOOKUP("District Hot Water",PO_Enrgy_9_Table,MATCH($C$240,PO_Enrgy_9_Hdr,0),FALSE),EnergyUnitsTable,3,FALSE)/VLOOKUP($C252,EnergyUnitsTable,3,FALSE),0)+IFERROR(VLOOKUP("District Steam",PO_Enrgy_9_Table,MATCH($E$240,PO_Enrgy_9_Hdr,0),FALSE)/$H252*VLOOKUP(VLOOKUP("District Steam",PO_Enrgy_9_Table,MATCH($C$240,PO_Enrgy_9_Hdr,0),FALSE),EnergyUnitsTable,3,FALSE)/VLOOKUP($C252,EnergyUnitsTable,3,FALSE),0),0)</f>
        <v>0</v>
      </c>
      <c r="J252" s="1164">
        <f>IFERROR(I252*VLOOKUP($B252,PO_Enrgy_8_Table,MATCH($E$232,PO_Enrgy_8_Hdr,0),FALSE),0)</f>
        <v>0</v>
      </c>
      <c r="K252" s="720"/>
      <c r="L252" s="720"/>
      <c r="M252" s="720"/>
      <c r="Q252" s="1043" t="str">
        <f>IFERROR(IF(ISBLANK($B252),"",VLOOKUP($B252,PO_Enrgy_1_Table,MATCH($K$16,PO_Enrgy_1_Hdr,0),FALSE)),"")</f>
        <v/>
      </c>
      <c r="R252" s="1043" t="str">
        <f>IFERROR(IF(ISBLANK($B252),"",VLOOKUP($B252,PO_Enrgy_1_Table,MATCH($M$16,PO_Enrgy_1_Hdr,0),FALSE)),"")</f>
        <v/>
      </c>
      <c r="U252" s="502" t="s">
        <v>1198</v>
      </c>
      <c r="V252" s="1097" t="str">
        <f>IFERROR(VLOOKUP($B252,PO_Enrgy_8_Table,MATCH($E$232,PO_Enrgy_8_Hdr,0),FALSE)/$E$252*VLOOKUP(VLOOKUP("District Cooling",PO_Enrgy_9_Table,MATCH($C$240,PO_Enrgy_9_Hdr,0),FALSE),EnergyUnitsTable,3,FALSE)/VLOOKUP($C252,EnergyUnitsTable,3,FALSE),"")</f>
        <v/>
      </c>
      <c r="W252" s="1097" t="str">
        <f>IFERROR(VLOOKUP($B252,PO_Enrgy_8_Table,MATCH($E$232,PO_Enrgy_8_Hdr,0),FALSE)/$H$252*(IFERROR(VLOOKUP(VLOOKUP("District Hot Water",PO_Enrgy_9_Table,MATCH($C$240,PO_Enrgy_9_Hdr,0),FALSE),EnergyUnitsTable,3,FALSE),1)+IFERROR(VLOOKUP(VLOOKUP("District Steam",PO_Enrgy_9_Table,MATCH($C$240,PO_Enrgy_9_Hdr,0),FALSE),EnergyUnitsTable,3,FALSE),1))/VLOOKUP($C252,EnergyUnitsTable,3,FALSE),"")</f>
        <v/>
      </c>
      <c r="AH252" s="1079"/>
      <c r="AI252" s="1079"/>
      <c r="AJ252" s="536"/>
      <c r="AK252" s="15"/>
      <c r="AL252" s="553"/>
      <c r="AM252" s="554"/>
      <c r="BC252" s="1906"/>
    </row>
    <row r="253" spans="1:55" ht="18" hidden="1" customHeight="1" x14ac:dyDescent="0.3">
      <c r="A253" s="1063" t="s">
        <v>1299</v>
      </c>
      <c r="B253" s="1120" t="str">
        <f>IFERROR(IF(DESPath=3,IF(MATCH("Natural Gas",PO_Enrgy_1_Index,0)&gt;0,"Natural Gas",IF(MATCH("Fuel Oil / Diesel",PO_Enrgy_1_Table,0)&gt;1,"Fuel Oil / Diesel","")),""),"")</f>
        <v/>
      </c>
      <c r="C253" s="2688" t="str">
        <f>IFERROR(IF(ISBLANK($B253),"",VLOOKUP($B253,PO_Enrgy_1_Table,MATCH($C$16,PO_Enrgy_1_Hdr,0),FALSE) ),"")</f>
        <v/>
      </c>
      <c r="D253" s="2689" t="str">
        <f>IF(C253="","",VLOOKUP(C253,ProjectEnergyTypeTable,3,FALSE))</f>
        <v/>
      </c>
      <c r="E253" s="1173"/>
      <c r="F253" s="1173"/>
      <c r="G253" s="1174"/>
      <c r="H253" s="1172">
        <f>IFERROR(IF(AND(DESPath=3,DistrictHeating,$B$252="Electricity"),DESPath3_Heating_fCOP,0),0)</f>
        <v>0</v>
      </c>
      <c r="I253" s="1172">
        <f>IF(DESPath = 3,IFERROR(VLOOKUP("District Hot Water",PO_Enrgy_9_Table,MATCH($E$240,PO_Enrgy_9_Hdr,0),FALSE)/$H253*VLOOKUP(VLOOKUP("District Hot Water",PO_Enrgy_9_Table,MATCH($C$240,PO_Enrgy_9_Hdr,0),FALSE),EnergyUnitsTable,3,FALSE)/VLOOKUP($C253,EnergyUnitsTable,3,FALSE),0)+IFERROR(VLOOKUP("District Steam",PO_Enrgy_9_Table,MATCH($E$240,PO_Enrgy_9_Hdr,0),FALSE)/$H253*VLOOKUP(VLOOKUP("District Steam",PO_Enrgy_9_Table,MATCH($C$240,PO_Enrgy_9_Hdr,0),FALSE),EnergyUnitsTable,3,FALSE)/VLOOKUP($C253,EnergyUnitsTable,3,FALSE),0),0)</f>
        <v>0</v>
      </c>
      <c r="J253" s="1164">
        <f>IFERROR(I253*VLOOKUP($B253,PO_Enrgy_8_Table,MATCH($E$232,PO_Enrgy_8_Hdr,0),FALSE),0)</f>
        <v>0</v>
      </c>
      <c r="K253" s="720"/>
      <c r="L253" s="720"/>
      <c r="M253" s="720"/>
      <c r="Q253" s="1043" t="str">
        <f>IFERROR(IF(ISBLANK($B253),"",VLOOKUP($B253,PO_Enrgy_1_Table,MATCH($K$16,PO_Enrgy_1_Hdr,0),FALSE)),"")</f>
        <v/>
      </c>
      <c r="R253" s="1043" t="str">
        <f>IFERROR(IF(ISBLANK($B253),"",VLOOKUP($B253,PO_Enrgy_1_Table,MATCH($M$16,PO_Enrgy_1_Hdr,0),FALSE)),"")</f>
        <v/>
      </c>
      <c r="U253" s="502" t="s">
        <v>1199</v>
      </c>
      <c r="V253" s="1097" t="str">
        <f>IFERROR(VLOOKUP($B253,PO_Enrgy_8_Table,MATCH($E$232,PO_Enrgy_8_Hdr,0),FALSE)/$E$252*VLOOKUP(VLOOKUP("District Cooling",PO_Enrgy_9_Table,MATCH($C$240,PO_Enrgy_9_Hdr,0),FALSE),EnergyUnitsTable,3,FALSE)/VLOOKUP($C253,EnergyUnitsTable,3,FALSE),"")</f>
        <v/>
      </c>
      <c r="W253" s="1097" t="str">
        <f>IFERROR(VLOOKUP($B253,PO_Enrgy_8_Table,MATCH($E$232,PO_Enrgy_8_Hdr,0),FALSE)/$H$252*(IFERROR(VLOOKUP(VLOOKUP("District Hot Water",PO_Enrgy_9_Table,MATCH($C$240,PO_Enrgy_9_Hdr,0),FALSE),EnergyUnitsTable,3,FALSE),1)+IFERROR(VLOOKUP(VLOOKUP("District Steam",PO_Enrgy_9_Table,MATCH($C$240,PO_Enrgy_9_Hdr,0),FALSE),EnergyUnitsTable,3,FALSE),1))/VLOOKUP($C253,EnergyUnitsTable,3,FALSE),"")</f>
        <v/>
      </c>
      <c r="AH253" s="1079"/>
      <c r="AI253" s="1079"/>
      <c r="AJ253" s="536"/>
      <c r="AK253" s="15"/>
      <c r="AL253" s="553"/>
      <c r="AM253" s="554"/>
      <c r="BC253" s="1906"/>
    </row>
    <row r="254" spans="1:55" s="1076" customFormat="1" ht="15" hidden="1" customHeight="1" x14ac:dyDescent="0.3">
      <c r="A254" s="1063" t="s">
        <v>1299</v>
      </c>
      <c r="B254" s="1091" t="s">
        <v>1765</v>
      </c>
      <c r="C254" s="1091" t="s">
        <v>1793</v>
      </c>
      <c r="D254" s="1091"/>
      <c r="E254" s="1092" t="s">
        <v>1815</v>
      </c>
      <c r="F254" s="1093" t="s">
        <v>1816</v>
      </c>
      <c r="G254" s="1093" t="s">
        <v>1817</v>
      </c>
      <c r="H254" s="1092" t="s">
        <v>1818</v>
      </c>
      <c r="I254" s="1093" t="s">
        <v>1819</v>
      </c>
      <c r="J254" s="1093" t="s">
        <v>1820</v>
      </c>
      <c r="K254" s="1094"/>
      <c r="L254" s="1094"/>
      <c r="Q254" s="1042" t="s">
        <v>1776</v>
      </c>
      <c r="R254" s="1042" t="s">
        <v>1777</v>
      </c>
      <c r="V254" s="1095" t="s">
        <v>1202</v>
      </c>
      <c r="W254" s="1095" t="s">
        <v>1203</v>
      </c>
      <c r="AH254" s="1077"/>
      <c r="AI254" s="1077"/>
      <c r="AJ254" s="1077"/>
      <c r="AK254" s="1077"/>
    </row>
    <row r="255" spans="1:55" ht="17.25" hidden="1" customHeight="1" x14ac:dyDescent="0.3">
      <c r="A255" s="1063" t="s">
        <v>1299</v>
      </c>
      <c r="B255" s="2870" t="s">
        <v>348</v>
      </c>
      <c r="C255" s="2870"/>
      <c r="D255" s="2870"/>
      <c r="E255" s="1175"/>
      <c r="F255" s="1175"/>
      <c r="G255" s="1176"/>
      <c r="H255" s="1175"/>
      <c r="I255" s="1175"/>
      <c r="J255" s="1176"/>
      <c r="K255" s="720"/>
      <c r="L255" s="720"/>
      <c r="U255" s="502" t="s">
        <v>1201</v>
      </c>
      <c r="V255" s="1096" t="str">
        <f>IFERROR(V256+V257,"")</f>
        <v/>
      </c>
      <c r="W255" s="1096" t="str">
        <f>IFERROR(W256+W257,"")</f>
        <v/>
      </c>
      <c r="AI255" s="15"/>
      <c r="AJ255" s="15"/>
      <c r="AK255" s="15"/>
      <c r="AL255" s="553"/>
      <c r="AM255" s="554"/>
    </row>
    <row r="256" spans="1:55" ht="18" hidden="1" customHeight="1" x14ac:dyDescent="0.3">
      <c r="A256" s="1063" t="s">
        <v>1299</v>
      </c>
      <c r="B256" s="1177" t="str">
        <f>IFERROR(IF(ISBLANK(B17),"",B17),"")</f>
        <v>Electricity</v>
      </c>
      <c r="C256" s="2688" t="str">
        <f>IFERROR(IF(ISBLANK($B256),"",VLOOKUP($B256,PO_Enrgy_1_Table,MATCH($C$16,PO_Enrgy_1_Hdr,0),FALSE) ),"")</f>
        <v>kWh</v>
      </c>
      <c r="D256" s="2689" t="e">
        <f>IF(C256="","",VLOOKUP(C256,ProjectEnergyTypeTable,3,FALSE))</f>
        <v>#NAME?</v>
      </c>
      <c r="E256" s="1867"/>
      <c r="F256" s="1172">
        <f>IFERROR(IF(DESPath=3,VLOOKUP("District Cooling",PO_Enrgy_9_Table,MATCH($H$240,PO_Enrgy_9_Hdr,0),FALSE)/$E256*VLOOKUP(VLOOKUP("District Cooling",PO_Enrgy_9_Table,MATCH($C$240,PO_Enrgy_9_Hdr,0),FALSE),EnergyUnitsTable,3,FALSE)/VLOOKUP($C256,EnergyUnitsTable,3,FALSE),0),0)</f>
        <v>0</v>
      </c>
      <c r="G256" s="1164">
        <f>IFERROR(F256*VLOOKUP($B256,PO_Enrgy_8_Table,MATCH($H$232,PO_Enrgy_8_Hdr,0),FALSE),0)</f>
        <v>0</v>
      </c>
      <c r="H256" s="1868"/>
      <c r="I256" s="1172">
        <f>IF(DESPath = 3,IFERROR(VLOOKUP("District Hot Water",PO_Enrgy_9_Table,MATCH($H$240,PO_Enrgy_9_Hdr,0),FALSE)/$H256*VLOOKUP(VLOOKUP("District Hot Water",PO_Enrgy_9_Table,MATCH($C$240,PO_Enrgy_9_Hdr,0),FALSE),EnergyUnitsTable,3,FALSE)/VLOOKUP($C256,EnergyUnitsTable,3,FALSE),0)+IFERROR(VLOOKUP("District Steam",PO_Enrgy_9_Table,MATCH($H$240,PO_Enrgy_9_Hdr,0),FALSE)/$H256*VLOOKUP(VLOOKUP("District Steam",PO_Enrgy_9_Table,MATCH($C$240,PO_Enrgy_9_Hdr,0),FALSE),EnergyUnitsTable,3,FALSE)/VLOOKUP($C256,EnergyUnitsTable,3,FALSE),0),0)</f>
        <v>0</v>
      </c>
      <c r="J256" s="1164">
        <f>IFERROR(I256*VLOOKUP($B256,PO_Enrgy_8_Table,MATCH($H$232,PO_Enrgy_8_Hdr,0),FALSE),0)</f>
        <v>0</v>
      </c>
      <c r="K256" s="720"/>
      <c r="L256" s="720"/>
      <c r="M256" s="720"/>
      <c r="Q256" s="1043">
        <f>IFERROR(IF(ISBLANK($B256),"",VLOOKUP($B256,PO_Enrgy_1_Table,MATCH($K$16,PO_Enrgy_1_Hdr,0),FALSE)),"")</f>
        <v>9.999999999999998E-4</v>
      </c>
      <c r="R256" s="1043">
        <f>IFERROR(IF(ISBLANK($B256),"",VLOOKUP($B256,PO_Enrgy_1_Table,MATCH($M$16,PO_Enrgy_1_Hdr,0),FALSE)),"")</f>
        <v>3.1399999999999996E-3</v>
      </c>
      <c r="U256" s="502" t="s">
        <v>1198</v>
      </c>
      <c r="V256" s="1097" t="str">
        <f>IFERROR(VLOOKUP($B256,PO_Enrgy_8_Table,MATCH($H$232,PO_Enrgy_8_Hdr,0),FALSE)/$E$256*VLOOKUP(VLOOKUP("District Cooling",PO_Enrgy_9_Table,MATCH($C$240,PO_Enrgy_9_Hdr,0),FALSE),EnergyUnitsTable,3,FALSE)/VLOOKUP($C256,EnergyUnitsTable,3,FALSE),"")</f>
        <v/>
      </c>
      <c r="W256" s="1097" t="str">
        <f>IFERROR(VLOOKUP($B256,PO_Enrgy_8_Table,MATCH($H$232,PO_Enrgy_8_Hdr,0),FALSE)/$H$256*(IFERROR(VLOOKUP(VLOOKUP("District Hot Water",PO_Enrgy_9_Table,MATCH($C$240,PO_Enrgy_9_Hdr,0),FALSE),EnergyUnitsTable,3,FALSE),1)+IFERROR(VLOOKUP(VLOOKUP("District Steam",PO_Enrgy_9_Table,MATCH($C$240,PO_Enrgy_9_Hdr,0),FALSE),EnergyUnitsTable,3,FALSE),1))/VLOOKUP($C256,EnergyUnitsTable,3,FALSE),"")</f>
        <v/>
      </c>
      <c r="AH256" s="1079"/>
      <c r="AI256" s="1079"/>
      <c r="AJ256" s="536"/>
      <c r="AK256" s="15"/>
      <c r="AL256" s="553"/>
      <c r="AM256" s="554"/>
      <c r="BC256" s="1906"/>
    </row>
    <row r="257" spans="1:55" ht="18" hidden="1" customHeight="1" x14ac:dyDescent="0.3">
      <c r="A257" s="1063" t="s">
        <v>1299</v>
      </c>
      <c r="B257" s="1177" t="str">
        <f>IFERROR(IF(ISBLANK($B$253),"",$B$253),"")</f>
        <v/>
      </c>
      <c r="C257" s="2688" t="str">
        <f>IFERROR(IF(ISBLANK($B257),"",VLOOKUP($B257,PO_Enrgy_1_Table,MATCH($C$16,PO_Enrgy_1_Hdr,0),FALSE) ),"")</f>
        <v/>
      </c>
      <c r="D257" s="2689" t="str">
        <f>IF(C257="","",VLOOKUP(C257,ProjectEnergyTypeTable,3,FALSE))</f>
        <v/>
      </c>
      <c r="E257" s="1868"/>
      <c r="F257" s="1172">
        <f>IFERROR(IF(DESPath=3,VLOOKUP("District Cooling",PO_Enrgy_9_Table,MATCH($H$240,PO_Enrgy_9_Hdr,0),FALSE)/$E257*VLOOKUP(VLOOKUP("District Cooling",PO_Enrgy_9_Table,MATCH($C$240,PO_Enrgy_9_Hdr,0),FALSE),EnergyUnitsTable,3,FALSE)/VLOOKUP($C257,EnergyUnitsTable,3,FALSE),0),0)</f>
        <v>0</v>
      </c>
      <c r="G257" s="1164">
        <f>IFERROR(F257*VLOOKUP($B257,PO_Enrgy_8_Table,MATCH($H$232,PO_Enrgy_8_Hdr,0),FALSE),0)</f>
        <v>0</v>
      </c>
      <c r="H257" s="1869"/>
      <c r="I257" s="1172">
        <f>IF(DESPath = 3,IFERROR(VLOOKUP("District Hot Water",PO_Enrgy_9_Table,MATCH($H$240,PO_Enrgy_9_Hdr,0),FALSE)/$H257*VLOOKUP(VLOOKUP("District Hot Water",PO_Enrgy_9_Table,MATCH($C$240,PO_Enrgy_9_Hdr,0),FALSE),EnergyUnitsTable,3,FALSE)/VLOOKUP($C257,EnergyUnitsTable,3,FALSE),0)+IFERROR(VLOOKUP("District Steam",PO_Enrgy_9_Table,MATCH($H$240,PO_Enrgy_9_Hdr,0),FALSE)/$H257*VLOOKUP(VLOOKUP("District Steam",PO_Enrgy_9_Table,MATCH($C$240,PO_Enrgy_9_Hdr,0),FALSE),EnergyUnitsTable,3,FALSE)/VLOOKUP($C257,EnergyUnitsTable,3,FALSE),0),0)</f>
        <v>0</v>
      </c>
      <c r="J257" s="1164">
        <f>IFERROR(I257*VLOOKUP($B257,PO_Enrgy_8_Table,MATCH($H$232,PO_Enrgy_8_Hdr,0),FALSE),0)</f>
        <v>0</v>
      </c>
      <c r="K257" s="720"/>
      <c r="L257" s="720"/>
      <c r="M257" s="720"/>
      <c r="Q257" s="1043" t="str">
        <f>IFERROR(IF(ISBLANK($B257),"",VLOOKUP($B257,PO_Enrgy_1_Table,MATCH($K$16,PO_Enrgy_1_Hdr,0),FALSE)),"")</f>
        <v/>
      </c>
      <c r="R257" s="1043" t="str">
        <f>IFERROR(IF(ISBLANK($B257),"",VLOOKUP($B257,PO_Enrgy_1_Table,MATCH($M$16,PO_Enrgy_1_Hdr,0),FALSE)),"")</f>
        <v/>
      </c>
      <c r="U257" s="502" t="s">
        <v>1199</v>
      </c>
      <c r="V257" s="1097" t="str">
        <f>IFERROR(VLOOKUP($B257,PO_Enrgy_8_Table,MATCH($H$232,PO_Enrgy_8_Hdr,0),FALSE)/$E$256*VLOOKUP(VLOOKUP("District Cooling",PO_Enrgy_9_Table,MATCH($C$240,PO_Enrgy_9_Hdr,0),FALSE),EnergyUnitsTable,3,FALSE)/VLOOKUP($C257,EnergyUnitsTable,3,FALSE),"")</f>
        <v/>
      </c>
      <c r="W257" s="1097" t="str">
        <f>IFERROR(VLOOKUP($B257,PO_Enrgy_8_Table,MATCH($H$232,PO_Enrgy_8_Hdr,0),FALSE)/$H$256*(IFERROR(VLOOKUP(VLOOKUP("District Hot Water",PO_Enrgy_9_Table,MATCH($C$240,PO_Enrgy_9_Hdr,0),FALSE),EnergyUnitsTable,3,FALSE),1)+IFERROR(VLOOKUP(VLOOKUP("District Steam",PO_Enrgy_9_Table,MATCH($C$240,PO_Enrgy_9_Hdr,0),FALSE),EnergyUnitsTable,3,FALSE),1))/VLOOKUP($C257,EnergyUnitsTable,3,FALSE),"")</f>
        <v/>
      </c>
      <c r="AH257" s="1079"/>
      <c r="AI257" s="1079"/>
      <c r="AJ257" s="536"/>
      <c r="AK257" s="15"/>
      <c r="AL257" s="553" t="str">
        <f t="shared" ref="AL257" si="26">IFERROR(G257/E257,"")</f>
        <v/>
      </c>
      <c r="AM257" s="554" t="str">
        <f t="shared" ref="AM257" si="27">IFERROR(J257/H257,"")</f>
        <v/>
      </c>
      <c r="BC257" s="1906"/>
    </row>
    <row r="258" spans="1:55" s="528" customFormat="1" ht="1.95" hidden="1" customHeight="1" x14ac:dyDescent="0.3">
      <c r="A258" s="1063" t="s">
        <v>1299</v>
      </c>
      <c r="B258" s="1166"/>
      <c r="C258" s="1167"/>
      <c r="D258" s="1166"/>
      <c r="E258" s="1166"/>
      <c r="F258" s="1166"/>
      <c r="G258" s="1168"/>
      <c r="H258" s="1167"/>
      <c r="I258" s="1167" t="s">
        <v>1078</v>
      </c>
      <c r="J258" s="1166"/>
      <c r="K258" s="532"/>
      <c r="L258" s="532"/>
      <c r="M258" s="960"/>
      <c r="N258" s="502"/>
      <c r="O258" s="502"/>
      <c r="P258" s="502"/>
      <c r="AE258" s="589"/>
      <c r="AF258" s="589"/>
      <c r="AH258" s="15"/>
      <c r="AI258" s="15"/>
      <c r="AJ258" s="15"/>
      <c r="AK258" s="15"/>
    </row>
    <row r="259" spans="1:55" s="528" customFormat="1" ht="19.5" hidden="1" customHeight="1" x14ac:dyDescent="0.3">
      <c r="A259" s="1063" t="s">
        <v>1299</v>
      </c>
      <c r="B259" s="2702"/>
      <c r="C259" s="2702"/>
      <c r="D259" s="2702"/>
      <c r="E259" s="532"/>
      <c r="F259" s="532"/>
      <c r="G259" s="502"/>
      <c r="H259" s="578"/>
      <c r="I259" s="578"/>
      <c r="J259" s="577"/>
      <c r="K259" s="496"/>
      <c r="L259" s="496"/>
      <c r="M259" s="576"/>
      <c r="N259" s="502"/>
      <c r="O259" s="502"/>
      <c r="P259" s="502"/>
      <c r="AH259" s="15"/>
      <c r="AI259" s="15"/>
      <c r="AJ259" s="15"/>
      <c r="AK259" s="15"/>
      <c r="AL259" s="553"/>
      <c r="AM259" s="554"/>
    </row>
    <row r="260" spans="1:55" ht="60" hidden="1" customHeight="1" x14ac:dyDescent="0.3">
      <c r="A260" s="1063" t="s">
        <v>1299</v>
      </c>
      <c r="B260" s="2698" t="s">
        <v>444</v>
      </c>
      <c r="C260" s="2402" t="s">
        <v>1805</v>
      </c>
      <c r="D260" s="2699"/>
      <c r="E260" s="2767" t="s">
        <v>1302</v>
      </c>
      <c r="F260" s="2767"/>
      <c r="G260" s="2767"/>
      <c r="H260" s="2767" t="s">
        <v>1303</v>
      </c>
      <c r="I260" s="2767"/>
      <c r="J260" s="2767"/>
      <c r="K260" s="2722" t="s">
        <v>448</v>
      </c>
      <c r="L260" s="2767"/>
      <c r="M260" s="2461"/>
      <c r="N260" s="2832"/>
      <c r="O260" s="2832"/>
      <c r="P260" s="2832"/>
      <c r="AJ260" s="15"/>
      <c r="AL260" s="553"/>
      <c r="AM260" s="554"/>
    </row>
    <row r="261" spans="1:55" ht="48" hidden="1" customHeight="1" x14ac:dyDescent="0.3">
      <c r="A261" s="1063" t="s">
        <v>1299</v>
      </c>
      <c r="B261" s="2699"/>
      <c r="C261" s="2699"/>
      <c r="D261" s="2699"/>
      <c r="E261" s="1048" t="s">
        <v>1117</v>
      </c>
      <c r="F261" s="1049" t="str">
        <f>"Source Energy Use ("  &amp; PO_SourceUnits &amp; ")"</f>
        <v>Source Energy Use (MWh)</v>
      </c>
      <c r="G261" s="1048" t="s">
        <v>446</v>
      </c>
      <c r="H261" s="1048" t="s">
        <v>1117</v>
      </c>
      <c r="I261" s="1049" t="str">
        <f>"Source Energy Use ("  &amp; PO_SourceUnits &amp; ")"</f>
        <v>Source Energy Use (MWh)</v>
      </c>
      <c r="J261" s="1048" t="s">
        <v>446</v>
      </c>
      <c r="K261" s="2722" t="s">
        <v>447</v>
      </c>
      <c r="L261" s="2723"/>
      <c r="M261" s="1048" t="s">
        <v>446</v>
      </c>
      <c r="N261" s="578"/>
      <c r="O261" s="578"/>
      <c r="P261" s="578"/>
      <c r="AJ261" s="15"/>
    </row>
    <row r="262" spans="1:55" s="1076" customFormat="1" ht="15" hidden="1" customHeight="1" x14ac:dyDescent="0.3">
      <c r="A262" s="1063" t="s">
        <v>1299</v>
      </c>
      <c r="B262" s="1099" t="s">
        <v>1765</v>
      </c>
      <c r="C262" s="1091" t="s">
        <v>1793</v>
      </c>
      <c r="D262" s="1099"/>
      <c r="E262" s="1100" t="s">
        <v>1821</v>
      </c>
      <c r="F262" s="1099" t="s">
        <v>1822</v>
      </c>
      <c r="G262" s="1100" t="s">
        <v>1823</v>
      </c>
      <c r="H262" s="1100" t="s">
        <v>1806</v>
      </c>
      <c r="I262" s="1099" t="s">
        <v>1807</v>
      </c>
      <c r="J262" s="1100" t="s">
        <v>1808</v>
      </c>
      <c r="K262" s="1100" t="s">
        <v>1824</v>
      </c>
      <c r="L262" s="1091"/>
      <c r="M262" s="1100" t="s">
        <v>1810</v>
      </c>
      <c r="N262" s="1094"/>
      <c r="O262" s="1094"/>
      <c r="P262" s="1094"/>
      <c r="Q262" s="1042" t="s">
        <v>1776</v>
      </c>
      <c r="R262" s="1042" t="s">
        <v>1777</v>
      </c>
      <c r="AJ262" s="1077"/>
    </row>
    <row r="263" spans="1:55" ht="15" hidden="1" customHeight="1" x14ac:dyDescent="0.3">
      <c r="A263" s="1063" t="s">
        <v>1299</v>
      </c>
      <c r="B263" s="1177" t="str">
        <f>IFERROR(IF(ISBLANK(B17),"",B17),"")</f>
        <v>Electricity</v>
      </c>
      <c r="C263" s="2688" t="str">
        <f>IFERROR(IF(ISBLANK($B263),"",VLOOKUP($B263,PO_Enrgy_1_Table,MATCH($C$16,PO_Enrgy_1_Hdr,0),FALSE) ),"")</f>
        <v>kWh</v>
      </c>
      <c r="D263" s="2689" t="e">
        <f>IF(C263="","",VLOOKUP(C263,ProjectEnergyTypeTable,3,FALSE))</f>
        <v>#NAME?</v>
      </c>
      <c r="E263" s="1180">
        <f>IFERROR(IFERROR(IFERROR(VLOOKUP($B263,PO_DESbase_Enrgy_Table,MATCH($F$250,PO_DESbase_Enrgy_Hdr,0),FALSE),0)+IFERROR(VLOOKUP($B263,PO_DESbase_Enrgy_Table,MATCH($I$250,PO_DESbase_Enrgy_Hdr,0),FALSE),0),0)+IF(OR(DESPath&lt;&gt;3,AND(B263&lt;&gt;"District Cooling",B263&lt;&gt;"District Hot Water",B263&lt;&gt;"District Steam")),VLOOKUP($B263,PO_Enrgy_9_Table,MATCH($E$240,PO_Enrgy_9_Hdr,0),FALSE),0),"")</f>
        <v>0</v>
      </c>
      <c r="F263" s="1180">
        <f>IFERROR(E263*$R263,"")</f>
        <v>0</v>
      </c>
      <c r="G263" s="1164">
        <f>IFERROR(IFERROR(IFERROR(VLOOKUP($B263,PO_DESbase_Enrgy_Table,MATCH($G$250,PO_DESbase_Enrgy_Hdr,0),FALSE),0)+IFERROR(VLOOKUP($B263,PO_DESbase_Enrgy_Table,MATCH($J$250,PO_DESbase_Enrgy_Hdr,0),FALSE),0),0)+IF(OR(DESPath&lt;&gt;3,AND(B263&lt;&gt;"District Cooling",B263&lt;&gt;"District Hot Water",B263&lt;&gt;"District Steam")),VLOOKUP($B263,PO_Enrgy_9_Table,MATCH($G$240,PO_Enrgy_9_Hdr,0),FALSE),0),"")</f>
        <v>0</v>
      </c>
      <c r="H263" s="1180">
        <f>IFERROR(IFERROR(IFERROR(VLOOKUP($B263,PO_DESdesign_Enrgy_Table,MATCH($F$254,PO_DESdesign_Enrgy_Hdr,0),FALSE),0)+IFERROR(VLOOKUP($B263,PO_DESdesign_Enrgy_Table,MATCH($I$254,PO_DESdesign_Enrgy_Hdr,0),FALSE),0),0)+IF(OR(DESPath&lt;&gt;3,AND(B263&lt;&gt;"District Cooling",B263&lt;&gt;"District Hot Water",B263&lt;&gt;"District Steam")),VLOOKUP($B263,PO_Enrgy_9_Table,MATCH($H$240,PO_Enrgy_9_Hdr,0),FALSE),0),"")</f>
        <v>0</v>
      </c>
      <c r="I263" s="1180">
        <f>IFERROR(H263*$R263,"")</f>
        <v>0</v>
      </c>
      <c r="J263" s="1164">
        <f>IFERROR(IFERROR(IFERROR(VLOOKUP($B263,PO_DESdesign_Enrgy_Table,MATCH($G$254,PO_DESdesign_Enrgy_Hdr,0),FALSE),0)+IFERROR(VLOOKUP($B263,PO_DESdesign_Enrgy_Table,MATCH($J$254,PO_DESdesign_Enrgy_Hdr,0),FALSE),0),0)+IF(OR(DESPath&lt;&gt;3,AND(B263&lt;&gt;"District Cooling",B263&lt;&gt;"District Hot Water",B263&lt;&gt;"District Steam")),VLOOKUP($B263,PO_Enrgy_9_Table,MATCH($J$240,PO_Enrgy_9_Hdr,0),FALSE),0),"")</f>
        <v>0</v>
      </c>
      <c r="K263" s="2692" t="str">
        <f>IFERROR(1-H263/E263,"")</f>
        <v/>
      </c>
      <c r="L263" s="2691"/>
      <c r="M263" s="1360" t="str">
        <f>IFERROR(1-J263/G263,"")</f>
        <v/>
      </c>
      <c r="Q263" s="1043">
        <f>IFERROR(IF(ISBLANK($B263),"",VLOOKUP($B263,PO_Enrgy_1_Table,MATCH($K$16,PO_Enrgy_1_Hdr,0),FALSE)),"")</f>
        <v>9.999999999999998E-4</v>
      </c>
      <c r="R263" s="1043">
        <f>IFERROR(IF(ISBLANK($B263),"",VLOOKUP($B263,PO_Enrgy_1_Table,MATCH($M$16,PO_Enrgy_1_Hdr,0),FALSE)),"")</f>
        <v>3.1399999999999996E-3</v>
      </c>
      <c r="AH263" s="546"/>
      <c r="AI263" s="546"/>
      <c r="AJ263" s="536"/>
      <c r="AL263" s="553"/>
      <c r="AM263" s="554"/>
      <c r="AR263" s="537"/>
      <c r="BC263" s="1906"/>
    </row>
    <row r="264" spans="1:55" ht="15" hidden="1" customHeight="1" x14ac:dyDescent="0.3">
      <c r="A264" s="1063" t="s">
        <v>1299</v>
      </c>
      <c r="B264" s="1177" t="str">
        <f>IFERROR(IF(ISBLANK(B18),"",B18),"")</f>
        <v>Natural Gas</v>
      </c>
      <c r="C264" s="2688" t="str">
        <f>IFERROR(IF(ISBLANK($B264),"",VLOOKUP($B264,PO_Enrgy_1_Table,MATCH($C$16,PO_Enrgy_1_Hdr,0),FALSE) ),"")</f>
        <v>therm</v>
      </c>
      <c r="D264" s="2689" t="e">
        <f>IF(C264="","",VLOOKUP(C264,ProjectEnergyTypeTable,3,FALSE))</f>
        <v>#NAME?</v>
      </c>
      <c r="E264" s="1180">
        <f>IFERROR(IFERROR(IFERROR(VLOOKUP($B264,PO_DESbase_Enrgy_Table,MATCH($F$250,PO_DESbase_Enrgy_Hdr,0),FALSE),0)+IFERROR(VLOOKUP($B264,PO_DESbase_Enrgy_Table,MATCH($I$250,PO_DESbase_Enrgy_Hdr,0),FALSE),0),0)+IF(OR(DESPath&lt;&gt;3,AND(B264&lt;&gt;"District Cooling",B264&lt;&gt;"District Hot Water",B264&lt;&gt;"District Steam")),VLOOKUP($B264,PO_Enrgy_9_Table,MATCH($E$240,PO_Enrgy_9_Hdr,0),FALSE),0),"")</f>
        <v>0</v>
      </c>
      <c r="F264" s="1180">
        <f>IFERROR(E264*$R264,"")</f>
        <v>0</v>
      </c>
      <c r="G264" s="1164">
        <f>IFERROR(IFERROR(IFERROR(VLOOKUP($B264,PO_DESbase_Enrgy_Table,MATCH($G$250,PO_DESbase_Enrgy_Hdr,0),FALSE),0)+IFERROR(VLOOKUP($B264,PO_DESbase_Enrgy_Table,MATCH($J$250,PO_DESbase_Enrgy_Hdr,0),FALSE),0),0)+IF(OR(DESPath&lt;&gt;3,AND(B264&lt;&gt;"District Cooling",B264&lt;&gt;"District Hot Water",B264&lt;&gt;"District Steam")),VLOOKUP($B264,PO_Enrgy_9_Table,MATCH($G$240,PO_Enrgy_9_Hdr,0),FALSE),0),"")</f>
        <v>0</v>
      </c>
      <c r="H264" s="1180">
        <f>IFERROR(IFERROR(IFERROR(VLOOKUP($B264,PO_DESdesign_Enrgy_Table,MATCH($F$254,PO_DESdesign_Enrgy_Hdr,0),FALSE),0)+IFERROR(VLOOKUP($B264,PO_DESdesign_Enrgy_Table,MATCH($I$254,PO_DESdesign_Enrgy_Hdr,0),FALSE),0),0)+IF(OR(DESPath&lt;&gt;3,AND(B264&lt;&gt;"District Cooling",B264&lt;&gt;"District Hot Water",B264&lt;&gt;"District Steam")),VLOOKUP($B264,PO_Enrgy_9_Table,MATCH($H$240,PO_Enrgy_9_Hdr,0),FALSE),0),"")</f>
        <v>0</v>
      </c>
      <c r="I264" s="1180">
        <f>IFERROR(H264*$R264,"")</f>
        <v>0</v>
      </c>
      <c r="J264" s="1164">
        <f>IFERROR(IFERROR(IFERROR(VLOOKUP($B264,PO_DESdesign_Enrgy_Table,MATCH($G$254,PO_DESdesign_Enrgy_Hdr,0),FALSE),0)+IFERROR(VLOOKUP($B264,PO_DESdesign_Enrgy_Table,MATCH($J$254,PO_DESdesign_Enrgy_Hdr,0),FALSE),0),0)+IF(OR(DESPath&lt;&gt;3,AND(B264&lt;&gt;"District Cooling",B264&lt;&gt;"District Hot Water",B264&lt;&gt;"District Steam")),VLOOKUP($B264,PO_Enrgy_9_Table,MATCH($J$240,PO_Enrgy_9_Hdr,0),FALSE),0),"")</f>
        <v>0</v>
      </c>
      <c r="K264" s="2692" t="str">
        <f>IFERROR(1-H264/E264,"")</f>
        <v/>
      </c>
      <c r="L264" s="2691"/>
      <c r="M264" s="1360" t="str">
        <f>IFERROR(1-J264/G264,"")</f>
        <v/>
      </c>
      <c r="Q264" s="1043">
        <f>IFERROR(IF(ISBLANK($B264),"",VLOOKUP($B264,PO_Enrgy_1_Table,MATCH($K$16,PO_Enrgy_1_Hdr,0),FALSE)),"")</f>
        <v>2.9308323563892142E-2</v>
      </c>
      <c r="R264" s="1043">
        <f>IFERROR(IF(ISBLANK($B264),"",VLOOKUP($B264,PO_Enrgy_1_Table,MATCH($M$16,PO_Enrgy_1_Hdr,0),FALSE)),"")</f>
        <v>3.0773739742086751E-2</v>
      </c>
      <c r="AH264" s="546"/>
      <c r="AI264" s="546"/>
      <c r="AJ264" s="536"/>
      <c r="AL264" s="553"/>
      <c r="AM264" s="554"/>
      <c r="AR264" s="537"/>
      <c r="BC264" s="1906"/>
    </row>
    <row r="265" spans="1:55" ht="15" hidden="1" customHeight="1" x14ac:dyDescent="0.3">
      <c r="A265" s="1063" t="s">
        <v>1299</v>
      </c>
      <c r="B265" s="1177" t="str">
        <f>IFERROR(IF(ISBLANK(B19),"",B19),"")</f>
        <v>District Cooling</v>
      </c>
      <c r="C265" s="2688" t="str">
        <f>IFERROR(IF(ISBLANK($B265),"",VLOOKUP($B265,PO_Enrgy_1_Table,MATCH($C$16,PO_Enrgy_1_Hdr,0),FALSE) ),"")</f>
        <v>MWh</v>
      </c>
      <c r="D265" s="2689" t="e">
        <f>IF(C265="","",VLOOKUP(C265,ProjectEnergyTypeTable,3,FALSE))</f>
        <v>#NAME?</v>
      </c>
      <c r="E265" s="1180">
        <f>IFERROR(IFERROR(IFERROR(VLOOKUP($B265,PO_DESbase_Enrgy_Table,MATCH($F$250,PO_DESbase_Enrgy_Hdr,0),FALSE),0)+IFERROR(VLOOKUP($B265,PO_DESbase_Enrgy_Table,MATCH($I$250,PO_DESbase_Enrgy_Hdr,0),FALSE),0),0)+IF(OR(DESPath&lt;&gt;3,AND(B265&lt;&gt;"District Cooling",B265&lt;&gt;"District Hot Water",B265&lt;&gt;"District Steam")),VLOOKUP($B265,PO_Enrgy_9_Table,MATCH($E$240,PO_Enrgy_9_Hdr,0),FALSE),0),"")</f>
        <v>0</v>
      </c>
      <c r="F265" s="1180">
        <f>IFERROR(E265*$R265,"")</f>
        <v>0</v>
      </c>
      <c r="G265" s="1164">
        <f>IFERROR(IFERROR(IFERROR(VLOOKUP($B265,PO_DESbase_Enrgy_Table,MATCH($G$250,PO_DESbase_Enrgy_Hdr,0),FALSE),0)+IFERROR(VLOOKUP($B265,PO_DESbase_Enrgy_Table,MATCH($J$250,PO_DESbase_Enrgy_Hdr,0),FALSE),0),0)+IF(OR(DESPath&lt;&gt;3,AND(B265&lt;&gt;"District Cooling",B265&lt;&gt;"District Hot Water",B265&lt;&gt;"District Steam")),VLOOKUP($B265,PO_Enrgy_9_Table,MATCH($G$240,PO_Enrgy_9_Hdr,0),FALSE),0),"")</f>
        <v>0</v>
      </c>
      <c r="H265" s="1180">
        <f>IFERROR(IFERROR(IFERROR(VLOOKUP($B265,PO_DESdesign_Enrgy_Table,MATCH($F$254,PO_DESdesign_Enrgy_Hdr,0),FALSE),0)+IFERROR(VLOOKUP($B265,PO_DESdesign_Enrgy_Table,MATCH($I$254,PO_DESdesign_Enrgy_Hdr,0),FALSE),0),0)+IF(OR(DESPath&lt;&gt;3,AND(B265&lt;&gt;"District Cooling",B265&lt;&gt;"District Hot Water",B265&lt;&gt;"District Steam")),VLOOKUP($B265,PO_Enrgy_9_Table,MATCH($H$240,PO_Enrgy_9_Hdr,0),FALSE),0),"")</f>
        <v>0</v>
      </c>
      <c r="I265" s="1180">
        <f>IFERROR(H265*$R265,"")</f>
        <v>0</v>
      </c>
      <c r="J265" s="1164">
        <f>IFERROR(IFERROR(IFERROR(VLOOKUP($B265,PO_DESdesign_Enrgy_Table,MATCH($G$254,PO_DESdesign_Enrgy_Hdr,0),FALSE),0)+IFERROR(VLOOKUP($B265,PO_DESdesign_Enrgy_Table,MATCH($J$254,PO_DESdesign_Enrgy_Hdr,0),FALSE),0),0)+IF(OR(DESPath&lt;&gt;3,AND(B265&lt;&gt;"District Cooling",B265&lt;&gt;"District Hot Water",B265&lt;&gt;"District Steam")),VLOOKUP($B265,PO_Enrgy_9_Table,MATCH($J$240,PO_Enrgy_9_Hdr,0),FALSE),0),"")</f>
        <v>0</v>
      </c>
      <c r="K265" s="2692" t="str">
        <f>IFERROR(1-H265/E265,"")</f>
        <v/>
      </c>
      <c r="L265" s="2691"/>
      <c r="M265" s="1360" t="str">
        <f>IFERROR(1-J265/G265,"")</f>
        <v/>
      </c>
      <c r="Q265" s="1043">
        <f>IFERROR(IF(ISBLANK($B265),"",VLOOKUP($B265,PO_Enrgy_1_Table,MATCH($K$16,PO_Enrgy_1_Hdr,0),FALSE)),"")</f>
        <v>0.99999999999999989</v>
      </c>
      <c r="R265" s="1043">
        <f>IFERROR(IF(ISBLANK($B265),"",VLOOKUP($B265,PO_Enrgy_1_Table,MATCH($M$16,PO_Enrgy_1_Hdr,0),FALSE)),"")</f>
        <v>0.99999999999999989</v>
      </c>
      <c r="AH265" s="546"/>
      <c r="AI265" s="546"/>
      <c r="AJ265" s="536"/>
      <c r="AL265" s="553"/>
      <c r="AM265" s="554"/>
      <c r="AR265" s="537"/>
      <c r="BC265" s="1906"/>
    </row>
    <row r="266" spans="1:55" s="528" customFormat="1" ht="21" hidden="1" customHeight="1" x14ac:dyDescent="0.3">
      <c r="A266" s="1063" t="s">
        <v>1299</v>
      </c>
      <c r="B266" s="2693" t="str">
        <f>"Energy Model Subtotal (" &amp; PO_SiteUnits &amp; ")"</f>
        <v>Energy Model Subtotal (MWh)</v>
      </c>
      <c r="C266" s="2693"/>
      <c r="D266" s="2693"/>
      <c r="E266" s="1161">
        <f>IFERROR(SUMPRODUCT(INDEX(PO_Enrgy_10_Table,0,MATCH(E$262,PO_Enrgy_10_Hdr,0)),INDEX(PO_Enrgy_10_Table,0,MATCH($Q$262,PO_Enrgy_10_Hdr,0))),"")</f>
        <v>0</v>
      </c>
      <c r="F266" s="1161">
        <f>IFERROR(SUM(INDEX(PO_Enrgy_10_Table,0,MATCH(F$262,PO_Enrgy_10_Hdr,0))),"")</f>
        <v>0</v>
      </c>
      <c r="G266" s="1164">
        <f>IFERROR(SUM(INDEX(PO_Enrgy_10_Table,0,MATCH(G$262,PO_Enrgy_10_Hdr,0))),"")</f>
        <v>0</v>
      </c>
      <c r="H266" s="1161">
        <f>IFERROR(SUMPRODUCT(INDEX(PO_Enrgy_10_Table,0,MATCH(H$262,PO_Enrgy_10_Hdr,0)),INDEX(PO_Enrgy_10_Table,0,MATCH($Q$262,PO_Enrgy_10_Hdr,0))),"")</f>
        <v>0</v>
      </c>
      <c r="I266" s="1161">
        <f>IFERROR(SUM(INDEX(PO_Enrgy_10_Table,0,MATCH(I$262,PO_Enrgy_10_Hdr,0))),"")</f>
        <v>0</v>
      </c>
      <c r="J266" s="1164">
        <f>IFERROR(SUM(INDEX(PO_Enrgy_10_Table,0,MATCH(J$262,PO_Enrgy_10_Hdr,0))),"")</f>
        <v>0</v>
      </c>
      <c r="K266" s="2690" t="str">
        <f>IFERROR(1-H266/E266,"")</f>
        <v/>
      </c>
      <c r="L266" s="2691"/>
      <c r="M266" s="1163" t="str">
        <f>IFERROR(1-J266/G266,"")</f>
        <v/>
      </c>
      <c r="N266" s="502"/>
      <c r="O266" s="502"/>
      <c r="P266" s="502"/>
      <c r="AJ266" s="15"/>
      <c r="AL266" s="553"/>
      <c r="AM266" s="554"/>
      <c r="BC266" s="1906"/>
    </row>
    <row r="267" spans="1:55" s="528" customFormat="1" ht="33" hidden="1" customHeight="1" x14ac:dyDescent="0.3">
      <c r="A267" s="1063" t="s">
        <v>1299</v>
      </c>
      <c r="B267" s="2702"/>
      <c r="C267" s="2702"/>
      <c r="D267" s="2702"/>
      <c r="E267" s="1178"/>
      <c r="F267" s="1179"/>
      <c r="G267" s="1178"/>
      <c r="H267" s="1178"/>
      <c r="I267" s="1178"/>
      <c r="J267" s="502"/>
      <c r="K267" s="496"/>
      <c r="L267" s="496"/>
      <c r="M267" s="576"/>
      <c r="N267" s="502"/>
      <c r="O267" s="502"/>
      <c r="P267" s="502"/>
      <c r="AJ267" s="15"/>
      <c r="AL267" s="553"/>
      <c r="AM267" s="554"/>
    </row>
    <row r="268" spans="1:55" ht="21.75" hidden="1" customHeight="1" x14ac:dyDescent="0.3">
      <c r="A268" s="1063" t="s">
        <v>1299</v>
      </c>
      <c r="B268" s="625" t="s">
        <v>1123</v>
      </c>
      <c r="AL268" s="572"/>
      <c r="AM268" s="573"/>
    </row>
    <row r="269" spans="1:55" s="528" customFormat="1" ht="76.5" hidden="1" customHeight="1" x14ac:dyDescent="0.3">
      <c r="A269" s="1063" t="s">
        <v>1299</v>
      </c>
      <c r="B269" s="2697" t="str">
        <f>CONCATENATE("Startup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 Also upload simulation outputs and performance rating method calculations with and without the exceptional calculation methods for both Startup IT Loads, and the full buildout IT loads.","
",IF(DESPath=3," Note: The calculations using DES Path 3 must be performed manually for the Startup IT Load method, and supplemental documentation uploaded for the project must show these calculations.",""))</f>
        <v xml:space="preserv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Also upload simulation outputs and performance rating method calculations with and without the exceptional calculation methods for both Startup IT Loads, and the full buildout IT loads.
</v>
      </c>
      <c r="C269" s="2697"/>
      <c r="D269" s="2697"/>
      <c r="E269" s="2697"/>
      <c r="F269" s="2697"/>
      <c r="G269" s="2697"/>
      <c r="H269" s="2697"/>
      <c r="I269" s="2697"/>
      <c r="J269" s="2697"/>
      <c r="K269" s="2697"/>
      <c r="L269" s="2697"/>
      <c r="M269" s="2697"/>
      <c r="N269" s="502"/>
      <c r="O269" s="502"/>
      <c r="P269" s="502"/>
      <c r="AL269" s="553"/>
      <c r="AM269" s="554"/>
    </row>
    <row r="270" spans="1:55" ht="21.75" hidden="1" customHeight="1" x14ac:dyDescent="0.3">
      <c r="A270" s="1063" t="s">
        <v>1299</v>
      </c>
      <c r="B270" s="957" t="s">
        <v>1304</v>
      </c>
      <c r="AL270" s="572"/>
      <c r="AM270" s="573"/>
    </row>
    <row r="271" spans="1:55" ht="32.25" hidden="1" customHeight="1" x14ac:dyDescent="0.3">
      <c r="A271" s="1063" t="s">
        <v>1299</v>
      </c>
      <c r="B271" s="2698" t="s">
        <v>444</v>
      </c>
      <c r="C271" s="2402" t="s">
        <v>1805</v>
      </c>
      <c r="D271" s="2699"/>
      <c r="E271" s="2698" t="s">
        <v>1271</v>
      </c>
      <c r="F271" s="2698"/>
      <c r="G271" s="2698"/>
      <c r="H271" s="2700" t="s">
        <v>1172</v>
      </c>
      <c r="I271" s="2698"/>
      <c r="J271" s="2698"/>
      <c r="K271" s="2700" t="s">
        <v>448</v>
      </c>
      <c r="L271" s="2700"/>
      <c r="M271" s="2700"/>
      <c r="N271" s="2832"/>
      <c r="O271" s="2832"/>
      <c r="P271" s="2832"/>
      <c r="AJ271" s="15"/>
      <c r="AL271" s="550"/>
      <c r="AM271" s="551"/>
    </row>
    <row r="272" spans="1:55" ht="48" hidden="1" customHeight="1" x14ac:dyDescent="0.3">
      <c r="A272" s="1063" t="s">
        <v>1299</v>
      </c>
      <c r="B272" s="2699"/>
      <c r="C272" s="2699"/>
      <c r="D272" s="2699"/>
      <c r="E272" s="966" t="s">
        <v>1117</v>
      </c>
      <c r="F272" s="1115" t="str">
        <f>"Source Energy Use ("  &amp; PO_SourceUnits &amp; ")"</f>
        <v>Source Energy Use (MWh)</v>
      </c>
      <c r="G272" s="966" t="s">
        <v>446</v>
      </c>
      <c r="H272" s="966" t="s">
        <v>1117</v>
      </c>
      <c r="I272" s="1115" t="str">
        <f>"Source Energy Use ("  &amp; PO_SourceUnits &amp; ")"</f>
        <v>Source Energy Use (MWh)</v>
      </c>
      <c r="J272" s="966" t="s">
        <v>446</v>
      </c>
      <c r="K272" s="2700" t="s">
        <v>447</v>
      </c>
      <c r="L272" s="2835"/>
      <c r="M272" s="966" t="s">
        <v>446</v>
      </c>
      <c r="N272" s="578"/>
      <c r="O272" s="578"/>
      <c r="P272" s="578"/>
      <c r="AJ272" s="15"/>
    </row>
    <row r="273" spans="1:40" s="1076" customFormat="1" ht="15" hidden="1" customHeight="1" x14ac:dyDescent="0.3">
      <c r="A273" s="1063" t="s">
        <v>1299</v>
      </c>
      <c r="B273" s="1099" t="s">
        <v>1765</v>
      </c>
      <c r="C273" s="1091" t="s">
        <v>1793</v>
      </c>
      <c r="D273" s="1099"/>
      <c r="E273" s="1100" t="s">
        <v>1821</v>
      </c>
      <c r="F273" s="1099" t="s">
        <v>1822</v>
      </c>
      <c r="G273" s="1100" t="s">
        <v>1823</v>
      </c>
      <c r="H273" s="1100" t="s">
        <v>1806</v>
      </c>
      <c r="I273" s="1099" t="s">
        <v>1807</v>
      </c>
      <c r="J273" s="1100" t="s">
        <v>1808</v>
      </c>
      <c r="K273" s="1100" t="s">
        <v>1824</v>
      </c>
      <c r="L273" s="1091"/>
      <c r="M273" s="1100" t="s">
        <v>1810</v>
      </c>
      <c r="N273" s="1094"/>
      <c r="O273" s="1094"/>
      <c r="P273" s="1094"/>
      <c r="Q273" s="1042" t="s">
        <v>1776</v>
      </c>
      <c r="R273" s="1042" t="s">
        <v>1777</v>
      </c>
      <c r="AJ273" s="1077"/>
    </row>
    <row r="274" spans="1:40" ht="15" hidden="1" customHeight="1" x14ac:dyDescent="0.3">
      <c r="A274" s="1063" t="s">
        <v>1299</v>
      </c>
      <c r="B274" s="1177" t="str">
        <f>IFERROR(IF(ISBLANK(B17),"",B17),"")</f>
        <v>Electricity</v>
      </c>
      <c r="C274" s="2688" t="str">
        <f>IFERROR(IF(ISBLANK($B274),"",VLOOKUP($B274,PO_Enrgy_1_Table,MATCH($C$16,PO_Enrgy_1_Hdr,0),FALSE) ),"")</f>
        <v>kWh</v>
      </c>
      <c r="D274" s="2689" t="e">
        <f>IF(C274="","",VLOOKUP(C274,ProjectEnergyTypeTable,3,FALSE))</f>
        <v>#NAME?</v>
      </c>
      <c r="E274" s="1181"/>
      <c r="F274" s="1199">
        <f>IFERROR(E274*$Q274,"")</f>
        <v>0</v>
      </c>
      <c r="G274" s="1078"/>
      <c r="H274" s="1181"/>
      <c r="I274" s="1199">
        <f>IFERROR(H274*$Q274,"")</f>
        <v>0</v>
      </c>
      <c r="J274" s="1078"/>
      <c r="K274" s="2692" t="str">
        <f>IFERROR(1-H274/E274,"")</f>
        <v/>
      </c>
      <c r="L274" s="2691"/>
      <c r="M274" s="1360" t="str">
        <f>IFERROR(1-J274/G274,"")</f>
        <v/>
      </c>
      <c r="Q274" s="1043">
        <f>IFERROR(IF(ISBLANK($B274),"",VLOOKUP($B274,PO_Enrgy_1_Table,MATCH($K$16,PO_Enrgy_1_Hdr,0),FALSE)),"")</f>
        <v>9.999999999999998E-4</v>
      </c>
      <c r="R274" s="1043">
        <f>IFERROR(IF(ISBLANK($B274),"",VLOOKUP($B274,PO_Enrgy_1_Table,MATCH($M$16,PO_Enrgy_1_Hdr,0),FALSE)),"")</f>
        <v>3.1399999999999996E-3</v>
      </c>
      <c r="AH274" s="546"/>
      <c r="AI274" s="546"/>
      <c r="AJ274" s="15"/>
      <c r="AL274" s="550"/>
      <c r="AM274" s="551"/>
      <c r="AN274" s="552"/>
    </row>
    <row r="275" spans="1:40" ht="15" hidden="1" customHeight="1" x14ac:dyDescent="0.3">
      <c r="A275" s="1063" t="s">
        <v>1299</v>
      </c>
      <c r="B275" s="1177" t="str">
        <f>IFERROR(IF(ISBLANK(B18),"",B18),"")</f>
        <v>Natural Gas</v>
      </c>
      <c r="C275" s="2688" t="str">
        <f>IFERROR(IF(ISBLANK($B275),"",VLOOKUP($B275,PO_Enrgy_1_Table,MATCH($C$16,PO_Enrgy_1_Hdr,0),FALSE) ),"")</f>
        <v>therm</v>
      </c>
      <c r="D275" s="2689" t="e">
        <f>IF(C275="","",VLOOKUP(C275,ProjectEnergyTypeTable,3,FALSE))</f>
        <v>#NAME?</v>
      </c>
      <c r="E275" s="1181"/>
      <c r="F275" s="1199">
        <f>IFERROR(E275*$Q275,"")</f>
        <v>0</v>
      </c>
      <c r="G275" s="1078"/>
      <c r="H275" s="1181"/>
      <c r="I275" s="1199">
        <f>IFERROR(H275*$Q275,"")</f>
        <v>0</v>
      </c>
      <c r="J275" s="1078"/>
      <c r="K275" s="2692" t="str">
        <f>IFERROR(1-H275/E275,"")</f>
        <v/>
      </c>
      <c r="L275" s="2691"/>
      <c r="M275" s="1360" t="str">
        <f>IFERROR(1-J275/G275,"")</f>
        <v/>
      </c>
      <c r="Q275" s="1043">
        <f>IFERROR(IF(ISBLANK($B275),"",VLOOKUP($B275,PO_Enrgy_1_Table,MATCH($K$16,PO_Enrgy_1_Hdr,0),FALSE)),"")</f>
        <v>2.9308323563892142E-2</v>
      </c>
      <c r="R275" s="1043">
        <f>IFERROR(IF(ISBLANK($B275),"",VLOOKUP($B275,PO_Enrgy_1_Table,MATCH($M$16,PO_Enrgy_1_Hdr,0),FALSE)),"")</f>
        <v>3.0773739742086751E-2</v>
      </c>
      <c r="AH275" s="546"/>
      <c r="AI275" s="546"/>
      <c r="AJ275" s="15"/>
      <c r="AL275" s="550"/>
      <c r="AM275" s="551"/>
      <c r="AN275" s="552"/>
    </row>
    <row r="276" spans="1:40" ht="15" hidden="1" customHeight="1" x14ac:dyDescent="0.3">
      <c r="A276" s="1063" t="s">
        <v>1299</v>
      </c>
      <c r="B276" s="1177" t="str">
        <f>IFERROR(IF(ISBLANK(B19),"",B19),"")</f>
        <v>District Cooling</v>
      </c>
      <c r="C276" s="2688" t="str">
        <f>IFERROR(IF(ISBLANK($B276),"",VLOOKUP($B276,PO_Enrgy_1_Table,MATCH($C$16,PO_Enrgy_1_Hdr,0),FALSE) ),"")</f>
        <v>MWh</v>
      </c>
      <c r="D276" s="2689" t="e">
        <f>IF(C276="","",VLOOKUP(C276,ProjectEnergyTypeTable,3,FALSE))</f>
        <v>#NAME?</v>
      </c>
      <c r="E276" s="1181"/>
      <c r="F276" s="1199">
        <f>IFERROR(E276*$Q276,"")</f>
        <v>0</v>
      </c>
      <c r="G276" s="1078"/>
      <c r="H276" s="1181"/>
      <c r="I276" s="1199">
        <f>IFERROR(H276*$Q276,"")</f>
        <v>0</v>
      </c>
      <c r="J276" s="1078"/>
      <c r="K276" s="2692" t="str">
        <f>IFERROR(1-H276/E276,"")</f>
        <v/>
      </c>
      <c r="L276" s="2691"/>
      <c r="M276" s="1360" t="str">
        <f>IFERROR(1-J276/G276,"")</f>
        <v/>
      </c>
      <c r="Q276" s="1043">
        <f>IFERROR(IF(ISBLANK($B276),"",VLOOKUP($B276,PO_Enrgy_1_Table,MATCH($K$16,PO_Enrgy_1_Hdr,0),FALSE)),"")</f>
        <v>0.99999999999999989</v>
      </c>
      <c r="R276" s="1043">
        <f>IFERROR(IF(ISBLANK($B276),"",VLOOKUP($B276,PO_Enrgy_1_Table,MATCH($M$16,PO_Enrgy_1_Hdr,0),FALSE)),"")</f>
        <v>0.99999999999999989</v>
      </c>
      <c r="AH276" s="546"/>
      <c r="AI276" s="546"/>
      <c r="AJ276" s="15"/>
      <c r="AL276" s="550"/>
      <c r="AM276" s="551"/>
      <c r="AN276" s="552"/>
    </row>
    <row r="277" spans="1:40" s="528" customFormat="1" ht="21" hidden="1" customHeight="1" x14ac:dyDescent="0.3">
      <c r="A277" s="1063" t="s">
        <v>1299</v>
      </c>
      <c r="B277" s="2693" t="str">
        <f>"Energy model subtotal (" &amp; PO_SiteUnits &amp; ")"</f>
        <v>Energy model subtotal (MWh)</v>
      </c>
      <c r="C277" s="2693"/>
      <c r="D277" s="2693"/>
      <c r="E277" s="1180">
        <f>IFERROR(SUMPRODUCT(INDEX(PO_Enrgy_11_Table,0,MATCH(E$273,PO_Enrgy_11_Hdr,0)),INDEX(PO_Enrgy_11_Table,0,MATCH($Q$273,PO_Enrgy_11_Hdr,0))),"")</f>
        <v>0</v>
      </c>
      <c r="F277" s="1172">
        <f>IFERROR(SUM(INDEX(PO_Enrgy_11_Table,0,MATCH(F$273,PO_Enrgy_11_Hdr,0))),"")</f>
        <v>0</v>
      </c>
      <c r="G277" s="1164">
        <f>IFERROR(SUM(INDEX(PO_Enrgy_11_Table,0,MATCH(G$273,PO_Enrgy_11_Hdr,0))),"")</f>
        <v>0</v>
      </c>
      <c r="H277" s="1180">
        <f>IFERROR(SUMPRODUCT(INDEX(PO_Enrgy_11_Table,0,MATCH(H$273,PO_Enrgy_11_Hdr,0)),INDEX(PO_Enrgy_11_Table,0,MATCH($Q$273,PO_Enrgy_11_Hdr,0))),"")</f>
        <v>0</v>
      </c>
      <c r="I277" s="1172">
        <f>IFERROR(SUM(INDEX(PO_Enrgy_11_Table,0,MATCH(I$273,PO_Enrgy_11_Hdr,0))),"")</f>
        <v>0</v>
      </c>
      <c r="J277" s="1164">
        <f>IFERROR(SUM(INDEX(PO_Enrgy_11_Table,0,MATCH(J$273,PO_Enrgy_11_Hdr,0))),"")</f>
        <v>0</v>
      </c>
      <c r="K277" s="2690" t="str">
        <f>IFERROR(1-H277/E277,"")</f>
        <v/>
      </c>
      <c r="L277" s="2691"/>
      <c r="M277" s="1163" t="str">
        <f>IFERROR(1-J277/G277,"")</f>
        <v/>
      </c>
      <c r="N277" s="502"/>
      <c r="O277" s="502"/>
      <c r="P277" s="502"/>
      <c r="AJ277" s="15"/>
      <c r="AL277" s="550"/>
      <c r="AM277" s="551"/>
    </row>
    <row r="278" spans="1:40" s="528" customFormat="1" ht="21.75" hidden="1" customHeight="1" x14ac:dyDescent="0.25">
      <c r="A278" s="1063" t="s">
        <v>1299</v>
      </c>
      <c r="B278" s="2717"/>
      <c r="C278" s="2836"/>
      <c r="D278" s="2836"/>
      <c r="E278" s="2836"/>
      <c r="F278" s="2836"/>
      <c r="G278" s="2836"/>
      <c r="H278" s="2836"/>
      <c r="I278" s="2836"/>
      <c r="J278" s="2836"/>
      <c r="K278" s="2836"/>
      <c r="L278" s="2836"/>
      <c r="M278" s="720"/>
      <c r="N278" s="502"/>
      <c r="O278" s="502"/>
      <c r="P278" s="502"/>
      <c r="AL278" s="553"/>
      <c r="AM278" s="554"/>
    </row>
    <row r="279" spans="1:40" ht="19.5" hidden="1" customHeight="1" x14ac:dyDescent="0.3">
      <c r="A279" s="1063" t="s">
        <v>1299</v>
      </c>
      <c r="B279" s="957" t="s">
        <v>1305</v>
      </c>
      <c r="AL279" s="572"/>
      <c r="AM279" s="573"/>
    </row>
    <row r="280" spans="1:40" ht="32.25" hidden="1" customHeight="1" x14ac:dyDescent="0.3">
      <c r="A280" s="1063" t="s">
        <v>1299</v>
      </c>
      <c r="B280" s="2698" t="s">
        <v>444</v>
      </c>
      <c r="C280" s="2402" t="s">
        <v>1805</v>
      </c>
      <c r="D280" s="2699"/>
      <c r="E280" s="2767" t="s">
        <v>1271</v>
      </c>
      <c r="F280" s="2767"/>
      <c r="G280" s="2767"/>
      <c r="H280" s="2722" t="s">
        <v>1172</v>
      </c>
      <c r="I280" s="2767"/>
      <c r="J280" s="2767"/>
      <c r="K280" s="2722" t="s">
        <v>448</v>
      </c>
      <c r="L280" s="2722"/>
      <c r="M280" s="2722"/>
      <c r="N280" s="2832"/>
      <c r="O280" s="2832"/>
      <c r="P280" s="2832"/>
      <c r="AJ280" s="15"/>
      <c r="AL280" s="550"/>
      <c r="AM280" s="551"/>
    </row>
    <row r="281" spans="1:40" ht="48" hidden="1" customHeight="1" x14ac:dyDescent="0.3">
      <c r="A281" s="1063" t="s">
        <v>1299</v>
      </c>
      <c r="B281" s="2699"/>
      <c r="C281" s="2699"/>
      <c r="D281" s="2699"/>
      <c r="E281" s="1048" t="s">
        <v>1117</v>
      </c>
      <c r="F281" s="1049" t="str">
        <f>"Source Energy Use ("  &amp; PO_SourceUnits &amp; ")"</f>
        <v>Source Energy Use (MWh)</v>
      </c>
      <c r="G281" s="1048" t="s">
        <v>446</v>
      </c>
      <c r="H281" s="1048" t="s">
        <v>1117</v>
      </c>
      <c r="I281" s="1049" t="str">
        <f>"Source Energy Use ("  &amp; PO_SourceUnits &amp; ")"</f>
        <v>Source Energy Use (MWh)</v>
      </c>
      <c r="J281" s="1048" t="s">
        <v>446</v>
      </c>
      <c r="K281" s="2722" t="s">
        <v>447</v>
      </c>
      <c r="L281" s="2723"/>
      <c r="M281" s="1048" t="s">
        <v>446</v>
      </c>
      <c r="N281" s="578"/>
      <c r="O281" s="578"/>
      <c r="P281" s="578"/>
      <c r="AJ281" s="15"/>
    </row>
    <row r="282" spans="1:40" s="1076" customFormat="1" ht="15" hidden="1" customHeight="1" x14ac:dyDescent="0.3">
      <c r="A282" s="1063" t="s">
        <v>1299</v>
      </c>
      <c r="B282" s="1099" t="s">
        <v>1765</v>
      </c>
      <c r="C282" s="1091" t="s">
        <v>1793</v>
      </c>
      <c r="D282" s="1099"/>
      <c r="E282" s="1100" t="s">
        <v>1821</v>
      </c>
      <c r="F282" s="1099" t="s">
        <v>1822</v>
      </c>
      <c r="G282" s="1100" t="s">
        <v>1823</v>
      </c>
      <c r="H282" s="1100" t="s">
        <v>1806</v>
      </c>
      <c r="I282" s="1099" t="s">
        <v>1807</v>
      </c>
      <c r="J282" s="1100" t="s">
        <v>1808</v>
      </c>
      <c r="K282" s="1100" t="s">
        <v>1824</v>
      </c>
      <c r="L282" s="1091"/>
      <c r="M282" s="1100" t="s">
        <v>1810</v>
      </c>
      <c r="N282" s="1094"/>
      <c r="O282" s="1094"/>
      <c r="P282" s="1094"/>
      <c r="Q282" s="1042" t="s">
        <v>1776</v>
      </c>
      <c r="R282" s="1042" t="s">
        <v>1777</v>
      </c>
      <c r="AJ282" s="1077"/>
    </row>
    <row r="283" spans="1:40" ht="15" hidden="1" customHeight="1" x14ac:dyDescent="0.3">
      <c r="A283" s="1063" t="s">
        <v>1299</v>
      </c>
      <c r="B283" s="1177" t="str">
        <f>IFERROR(IF(ISBLANK(B17),"",B17),"")</f>
        <v>Electricity</v>
      </c>
      <c r="C283" s="2688" t="str">
        <f>IFERROR(IF(ISBLANK($B283),"",VLOOKUP($B283,PO_Enrgy_1_Table,MATCH($C$16,PO_Enrgy_1_Hdr,0),FALSE) ),"")</f>
        <v>kWh</v>
      </c>
      <c r="D283" s="2689" t="e">
        <f>IF(C283="","",VLOOKUP(C283,ProjectEnergyTypeTable,3,FALSE))</f>
        <v>#NAME?</v>
      </c>
      <c r="E283" s="1188">
        <f>IFERROR(VLOOKUP($B283,PO_Enrgy_10_Table,MATCH($E$262,PO_Enrgy_10_Hdr,0),FALSE),"")</f>
        <v>0</v>
      </c>
      <c r="F283" s="1188">
        <f>IFERROR(E283*$R283,"")</f>
        <v>0</v>
      </c>
      <c r="G283" s="1164">
        <f>IFERROR(VLOOKUP($B283,PO_Enrgy_10_Table,MATCH($G$262,PO_Enrgy_10_Hdr,0),FALSE),"")</f>
        <v>0</v>
      </c>
      <c r="H283" s="1188">
        <f>IFERROR(VLOOKUP($B283,PO_Enrgy_10_Table,MATCH($H$262,PO_Enrgy_10_Hdr,0),FALSE),"")</f>
        <v>0</v>
      </c>
      <c r="I283" s="1188">
        <f>IFERROR(H283*$R283,"")</f>
        <v>0</v>
      </c>
      <c r="J283" s="1164">
        <f>IFERROR(VLOOKUP($B283,PO_Enrgy_10_Table,MATCH($J$262,PO_Enrgy_10_Hdr,0),FALSE),"")</f>
        <v>0</v>
      </c>
      <c r="K283" s="2692" t="str">
        <f>IFERROR(1-H283/E283,"")</f>
        <v/>
      </c>
      <c r="L283" s="2691"/>
      <c r="M283" s="1360" t="str">
        <f>IFERROR(1-J283/G283,"")</f>
        <v/>
      </c>
      <c r="Q283" s="1043">
        <f>IFERROR(IF(ISBLANK($B283),"",VLOOKUP($B283,PO_Enrgy_1_Table,MATCH($K$16,PO_Enrgy_1_Hdr,0),FALSE)),"")</f>
        <v>9.999999999999998E-4</v>
      </c>
      <c r="R283" s="1043">
        <f>IFERROR(IF(ISBLANK($B283),"",VLOOKUP($B283,PO_Enrgy_1_Table,MATCH($M$16,PO_Enrgy_1_Hdr,0),FALSE)),"")</f>
        <v>3.1399999999999996E-3</v>
      </c>
      <c r="AH283" s="546"/>
      <c r="AI283" s="546"/>
      <c r="AJ283" s="15"/>
      <c r="AL283" s="550"/>
      <c r="AM283" s="551"/>
      <c r="AN283" s="552"/>
    </row>
    <row r="284" spans="1:40" ht="15" hidden="1" customHeight="1" x14ac:dyDescent="0.3">
      <c r="A284" s="1063" t="s">
        <v>1299</v>
      </c>
      <c r="B284" s="1177" t="str">
        <f>IFERROR(IF(ISBLANK(B18),"",B18),"")</f>
        <v>Natural Gas</v>
      </c>
      <c r="C284" s="2688" t="str">
        <f>IFERROR(IF(ISBLANK($B284),"",VLOOKUP($B284,PO_Enrgy_1_Table,MATCH($C$16,PO_Enrgy_1_Hdr,0),FALSE) ),"")</f>
        <v>therm</v>
      </c>
      <c r="D284" s="2689" t="e">
        <f>IF(C284="","",VLOOKUP(C284,ProjectEnergyTypeTable,3,FALSE))</f>
        <v>#NAME?</v>
      </c>
      <c r="E284" s="1188">
        <f>IFERROR(VLOOKUP($B284,PO_Enrgy_10_Table,MATCH($E$262,PO_Enrgy_10_Hdr,0),FALSE),"")</f>
        <v>0</v>
      </c>
      <c r="F284" s="1188">
        <f>IFERROR(E284*$R284,"")</f>
        <v>0</v>
      </c>
      <c r="G284" s="1164">
        <f>IFERROR(VLOOKUP($B284,PO_Enrgy_10_Table,MATCH($G$262,PO_Enrgy_10_Hdr,0),FALSE),"")</f>
        <v>0</v>
      </c>
      <c r="H284" s="1188">
        <f>IFERROR(VLOOKUP($B284,PO_Enrgy_10_Table,MATCH($H$262,PO_Enrgy_10_Hdr,0),FALSE),"")</f>
        <v>0</v>
      </c>
      <c r="I284" s="1188">
        <f>IFERROR(H284*$R284,"")</f>
        <v>0</v>
      </c>
      <c r="J284" s="1164">
        <f>IFERROR(VLOOKUP($B284,PO_Enrgy_10_Table,MATCH($J$262,PO_Enrgy_10_Hdr,0),FALSE),"")</f>
        <v>0</v>
      </c>
      <c r="K284" s="2692" t="str">
        <f>IFERROR(1-H284/E284,"")</f>
        <v/>
      </c>
      <c r="L284" s="2691"/>
      <c r="M284" s="1360" t="str">
        <f>IFERROR(1-J284/G284,"")</f>
        <v/>
      </c>
      <c r="Q284" s="1043">
        <f>IFERROR(IF(ISBLANK($B284),"",VLOOKUP($B284,PO_Enrgy_1_Table,MATCH($K$16,PO_Enrgy_1_Hdr,0),FALSE)),"")</f>
        <v>2.9308323563892142E-2</v>
      </c>
      <c r="R284" s="1043">
        <f>IFERROR(IF(ISBLANK($B284),"",VLOOKUP($B284,PO_Enrgy_1_Table,MATCH($M$16,PO_Enrgy_1_Hdr,0),FALSE)),"")</f>
        <v>3.0773739742086751E-2</v>
      </c>
      <c r="AH284" s="546"/>
      <c r="AI284" s="546"/>
      <c r="AJ284" s="15"/>
      <c r="AL284" s="550"/>
      <c r="AM284" s="551"/>
      <c r="AN284" s="552"/>
    </row>
    <row r="285" spans="1:40" ht="15" hidden="1" customHeight="1" x14ac:dyDescent="0.3">
      <c r="A285" s="1063" t="s">
        <v>1299</v>
      </c>
      <c r="B285" s="1177" t="str">
        <f>IFERROR(IF(ISBLANK(B19),"",B19),"")</f>
        <v>District Cooling</v>
      </c>
      <c r="C285" s="2688" t="str">
        <f>IFERROR(IF(ISBLANK($B285),"",VLOOKUP($B285,PO_Enrgy_1_Table,MATCH($C$16,PO_Enrgy_1_Hdr,0),FALSE) ),"")</f>
        <v>MWh</v>
      </c>
      <c r="D285" s="2689" t="e">
        <f>IF(C285="","",VLOOKUP(C285,ProjectEnergyTypeTable,3,FALSE))</f>
        <v>#NAME?</v>
      </c>
      <c r="E285" s="1188">
        <f>IFERROR(VLOOKUP($B285,PO_Enrgy_10_Table,MATCH($E$262,PO_Enrgy_10_Hdr,0),FALSE),"")</f>
        <v>0</v>
      </c>
      <c r="F285" s="1188">
        <f>IFERROR(E285*$R285,"")</f>
        <v>0</v>
      </c>
      <c r="G285" s="1164">
        <f>IFERROR(VLOOKUP($B285,PO_Enrgy_10_Table,MATCH($G$262,PO_Enrgy_10_Hdr,0),FALSE),"")</f>
        <v>0</v>
      </c>
      <c r="H285" s="1188">
        <f>IFERROR(VLOOKUP($B285,PO_Enrgy_10_Table,MATCH($H$262,PO_Enrgy_10_Hdr,0),FALSE),"")</f>
        <v>0</v>
      </c>
      <c r="I285" s="1188">
        <f>IFERROR(H285*$R285,"")</f>
        <v>0</v>
      </c>
      <c r="J285" s="1164">
        <f>IFERROR(VLOOKUP($B285,PO_Enrgy_10_Table,MATCH($J$262,PO_Enrgy_10_Hdr,0),FALSE),"")</f>
        <v>0</v>
      </c>
      <c r="K285" s="2692" t="str">
        <f>IFERROR(1-H285/E285,"")</f>
        <v/>
      </c>
      <c r="L285" s="2691"/>
      <c r="M285" s="1360" t="str">
        <f>IFERROR(1-J285/G285,"")</f>
        <v/>
      </c>
      <c r="Q285" s="1043">
        <f>IFERROR(IF(ISBLANK($B285),"",VLOOKUP($B285,PO_Enrgy_1_Table,MATCH($K$16,PO_Enrgy_1_Hdr,0),FALSE)),"")</f>
        <v>0.99999999999999989</v>
      </c>
      <c r="R285" s="1043">
        <f>IFERROR(IF(ISBLANK($B285),"",VLOOKUP($B285,PO_Enrgy_1_Table,MATCH($M$16,PO_Enrgy_1_Hdr,0),FALSE)),"")</f>
        <v>0.99999999999999989</v>
      </c>
      <c r="AH285" s="546"/>
      <c r="AI285" s="546"/>
      <c r="AJ285" s="15"/>
      <c r="AL285" s="550"/>
      <c r="AM285" s="551"/>
      <c r="AN285" s="552"/>
    </row>
    <row r="286" spans="1:40" s="528" customFormat="1" ht="21" hidden="1" customHeight="1" x14ac:dyDescent="0.3">
      <c r="A286" s="1063" t="s">
        <v>1299</v>
      </c>
      <c r="B286" s="2693" t="str">
        <f>"Energy model subtotal (" &amp; PO_SiteUnits &amp; ")"</f>
        <v>Energy model subtotal (MWh)</v>
      </c>
      <c r="C286" s="2693"/>
      <c r="D286" s="2693"/>
      <c r="E286" s="1161">
        <f>IFERROR(SUMPRODUCT(INDEX(PO_Enrgy_12_Table,0,MATCH(E$282,PO_Enrgy_12_Hdr,0)),INDEX(PO_Enrgy_12_Table,0,MATCH($Q$282,PO_Enrgy_12_Hdr,0))),"")</f>
        <v>0</v>
      </c>
      <c r="F286" s="1161">
        <f>IFERROR(SUM(INDEX(PO_Enrgy_12_Table,0,MATCH(F$282,PO_Enrgy_12_Hdr,0))),"")</f>
        <v>0</v>
      </c>
      <c r="G286" s="1164">
        <f>IFERROR(SUM(INDEX(PO_Enrgy_12_Table,0,MATCH(G$282,PO_Enrgy_12_Hdr,0))),"")</f>
        <v>0</v>
      </c>
      <c r="H286" s="1161">
        <f>IFERROR(SUMPRODUCT(INDEX(PO_Enrgy_12_Table,0,MATCH(H$282,PO_Enrgy_12_Hdr,0)),INDEX(PO_Enrgy_12_Table,0,MATCH($Q$282,PO_Enrgy_12_Hdr,0))),"")</f>
        <v>0</v>
      </c>
      <c r="I286" s="1161">
        <f>IFERROR(SUM(INDEX(PO_Enrgy_12_Table,0,MATCH(I$282,PO_Enrgy_12_Hdr,0))),"")</f>
        <v>0</v>
      </c>
      <c r="J286" s="1164">
        <f>IFERROR(SUM(INDEX(PO_Enrgy_12_Table,0,MATCH(J$282,PO_Enrgy_12_Hdr,0))),"")</f>
        <v>0</v>
      </c>
      <c r="K286" s="2690" t="str">
        <f>IFERROR(1-H286/E286,"")</f>
        <v/>
      </c>
      <c r="L286" s="2691"/>
      <c r="M286" s="1163" t="str">
        <f>IFERROR(1-J286/G286,"")</f>
        <v/>
      </c>
      <c r="N286" s="502"/>
      <c r="O286" s="502"/>
      <c r="P286" s="502"/>
      <c r="AJ286" s="15"/>
      <c r="AL286" s="550"/>
      <c r="AM286" s="551"/>
    </row>
    <row r="287" spans="1:40" s="528" customFormat="1" ht="21.75" hidden="1" customHeight="1" x14ac:dyDescent="0.25">
      <c r="A287" s="1063" t="s">
        <v>1299</v>
      </c>
      <c r="B287" s="2717"/>
      <c r="C287" s="2836"/>
      <c r="D287" s="2836"/>
      <c r="E287" s="2836"/>
      <c r="F287" s="2836"/>
      <c r="G287" s="2836"/>
      <c r="H287" s="2836"/>
      <c r="I287" s="2836"/>
      <c r="J287" s="2836"/>
      <c r="K287" s="2836"/>
      <c r="L287" s="2836"/>
      <c r="M287" s="720"/>
      <c r="N287" s="502"/>
      <c r="O287" s="502"/>
      <c r="P287" s="502"/>
      <c r="AL287" s="553"/>
      <c r="AM287" s="554"/>
    </row>
    <row r="288" spans="1:40" ht="21.75" hidden="1" customHeight="1" x14ac:dyDescent="0.3">
      <c r="A288" s="1063" t="s">
        <v>1299</v>
      </c>
      <c r="B288" s="957" t="s">
        <v>1306</v>
      </c>
      <c r="AL288" s="572"/>
      <c r="AM288" s="573"/>
    </row>
    <row r="289" spans="1:55" ht="32.25" hidden="1" customHeight="1" x14ac:dyDescent="0.3">
      <c r="A289" s="1063" t="s">
        <v>1299</v>
      </c>
      <c r="B289" s="2698" t="s">
        <v>444</v>
      </c>
      <c r="C289" s="2402" t="s">
        <v>1805</v>
      </c>
      <c r="D289" s="2699"/>
      <c r="E289" s="2837" t="s">
        <v>1307</v>
      </c>
      <c r="F289" s="2837"/>
      <c r="G289" s="2837"/>
      <c r="H289" s="2838" t="s">
        <v>454</v>
      </c>
      <c r="I289" s="2837"/>
      <c r="J289" s="2837"/>
      <c r="K289" s="2838" t="s">
        <v>448</v>
      </c>
      <c r="L289" s="2838"/>
      <c r="M289" s="2839"/>
      <c r="N289" s="2832"/>
      <c r="O289" s="2832"/>
      <c r="P289" s="2832"/>
      <c r="AJ289" s="15"/>
      <c r="AL289" s="550"/>
      <c r="AM289" s="551"/>
    </row>
    <row r="290" spans="1:55" ht="48" hidden="1" customHeight="1" x14ac:dyDescent="0.3">
      <c r="A290" s="1063" t="s">
        <v>1299</v>
      </c>
      <c r="B290" s="2699"/>
      <c r="C290" s="2699"/>
      <c r="D290" s="2699"/>
      <c r="E290" s="1048" t="s">
        <v>1117</v>
      </c>
      <c r="F290" s="1049" t="str">
        <f>"Source Energy Use ("  &amp; PO_SourceUnits &amp; ")"</f>
        <v>Source Energy Use (MWh)</v>
      </c>
      <c r="G290" s="1048" t="s">
        <v>446</v>
      </c>
      <c r="H290" s="1048" t="s">
        <v>1117</v>
      </c>
      <c r="I290" s="1049" t="str">
        <f>"Source Energy Use ("  &amp; PO_SourceUnits &amp; ")"</f>
        <v>Source Energy Use (MWh)</v>
      </c>
      <c r="J290" s="1048" t="s">
        <v>446</v>
      </c>
      <c r="K290" s="2722" t="s">
        <v>447</v>
      </c>
      <c r="L290" s="2723"/>
      <c r="M290" s="1182" t="s">
        <v>446</v>
      </c>
      <c r="N290" s="578"/>
      <c r="O290" s="578"/>
      <c r="P290" s="578"/>
      <c r="AJ290" s="15"/>
    </row>
    <row r="291" spans="1:55" s="1076" customFormat="1" ht="15" hidden="1" customHeight="1" x14ac:dyDescent="0.3">
      <c r="A291" s="1063" t="s">
        <v>1299</v>
      </c>
      <c r="B291" s="1098" t="s">
        <v>1765</v>
      </c>
      <c r="C291" s="1091" t="s">
        <v>1793</v>
      </c>
      <c r="D291" s="1099"/>
      <c r="E291" s="1100" t="s">
        <v>1821</v>
      </c>
      <c r="F291" s="1099" t="s">
        <v>1822</v>
      </c>
      <c r="G291" s="1100" t="s">
        <v>1823</v>
      </c>
      <c r="H291" s="1100" t="s">
        <v>1806</v>
      </c>
      <c r="I291" s="1099" t="s">
        <v>1807</v>
      </c>
      <c r="J291" s="1100" t="s">
        <v>1808</v>
      </c>
      <c r="K291" s="1100" t="s">
        <v>1824</v>
      </c>
      <c r="L291" s="1091"/>
      <c r="M291" s="1101" t="s">
        <v>1810</v>
      </c>
      <c r="N291" s="1094"/>
      <c r="O291" s="1094"/>
      <c r="P291" s="1094"/>
      <c r="Q291" s="1042" t="s">
        <v>1776</v>
      </c>
      <c r="R291" s="1042" t="s">
        <v>1777</v>
      </c>
      <c r="AJ291" s="1077"/>
    </row>
    <row r="292" spans="1:55" ht="15" hidden="1" customHeight="1" x14ac:dyDescent="0.3">
      <c r="A292" s="1063" t="s">
        <v>1299</v>
      </c>
      <c r="B292" s="1972" t="str">
        <f>IFERROR(IF(ISBLANK(B17),"",B17),"")</f>
        <v>Electricity</v>
      </c>
      <c r="C292" s="2688" t="str">
        <f>IFERROR(IF(ISBLANK($B292),"",VLOOKUP($B292,PO_Enrgy_1_Table,MATCH($C$16,PO_Enrgy_1_Hdr,0),FALSE) ),"")</f>
        <v>kWh</v>
      </c>
      <c r="D292" s="2689" t="e">
        <f>IF(C292="","",VLOOKUP(C292,ProjectEnergyTypeTable,3,FALSE))</f>
        <v>#NAME?</v>
      </c>
      <c r="E292" s="1200">
        <f>IFERROR(IF(Datacenter_Avg=TRUE,AVERAGE(VLOOKUP($B292,PO_Enrgy_11_Table,MATCH($E$273,PO_Enrgy_11_Hdr,0),FALSE),VLOOKUP($B292,PO_Enrgy_12_Table,MATCH($E$282,PO_Enrgy_12_Hdr,0),FALSE)),VLOOKUP($B292,PO_Enrgy_12_Table,MATCH($E$282,PO_Enrgy_12_Hdr,0),FALSE)),"")</f>
        <v>0</v>
      </c>
      <c r="F292" s="1200">
        <f>IFERROR(E292*$R292,"")</f>
        <v>0</v>
      </c>
      <c r="G292" s="1164">
        <f>IFERROR(IF(Datacenter_Avg=TRUE,AVERAGE(VLOOKUP($B292,PO_Enrgy_11_Table,MATCH($G$273,PO_Enrgy_11_Hdr,0),FALSE),VLOOKUP($B292,PO_Enrgy_12_Table,MATCH($G$282,PO_Enrgy_12_Hdr,0),FALSE)),VLOOKUP($B292,PO_Enrgy_12_Table,MATCH($G$282,PO_Enrgy_12_Hdr,0),FALSE)),"")</f>
        <v>0</v>
      </c>
      <c r="H292" s="1200">
        <f>IFERROR(IF(Datacenter_Avg=TRUE,AVERAGE(VLOOKUP($B292,PO_Enrgy_11_Table,MATCH($H$273,PO_Enrgy_11_Hdr,0),FALSE),VLOOKUP($B292,PO_Enrgy_12_Table,MATCH($H$282,PO_Enrgy_12_Hdr,0),FALSE)),VLOOKUP($B292,PO_Enrgy_12_Table,MATCH($H$282,PO_Enrgy_12_Hdr,0),FALSE)),"")</f>
        <v>0</v>
      </c>
      <c r="I292" s="1200">
        <f>IFERROR(H292*$R292,"")</f>
        <v>0</v>
      </c>
      <c r="J292" s="1164">
        <f>IFERROR(IF(Datacenter_Avg=TRUE,AVERAGE(VLOOKUP($B292,PO_Enrgy_11_Table,MATCH($J$273,PO_Enrgy_11_Hdr,0),FALSE),VLOOKUP($B292,PO_Enrgy_12_Table,MATCH($J$282,PO_Enrgy_12_Hdr,0),FALSE)),VLOOKUP($B292,PO_Enrgy_12_Table,MATCH($J$282,PO_Enrgy_12_Hdr,0),FALSE)),"")</f>
        <v>0</v>
      </c>
      <c r="K292" s="2692" t="str">
        <f>IFERROR(1-H292/E292,"")</f>
        <v/>
      </c>
      <c r="L292" s="2691"/>
      <c r="M292" s="1201" t="str">
        <f>IFERROR(1-J292/G292,"")</f>
        <v/>
      </c>
      <c r="Q292" s="1043">
        <f>IFERROR(IF(ISBLANK($B292),"",VLOOKUP($B292,PO_Enrgy_1_Table,MATCH($K$16,PO_Enrgy_1_Hdr,0),FALSE)),"")</f>
        <v>9.999999999999998E-4</v>
      </c>
      <c r="R292" s="1043">
        <f>IFERROR(IF(ISBLANK($B292),"",VLOOKUP($B292,PO_Enrgy_1_Table,MATCH($M$16,PO_Enrgy_1_Hdr,0),FALSE)),"")</f>
        <v>3.1399999999999996E-3</v>
      </c>
      <c r="AH292" s="546"/>
      <c r="AI292" s="546"/>
      <c r="AJ292" s="15"/>
      <c r="AL292" s="550"/>
      <c r="AM292" s="551"/>
      <c r="AN292" s="552"/>
    </row>
    <row r="293" spans="1:55" ht="15" hidden="1" customHeight="1" x14ac:dyDescent="0.3">
      <c r="A293" s="1063" t="s">
        <v>1299</v>
      </c>
      <c r="B293" s="1972" t="str">
        <f>IFERROR(IF(ISBLANK(B18),"",B18),"")</f>
        <v>Natural Gas</v>
      </c>
      <c r="C293" s="2688" t="str">
        <f>IFERROR(IF(ISBLANK($B293),"",VLOOKUP($B293,PO_Enrgy_1_Table,MATCH($C$16,PO_Enrgy_1_Hdr,0),FALSE) ),"")</f>
        <v>therm</v>
      </c>
      <c r="D293" s="2689" t="e">
        <f>IF(C293="","",VLOOKUP(C293,ProjectEnergyTypeTable,3,FALSE))</f>
        <v>#NAME?</v>
      </c>
      <c r="E293" s="1200">
        <f>IFERROR(IF(Datacenter_Avg=TRUE,AVERAGE(VLOOKUP($B293,PO_Enrgy_11_Table,MATCH($E$273,PO_Enrgy_11_Hdr,0),FALSE),VLOOKUP($B293,PO_Enrgy_12_Table,MATCH($E$282,PO_Enrgy_12_Hdr,0),FALSE)),VLOOKUP($B293,PO_Enrgy_12_Table,MATCH($E$282,PO_Enrgy_12_Hdr,0),FALSE)),"")</f>
        <v>0</v>
      </c>
      <c r="F293" s="1200">
        <f>IFERROR(E293*$R293,"")</f>
        <v>0</v>
      </c>
      <c r="G293" s="1164">
        <f>IFERROR(IF(Datacenter_Avg=TRUE,AVERAGE(VLOOKUP($B293,PO_Enrgy_11_Table,MATCH($G$273,PO_Enrgy_11_Hdr,0),FALSE),VLOOKUP($B293,PO_Enrgy_12_Table,MATCH($G$282,PO_Enrgy_12_Hdr,0),FALSE)),VLOOKUP($B293,PO_Enrgy_12_Table,MATCH($G$282,PO_Enrgy_12_Hdr,0),FALSE)),"")</f>
        <v>0</v>
      </c>
      <c r="H293" s="1200">
        <f>IFERROR(IF(Datacenter_Avg=TRUE,AVERAGE(VLOOKUP($B293,PO_Enrgy_11_Table,MATCH($H$273,PO_Enrgy_11_Hdr,0),FALSE),VLOOKUP($B293,PO_Enrgy_12_Table,MATCH($H$282,PO_Enrgy_12_Hdr,0),FALSE)),VLOOKUP($B293,PO_Enrgy_12_Table,MATCH($H$282,PO_Enrgy_12_Hdr,0),FALSE)),"")</f>
        <v>0</v>
      </c>
      <c r="I293" s="1200">
        <f>IFERROR(H293*$R293,"")</f>
        <v>0</v>
      </c>
      <c r="J293" s="1164">
        <f>IFERROR(IF(Datacenter_Avg=TRUE,AVERAGE(VLOOKUP($B293,PO_Enrgy_11_Table,MATCH($J$273,PO_Enrgy_11_Hdr,0),FALSE),VLOOKUP($B293,PO_Enrgy_12_Table,MATCH($J$282,PO_Enrgy_12_Hdr,0),FALSE)),VLOOKUP($B293,PO_Enrgy_12_Table,MATCH($J$282,PO_Enrgy_12_Hdr,0),FALSE)),"")</f>
        <v>0</v>
      </c>
      <c r="K293" s="2692" t="str">
        <f>IFERROR(1-H293/E293,"")</f>
        <v/>
      </c>
      <c r="L293" s="2691"/>
      <c r="M293" s="1201" t="str">
        <f>IFERROR(1-J293/G293,"")</f>
        <v/>
      </c>
      <c r="Q293" s="1043">
        <f>IFERROR(IF(ISBLANK($B293),"",VLOOKUP($B293,PO_Enrgy_1_Table,MATCH($K$16,PO_Enrgy_1_Hdr,0),FALSE)),"")</f>
        <v>2.9308323563892142E-2</v>
      </c>
      <c r="R293" s="1043">
        <f>IFERROR(IF(ISBLANK($B293),"",VLOOKUP($B293,PO_Enrgy_1_Table,MATCH($M$16,PO_Enrgy_1_Hdr,0),FALSE)),"")</f>
        <v>3.0773739742086751E-2</v>
      </c>
      <c r="AH293" s="546"/>
      <c r="AI293" s="546"/>
      <c r="AJ293" s="15"/>
      <c r="AL293" s="550"/>
      <c r="AM293" s="551"/>
      <c r="AN293" s="552"/>
    </row>
    <row r="294" spans="1:55" ht="15" hidden="1" customHeight="1" x14ac:dyDescent="0.3">
      <c r="A294" s="1063" t="s">
        <v>1299</v>
      </c>
      <c r="B294" s="1972" t="str">
        <f>IFERROR(IF(ISBLANK(B19),"",B19),"")</f>
        <v>District Cooling</v>
      </c>
      <c r="C294" s="2688" t="str">
        <f>IFERROR(IF(ISBLANK($B294),"",VLOOKUP($B294,PO_Enrgy_1_Table,MATCH($C$16,PO_Enrgy_1_Hdr,0),FALSE) ),"")</f>
        <v>MWh</v>
      </c>
      <c r="D294" s="2689" t="e">
        <f>IF(C294="","",VLOOKUP(C294,ProjectEnergyTypeTable,3,FALSE))</f>
        <v>#NAME?</v>
      </c>
      <c r="E294" s="1200">
        <f>IFERROR(IF(Datacenter_Avg=TRUE,AVERAGE(VLOOKUP($B294,PO_Enrgy_11_Table,MATCH($E$273,PO_Enrgy_11_Hdr,0),FALSE),VLOOKUP($B294,PO_Enrgy_12_Table,MATCH($E$282,PO_Enrgy_12_Hdr,0),FALSE)),VLOOKUP($B294,PO_Enrgy_12_Table,MATCH($E$282,PO_Enrgy_12_Hdr,0),FALSE)),"")</f>
        <v>0</v>
      </c>
      <c r="F294" s="1200">
        <f>IFERROR(E294*$R294,"")</f>
        <v>0</v>
      </c>
      <c r="G294" s="1164">
        <f>IFERROR(IF(Datacenter_Avg=TRUE,AVERAGE(VLOOKUP($B294,PO_Enrgy_11_Table,MATCH($G$273,PO_Enrgy_11_Hdr,0),FALSE),VLOOKUP($B294,PO_Enrgy_12_Table,MATCH($G$282,PO_Enrgy_12_Hdr,0),FALSE)),VLOOKUP($B294,PO_Enrgy_12_Table,MATCH($G$282,PO_Enrgy_12_Hdr,0),FALSE)),"")</f>
        <v>0</v>
      </c>
      <c r="H294" s="1200">
        <f>IFERROR(IF(Datacenter_Avg=TRUE,AVERAGE(VLOOKUP($B294,PO_Enrgy_11_Table,MATCH($H$273,PO_Enrgy_11_Hdr,0),FALSE),VLOOKUP($B294,PO_Enrgy_12_Table,MATCH($H$282,PO_Enrgy_12_Hdr,0),FALSE)),VLOOKUP($B294,PO_Enrgy_12_Table,MATCH($H$282,PO_Enrgy_12_Hdr,0),FALSE)),"")</f>
        <v>0</v>
      </c>
      <c r="I294" s="1200">
        <f>IFERROR(H294*$R294,"")</f>
        <v>0</v>
      </c>
      <c r="J294" s="1164">
        <f>IFERROR(IF(Datacenter_Avg=TRUE,AVERAGE(VLOOKUP($B294,PO_Enrgy_11_Table,MATCH($J$273,PO_Enrgy_11_Hdr,0),FALSE),VLOOKUP($B294,PO_Enrgy_12_Table,MATCH($J$282,PO_Enrgy_12_Hdr,0),FALSE)),VLOOKUP($B294,PO_Enrgy_12_Table,MATCH($J$282,PO_Enrgy_12_Hdr,0),FALSE)),"")</f>
        <v>0</v>
      </c>
      <c r="K294" s="2692" t="str">
        <f>IFERROR(1-H294/E294,"")</f>
        <v/>
      </c>
      <c r="L294" s="2691"/>
      <c r="M294" s="1201" t="str">
        <f>IFERROR(1-J294/G294,"")</f>
        <v/>
      </c>
      <c r="Q294" s="1043">
        <f>IFERROR(IF(ISBLANK($B294),"",VLOOKUP($B294,PO_Enrgy_1_Table,MATCH($K$16,PO_Enrgy_1_Hdr,0),FALSE)),"")</f>
        <v>0.99999999999999989</v>
      </c>
      <c r="R294" s="1043">
        <f>IFERROR(IF(ISBLANK($B294),"",VLOOKUP($B294,PO_Enrgy_1_Table,MATCH($M$16,PO_Enrgy_1_Hdr,0),FALSE)),"")</f>
        <v>0.99999999999999989</v>
      </c>
      <c r="AH294" s="546"/>
      <c r="AI294" s="546"/>
      <c r="AJ294" s="15"/>
      <c r="AL294" s="550"/>
      <c r="AM294" s="551"/>
      <c r="AN294" s="552"/>
    </row>
    <row r="295" spans="1:55" s="528" customFormat="1" ht="21" hidden="1" customHeight="1" x14ac:dyDescent="0.3">
      <c r="A295" s="1063" t="s">
        <v>1299</v>
      </c>
      <c r="B295" s="2844" t="str">
        <f>"Energy Model Subtotal (" &amp; PO_SiteUnits &amp; ")"</f>
        <v>Energy Model Subtotal (MWh)</v>
      </c>
      <c r="C295" s="2845"/>
      <c r="D295" s="2845"/>
      <c r="E295" s="1183">
        <f>IFERROR(SUMPRODUCT(INDEX(PO_Enrgy_13_Table,0,MATCH(E$291,PO_Enrgy_13_Hdr,0)),INDEX(PO_Enrgy_13_Table,0,MATCH($Q$291,PO_Enrgy_13_Hdr,0))),"")</f>
        <v>0</v>
      </c>
      <c r="F295" s="1184">
        <f>IFERROR(SUM(INDEX(PO_Enrgy_13_Table,0,MATCH(F$291,PO_Enrgy_12_Hdr,0))),"")</f>
        <v>0</v>
      </c>
      <c r="G295" s="1185">
        <f>IFERROR(SUM(INDEX(PO_Enrgy_13_Table,0,MATCH(G$291,PO_Enrgy_12_Hdr,0))),"")</f>
        <v>0</v>
      </c>
      <c r="H295" s="1183">
        <f>IFERROR(SUMPRODUCT(INDEX(PO_Enrgy_13_Table,0,MATCH(H$291,PO_Enrgy_13_Hdr,0)),INDEX(PO_Enrgy_13_Table,0,MATCH($Q$291,PO_Enrgy_13_Hdr,0))),"")</f>
        <v>0</v>
      </c>
      <c r="I295" s="1184">
        <f>IFERROR(SUM(INDEX(PO_Enrgy_13_Table,0,MATCH(I$291,PO_Enrgy_12_Hdr,0))),"")</f>
        <v>0</v>
      </c>
      <c r="J295" s="1185">
        <f>IFERROR(SUM(INDEX(PO_Enrgy_13_Table,0,MATCH(J$291,PO_Enrgy_12_Hdr,0))),"")</f>
        <v>0</v>
      </c>
      <c r="K295" s="2846" t="str">
        <f>IFERROR(1-H295/E295,"")</f>
        <v/>
      </c>
      <c r="L295" s="2847"/>
      <c r="M295" s="1186" t="str">
        <f>IFERROR(1-J295/G295,"")</f>
        <v/>
      </c>
      <c r="N295" s="502"/>
      <c r="O295" s="502"/>
      <c r="P295" s="502"/>
      <c r="AJ295" s="15"/>
      <c r="AL295" s="550"/>
      <c r="AM295" s="551"/>
    </row>
    <row r="296" spans="1:55" s="528" customFormat="1" ht="30" hidden="1" customHeight="1" x14ac:dyDescent="0.25">
      <c r="A296" s="1063" t="s">
        <v>1299</v>
      </c>
      <c r="B296" s="2717"/>
      <c r="C296" s="2836"/>
      <c r="D296" s="2836"/>
      <c r="E296" s="2836"/>
      <c r="F296" s="2836"/>
      <c r="G296" s="2836"/>
      <c r="H296" s="2836"/>
      <c r="I296" s="2836"/>
      <c r="J296" s="2836"/>
      <c r="K296" s="2836"/>
      <c r="L296" s="2836"/>
      <c r="M296" s="720"/>
      <c r="N296" s="502"/>
      <c r="O296" s="502"/>
      <c r="P296" s="502"/>
      <c r="AL296" s="553"/>
      <c r="AM296" s="554"/>
    </row>
    <row r="297" spans="1:55" ht="18" customHeight="1" x14ac:dyDescent="0.3">
      <c r="A297" s="1063" t="s">
        <v>1299</v>
      </c>
      <c r="B297" s="2848" t="s">
        <v>1282</v>
      </c>
      <c r="C297" s="2815"/>
      <c r="D297" s="2815"/>
      <c r="E297" s="2815"/>
      <c r="F297" s="2815"/>
      <c r="G297" s="2849"/>
      <c r="H297" s="2849"/>
      <c r="I297" s="2849"/>
      <c r="J297" s="2849"/>
      <c r="K297" s="2850" t="str">
        <f>$M$295</f>
        <v/>
      </c>
      <c r="L297" s="2825"/>
      <c r="M297" s="2851"/>
      <c r="AJ297" s="15"/>
      <c r="BC297" s="1906"/>
    </row>
    <row r="298" spans="1:55" s="528" customFormat="1" ht="33" customHeight="1" x14ac:dyDescent="0.3">
      <c r="A298" s="1063" t="s">
        <v>1299</v>
      </c>
      <c r="B298" s="532"/>
      <c r="C298" s="532"/>
      <c r="D298" s="532"/>
      <c r="E298" s="533"/>
      <c r="F298" s="533"/>
      <c r="G298" s="577"/>
      <c r="H298" s="533"/>
      <c r="I298" s="533"/>
      <c r="J298" s="577"/>
      <c r="K298" s="720"/>
      <c r="L298" s="720"/>
      <c r="M298" s="720"/>
      <c r="N298" s="502"/>
      <c r="O298" s="502"/>
      <c r="P298" s="502"/>
      <c r="AL298" s="553"/>
      <c r="AM298" s="554"/>
    </row>
    <row r="299" spans="1:55" ht="21.75" customHeight="1" x14ac:dyDescent="0.3">
      <c r="A299" s="1063" t="s">
        <v>1299</v>
      </c>
      <c r="B299" s="957" t="s">
        <v>1272</v>
      </c>
      <c r="AL299" s="572"/>
      <c r="AM299" s="573"/>
    </row>
    <row r="300" spans="1:55" ht="42" customHeight="1" x14ac:dyDescent="0.3">
      <c r="A300" s="1063" t="s">
        <v>1299</v>
      </c>
      <c r="B300" s="2698" t="s">
        <v>444</v>
      </c>
      <c r="C300" s="2402" t="s">
        <v>1805</v>
      </c>
      <c r="D300" s="2699"/>
      <c r="E300" s="2741" t="s">
        <v>452</v>
      </c>
      <c r="F300" s="2741"/>
      <c r="G300" s="2741"/>
      <c r="H300" s="2700" t="s">
        <v>1173</v>
      </c>
      <c r="I300" s="2698"/>
      <c r="J300" s="2698"/>
      <c r="K300" s="2698" t="s">
        <v>451</v>
      </c>
      <c r="L300" s="2698"/>
      <c r="M300" s="2699"/>
      <c r="N300" s="2832"/>
      <c r="O300" s="2832"/>
      <c r="P300" s="2832"/>
      <c r="AJ300" s="15"/>
      <c r="AL300" s="550"/>
      <c r="AM300" s="551"/>
      <c r="AR300" s="961"/>
      <c r="AS300" s="962"/>
      <c r="AT300" s="962"/>
      <c r="AU300" s="962"/>
      <c r="AV300" s="555"/>
    </row>
    <row r="301" spans="1:55" ht="56.25" customHeight="1" x14ac:dyDescent="0.3">
      <c r="A301" s="1063" t="s">
        <v>1299</v>
      </c>
      <c r="B301" s="2699"/>
      <c r="C301" s="2699"/>
      <c r="D301" s="2699"/>
      <c r="E301" s="966" t="s">
        <v>450</v>
      </c>
      <c r="F301" s="1115" t="str">
        <f>"Source Energy Use Savings 
("  &amp; PO_SourceUnits &amp; ")"</f>
        <v>Source Energy Use Savings 
(MWh)</v>
      </c>
      <c r="G301" s="966" t="s">
        <v>449</v>
      </c>
      <c r="H301" s="966" t="s">
        <v>1117</v>
      </c>
      <c r="I301" s="1115" t="str">
        <f>"Source Energy Use 
("  &amp; PO_SourceUnits &amp; ")"</f>
        <v>Source Energy Use 
(MWh)</v>
      </c>
      <c r="J301" s="966" t="s">
        <v>446</v>
      </c>
      <c r="K301" s="2700" t="s">
        <v>447</v>
      </c>
      <c r="L301" s="2699"/>
      <c r="M301" s="966" t="s">
        <v>446</v>
      </c>
      <c r="N301" s="960"/>
      <c r="O301" s="960"/>
      <c r="P301" s="960"/>
      <c r="AJ301" s="15"/>
      <c r="AL301" s="550"/>
      <c r="AM301" s="551"/>
      <c r="AR301" s="962"/>
      <c r="AS301" s="566"/>
      <c r="AT301" s="566"/>
      <c r="AU301" s="566"/>
    </row>
    <row r="302" spans="1:55" s="1076" customFormat="1" ht="15" hidden="1" customHeight="1" x14ac:dyDescent="0.3">
      <c r="A302" s="1063" t="s">
        <v>1299</v>
      </c>
      <c r="B302" s="1099" t="s">
        <v>1765</v>
      </c>
      <c r="C302" s="1091" t="s">
        <v>1793</v>
      </c>
      <c r="D302" s="1099"/>
      <c r="E302" s="1100" t="s">
        <v>1825</v>
      </c>
      <c r="F302" s="1099" t="s">
        <v>1826</v>
      </c>
      <c r="G302" s="1100" t="s">
        <v>1827</v>
      </c>
      <c r="H302" s="1100" t="s">
        <v>1806</v>
      </c>
      <c r="I302" s="1099" t="s">
        <v>1807</v>
      </c>
      <c r="J302" s="1100" t="s">
        <v>1808</v>
      </c>
      <c r="K302" s="1100" t="s">
        <v>1824</v>
      </c>
      <c r="L302" s="1091"/>
      <c r="M302" s="1100" t="s">
        <v>1810</v>
      </c>
      <c r="N302" s="1094"/>
      <c r="O302" s="1094"/>
      <c r="P302" s="1094"/>
      <c r="Q302" s="1042" t="s">
        <v>1776</v>
      </c>
      <c r="R302" s="1042" t="s">
        <v>1777</v>
      </c>
      <c r="S302" s="1042" t="s">
        <v>1882</v>
      </c>
      <c r="AJ302" s="1077"/>
    </row>
    <row r="303" spans="1:55" ht="15" customHeight="1" x14ac:dyDescent="0.3">
      <c r="A303" s="1063" t="s">
        <v>1299</v>
      </c>
      <c r="B303" s="1177" t="str">
        <f>IFERROR(IF(ISBLANK(B17),"",B17),"")</f>
        <v>Electricity</v>
      </c>
      <c r="C303" s="2840" t="str">
        <f>IFERROR(IF(ISBLANK($B303),"",VLOOKUP($B303,PO_Enrgy_1_Table,MATCH($C$16,PO_Enrgy_1_Hdr,0),FALSE) ),"")</f>
        <v>kWh</v>
      </c>
      <c r="D303" s="2841" t="e">
        <f>IF(C303="","",VLOOKUP(C303,ProjectEnergyTypeTable,3,FALSE))</f>
        <v>#NAME?</v>
      </c>
      <c r="E303" s="1188">
        <f>IFERROR(IF(PO_SiteRenewable=TRUE,VLOOKUP($B303,PO_Enrgy_2_Table,MATCH($E$38,PO_Enrgy_2_Hdr,0),FALSE),0),"")</f>
        <v>0</v>
      </c>
      <c r="F303" s="1188">
        <f>IFERROR(E303*$R303,"")</f>
        <v>0</v>
      </c>
      <c r="G303" s="1164">
        <f>IFERROR(IF(PO_SiteRenewable=TRUE,VLOOKUP($B303,PO_Enrgy_2_Table,MATCH($J$38,PO_Enrgy_2_Hdr,0),FALSE),0),"")</f>
        <v>0</v>
      </c>
      <c r="H303" s="1188">
        <f>IFERROR(VLOOKUP($B303,PO_Enrgy_13_Table,MATCH($H$291,PO_Enrgy_13_Hdr,0),FALSE)-IF(PO_SiteRenewable=TRUE,VLOOKUP($B303,PO_Enrgy_2_Table,MATCH($E$38,PO_Enrgy_2_Hdr,0),FALSE),0),0)</f>
        <v>0</v>
      </c>
      <c r="I303" s="1188">
        <f>IFERROR(H303*$R303,"")</f>
        <v>0</v>
      </c>
      <c r="J303" s="1164">
        <f>IFERROR(VLOOKUP($B303,PO_Enrgy_13_Table,MATCH($J$291,PO_Enrgy_13_Hdr,0),FALSE)-IF(PO_SiteRenewable=TRUE,VLOOKUP($B303,PO_Enrgy_2_Table,MATCH($J$38,PO_Enrgy_2_Hdr,0),FALSE),0),0)</f>
        <v>0</v>
      </c>
      <c r="K303" s="2842" t="str">
        <f>IFERROR(1-$H303/VLOOKUP($B303,PO_Enrgy_13_Table,MATCH($E$291,PO_Enrgy_13_Hdr,0),FALSE),"")</f>
        <v/>
      </c>
      <c r="L303" s="2843"/>
      <c r="M303" s="1202" t="str">
        <f>IFERROR(1-$J303/VLOOKUP($B303,PO_Enrgy_13_Table,MATCH($G$291,PO_Enrgy_13_Hdr,0),FALSE),"")</f>
        <v/>
      </c>
      <c r="Q303" s="1296">
        <f>IFERROR(IF(ISBLANK($B303),"",VLOOKUP($B303,PO_Enrgy_1_Table,MATCH($K$16,PO_Enrgy_1_Hdr,0),FALSE)),"")</f>
        <v>9.999999999999998E-4</v>
      </c>
      <c r="R303" s="1296">
        <f>IFERROR(IF(ISBLANK($B303),"",VLOOKUP($B303,PO_Enrgy_1_Table,MATCH($M$16,PO_Enrgy_1_Hdr,0),FALSE)),"")</f>
        <v>3.1399999999999996E-3</v>
      </c>
      <c r="S303" s="1296" t="str">
        <f>IFERROR(G303/E303,"")</f>
        <v/>
      </c>
      <c r="AH303" s="546"/>
      <c r="AI303" s="546"/>
      <c r="AJ303" s="539"/>
      <c r="AL303" s="550"/>
      <c r="AM303" s="550"/>
      <c r="AN303" s="584"/>
      <c r="AP303" s="556"/>
      <c r="AR303" s="557"/>
      <c r="AS303" s="540"/>
      <c r="AT303" s="540"/>
      <c r="AU303" s="567"/>
      <c r="BC303" s="1906"/>
    </row>
    <row r="304" spans="1:55" ht="15" customHeight="1" x14ac:dyDescent="0.3">
      <c r="A304" s="1063" t="s">
        <v>1299</v>
      </c>
      <c r="B304" s="1177" t="str">
        <f>IFERROR(IF(ISBLANK(B18),"",B18),"")</f>
        <v>Natural Gas</v>
      </c>
      <c r="C304" s="2840" t="str">
        <f>IFERROR(IF(ISBLANK($B304),"",VLOOKUP($B304,PO_Enrgy_1_Table,MATCH($C$16,PO_Enrgy_1_Hdr,0),FALSE) ),"")</f>
        <v>therm</v>
      </c>
      <c r="D304" s="2841" t="e">
        <f>IF(C304="","",VLOOKUP(C304,ProjectEnergyTypeTable,3,FALSE))</f>
        <v>#NAME?</v>
      </c>
      <c r="E304" s="1188">
        <f>IFERROR(IF(PO_SiteRenewable=TRUE,VLOOKUP($B304,PO_Enrgy_2_Table,MATCH($E$38,PO_Enrgy_2_Hdr,0),FALSE),0),"")</f>
        <v>0</v>
      </c>
      <c r="F304" s="1188">
        <f>IFERROR(E304*$R304,"")</f>
        <v>0</v>
      </c>
      <c r="G304" s="1164">
        <f>IFERROR(IF(PO_SiteRenewable=TRUE,VLOOKUP($B304,PO_Enrgy_2_Table,MATCH($J$38,PO_Enrgy_2_Hdr,0),FALSE),0),"")</f>
        <v>0</v>
      </c>
      <c r="H304" s="1188">
        <f>IFERROR(VLOOKUP($B304,PO_Enrgy_13_Table,MATCH($H$291,PO_Enrgy_13_Hdr,0),FALSE)-IF(PO_SiteRenewable=TRUE,VLOOKUP($B304,PO_Enrgy_2_Table,MATCH($E$38,PO_Enrgy_2_Hdr,0),FALSE),0),0)</f>
        <v>0</v>
      </c>
      <c r="I304" s="1188">
        <f>IFERROR(H304*$R304,"")</f>
        <v>0</v>
      </c>
      <c r="J304" s="1164">
        <f>IFERROR(VLOOKUP($B304,PO_Enrgy_13_Table,MATCH($J$291,PO_Enrgy_13_Hdr,0),FALSE)-IF(PO_SiteRenewable=TRUE,VLOOKUP($B304,PO_Enrgy_2_Table,MATCH($J$38,PO_Enrgy_2_Hdr,0),FALSE),0),0)</f>
        <v>0</v>
      </c>
      <c r="K304" s="2842" t="str">
        <f>IFERROR(1-$H304/VLOOKUP($B304,PO_Enrgy_13_Table,MATCH($E$291,PO_Enrgy_13_Hdr,0),FALSE),"")</f>
        <v/>
      </c>
      <c r="L304" s="2843"/>
      <c r="M304" s="1202" t="str">
        <f>IFERROR(1-$J304/VLOOKUP($B304,PO_Enrgy_13_Table,MATCH($G$291,PO_Enrgy_13_Hdr,0),FALSE),"")</f>
        <v/>
      </c>
      <c r="Q304" s="1296">
        <f>IFERROR(IF(ISBLANK($B304),"",VLOOKUP($B304,PO_Enrgy_1_Table,MATCH($K$16,PO_Enrgy_1_Hdr,0),FALSE)),"")</f>
        <v>2.9308323563892142E-2</v>
      </c>
      <c r="R304" s="1296">
        <f>IFERROR(IF(ISBLANK($B304),"",VLOOKUP($B304,PO_Enrgy_1_Table,MATCH($M$16,PO_Enrgy_1_Hdr,0),FALSE)),"")</f>
        <v>3.0773739742086751E-2</v>
      </c>
      <c r="S304" s="1296" t="str">
        <f>IFERROR(G304/E304,"")</f>
        <v/>
      </c>
      <c r="AH304" s="546"/>
      <c r="AI304" s="546"/>
      <c r="AJ304" s="539"/>
      <c r="AL304" s="550"/>
      <c r="AM304" s="550"/>
      <c r="AN304" s="584"/>
      <c r="AP304" s="556"/>
      <c r="AR304" s="557"/>
      <c r="AS304" s="540"/>
      <c r="AT304" s="540"/>
      <c r="AU304" s="567"/>
      <c r="BC304" s="1906"/>
    </row>
    <row r="305" spans="1:55" ht="15" customHeight="1" x14ac:dyDescent="0.3">
      <c r="A305" s="1063" t="s">
        <v>1299</v>
      </c>
      <c r="B305" s="1177" t="str">
        <f>IFERROR(IF(ISBLANK(B19),"",B19),"")</f>
        <v>District Cooling</v>
      </c>
      <c r="C305" s="2840" t="str">
        <f>IFERROR(IF(ISBLANK($B305),"",VLOOKUP($B305,PO_Enrgy_1_Table,MATCH($C$16,PO_Enrgy_1_Hdr,0),FALSE) ),"")</f>
        <v>MWh</v>
      </c>
      <c r="D305" s="2841" t="e">
        <f>IF(C305="","",VLOOKUP(C305,ProjectEnergyTypeTable,3,FALSE))</f>
        <v>#NAME?</v>
      </c>
      <c r="E305" s="1188">
        <f>IFERROR(IF(PO_SiteRenewable=TRUE,VLOOKUP($B305,PO_Enrgy_2_Table,MATCH($E$38,PO_Enrgy_2_Hdr,0),FALSE),0),"")</f>
        <v>0</v>
      </c>
      <c r="F305" s="1188">
        <f>IFERROR(E305*$R305,"")</f>
        <v>0</v>
      </c>
      <c r="G305" s="1164">
        <f>IFERROR(IF(PO_SiteRenewable=TRUE,VLOOKUP($B305,PO_Enrgy_2_Table,MATCH($J$38,PO_Enrgy_2_Hdr,0),FALSE),0),"")</f>
        <v>0</v>
      </c>
      <c r="H305" s="1188">
        <f>IFERROR(VLOOKUP($B305,PO_Enrgy_13_Table,MATCH($H$291,PO_Enrgy_13_Hdr,0),FALSE)-IF(PO_SiteRenewable=TRUE,VLOOKUP($B305,PO_Enrgy_2_Table,MATCH($E$38,PO_Enrgy_2_Hdr,0),FALSE),0),0)</f>
        <v>0</v>
      </c>
      <c r="I305" s="1188">
        <f>IFERROR(H305*$R305,"")</f>
        <v>0</v>
      </c>
      <c r="J305" s="1164">
        <f>IFERROR(VLOOKUP($B305,PO_Enrgy_13_Table,MATCH($J$291,PO_Enrgy_13_Hdr,0),FALSE)-IF(PO_SiteRenewable=TRUE,VLOOKUP($B305,PO_Enrgy_2_Table,MATCH($J$38,PO_Enrgy_2_Hdr,0),FALSE),0),0)</f>
        <v>0</v>
      </c>
      <c r="K305" s="2842" t="str">
        <f>IFERROR(1-$H305/VLOOKUP($B305,PO_Enrgy_13_Table,MATCH($E$291,PO_Enrgy_13_Hdr,0),FALSE),"")</f>
        <v/>
      </c>
      <c r="L305" s="2843"/>
      <c r="M305" s="1202" t="str">
        <f>IFERROR(1-$J305/VLOOKUP($B305,PO_Enrgy_13_Table,MATCH($G$291,PO_Enrgy_13_Hdr,0),FALSE),"")</f>
        <v/>
      </c>
      <c r="Q305" s="1296">
        <f>IFERROR(IF(ISBLANK($B305),"",VLOOKUP($B305,PO_Enrgy_1_Table,MATCH($K$16,PO_Enrgy_1_Hdr,0),FALSE)),"")</f>
        <v>0.99999999999999989</v>
      </c>
      <c r="R305" s="1296">
        <f>IFERROR(IF(ISBLANK($B305),"",VLOOKUP($B305,PO_Enrgy_1_Table,MATCH($M$16,PO_Enrgy_1_Hdr,0),FALSE)),"")</f>
        <v>0.99999999999999989</v>
      </c>
      <c r="S305" s="1296" t="str">
        <f>IFERROR(G305/E305,"")</f>
        <v/>
      </c>
      <c r="AH305" s="546"/>
      <c r="AI305" s="546"/>
      <c r="AJ305" s="539"/>
      <c r="AL305" s="550"/>
      <c r="AM305" s="550"/>
      <c r="AN305" s="584"/>
      <c r="AP305" s="556"/>
      <c r="AR305" s="557"/>
      <c r="AS305" s="540"/>
      <c r="AT305" s="540"/>
      <c r="AU305" s="567"/>
      <c r="BC305" s="1906"/>
    </row>
    <row r="306" spans="1:55" s="528" customFormat="1" ht="21" customHeight="1" x14ac:dyDescent="0.3">
      <c r="A306" s="1063" t="s">
        <v>1299</v>
      </c>
      <c r="B306" s="2693" t="str">
        <f>"Energy model subtotal (" &amp; PO_SiteUnits &amp; ")"</f>
        <v>Energy model subtotal (MWh)</v>
      </c>
      <c r="C306" s="2693"/>
      <c r="D306" s="2693"/>
      <c r="E306" s="1188">
        <f>IFERROR(SUMPRODUCT(INDEX(PO_Enrgy_14_Table,0,MATCH(E$302,PO_Enrgy_14_Hdr,0)),INDEX(PO_Enrgy_14_Table,0,MATCH($Q$302,PO_Enrgy_14_Hdr,0))),"")</f>
        <v>0</v>
      </c>
      <c r="F306" s="1161">
        <f>IFERROR(SUM(INDEX(PO_Enrgy_14_Table,0,MATCH(F$302,PO_Enrgy_14_Hdr,0))),"")</f>
        <v>0</v>
      </c>
      <c r="G306" s="1164">
        <f>IFERROR(SUM(INDEX(PO_Enrgy_14_Table,0,MATCH(G$302,PO_Enrgy_14_Hdr,0))),"")</f>
        <v>0</v>
      </c>
      <c r="H306" s="1188">
        <f>IFERROR(SUMPRODUCT(INDEX(PO_Enrgy_14_Table,0,MATCH(H$302,PO_Enrgy_14_Hdr,0)),INDEX(PO_Enrgy_14_Table,0,MATCH($Q$302,PO_Enrgy_14_Hdr,0))),"")</f>
        <v>0</v>
      </c>
      <c r="I306" s="1161">
        <f>IFERROR(SUM(INDEX(PO_Enrgy_14_Table,0,MATCH(I$302,PO_Enrgy_14_Hdr,0))),"")</f>
        <v>0</v>
      </c>
      <c r="J306" s="1164">
        <f>IFERROR(SUM(INDEX(PO_Enrgy_14_Table,0,MATCH(J$302,PO_Enrgy_14_Hdr,0))),"")</f>
        <v>0</v>
      </c>
      <c r="K306" s="2869" t="str">
        <f>IFERROR(1-$H306/$E$295,"")</f>
        <v/>
      </c>
      <c r="L306" s="2869"/>
      <c r="M306" s="1187" t="str">
        <f>IFERROR(1-$J306/$G$295,"")</f>
        <v/>
      </c>
      <c r="N306" s="502"/>
      <c r="O306" s="502"/>
      <c r="P306" s="502"/>
      <c r="AJ306" s="15"/>
      <c r="AL306" s="550"/>
      <c r="AM306" s="551"/>
      <c r="AR306" s="557"/>
      <c r="AS306" s="540"/>
      <c r="AT306" s="540"/>
      <c r="AU306" s="541"/>
      <c r="BC306" s="1906"/>
    </row>
    <row r="307" spans="1:55" s="528" customFormat="1" ht="33" customHeight="1" x14ac:dyDescent="0.3">
      <c r="A307" s="1063" t="s">
        <v>1299</v>
      </c>
      <c r="B307" s="532"/>
      <c r="C307" s="532"/>
      <c r="D307" s="532"/>
      <c r="E307" s="538"/>
      <c r="F307" s="538"/>
      <c r="G307" s="577"/>
      <c r="H307" s="538"/>
      <c r="I307" s="538"/>
      <c r="J307" s="577"/>
      <c r="K307" s="720"/>
      <c r="L307" s="502"/>
      <c r="M307" s="720"/>
      <c r="N307" s="502"/>
      <c r="O307" s="502"/>
      <c r="P307" s="502"/>
      <c r="AJ307" s="15"/>
      <c r="AL307" s="550"/>
      <c r="AM307" s="551"/>
      <c r="AR307" s="557"/>
      <c r="AS307" s="540"/>
      <c r="AT307" s="540"/>
      <c r="AU307" s="541"/>
    </row>
    <row r="308" spans="1:55" ht="21.75" hidden="1" customHeight="1" x14ac:dyDescent="0.3">
      <c r="A308" s="1063" t="s">
        <v>1299</v>
      </c>
      <c r="B308" s="957" t="s">
        <v>1287</v>
      </c>
      <c r="C308" s="390"/>
      <c r="D308" s="390"/>
      <c r="E308" s="390"/>
      <c r="F308" s="390"/>
      <c r="G308" s="390"/>
      <c r="H308" s="390"/>
      <c r="I308" s="390"/>
      <c r="J308" s="390"/>
      <c r="AL308" s="572"/>
      <c r="AM308" s="573"/>
    </row>
    <row r="309" spans="1:55" ht="39.75" hidden="1" customHeight="1" x14ac:dyDescent="0.3">
      <c r="A309" s="1063" t="s">
        <v>1299</v>
      </c>
      <c r="B309" s="2697" t="str">
        <f>"Enter the IT equipment energy consumption " &amp; IF(Datacenter_Avg=FALSE, " and total building consumption by end-use including renewable energy ","") &amp; "for the Startup IT loads.  The information for the full buildout loads is tabulated from the data above.  PUE3 is calculated based on source energy."</f>
        <v>Enter the IT equipment energy consumption  and total building consumption by end-use including renewable energy for the Startup IT loads.  The information for the full buildout loads is tabulated from the data above.  PUE3 is calculated based on source energy.</v>
      </c>
      <c r="C309" s="2240"/>
      <c r="D309" s="2240"/>
      <c r="E309" s="2240"/>
      <c r="F309" s="2240"/>
      <c r="G309" s="2240"/>
      <c r="H309" s="2240"/>
      <c r="I309" s="2240"/>
      <c r="J309" s="2240"/>
      <c r="K309" s="2240"/>
      <c r="L309" s="2240"/>
      <c r="M309" s="2240"/>
      <c r="AL309" s="572"/>
      <c r="AM309" s="573"/>
    </row>
    <row r="310" spans="1:55" ht="54" hidden="1" customHeight="1" x14ac:dyDescent="0.3">
      <c r="A310" s="1063" t="s">
        <v>1299</v>
      </c>
      <c r="B310" s="2698" t="s">
        <v>444</v>
      </c>
      <c r="C310" s="2402" t="s">
        <v>1805</v>
      </c>
      <c r="D310" s="2699"/>
      <c r="E310" s="2698" t="s">
        <v>1291</v>
      </c>
      <c r="F310" s="2698"/>
      <c r="G310" s="2698"/>
      <c r="H310" s="2723"/>
      <c r="I310" s="2698" t="s">
        <v>1292</v>
      </c>
      <c r="J310" s="2852"/>
      <c r="K310" s="2852"/>
      <c r="L310" s="2852"/>
      <c r="M310" s="2852"/>
      <c r="N310" s="2832"/>
      <c r="O310" s="2832"/>
      <c r="P310" s="2832"/>
      <c r="AJ310" s="15"/>
      <c r="AL310" s="550"/>
      <c r="AM310" s="551"/>
    </row>
    <row r="311" spans="1:55" ht="48" hidden="1" customHeight="1" x14ac:dyDescent="0.3">
      <c r="A311" s="1063" t="s">
        <v>1299</v>
      </c>
      <c r="B311" s="2699"/>
      <c r="C311" s="2699"/>
      <c r="D311" s="2699"/>
      <c r="E311" s="966" t="s">
        <v>1117</v>
      </c>
      <c r="F311" s="1115" t="str">
        <f>"Source Energy Use 
("  &amp; PO_SourceUnits &amp; ")"</f>
        <v>Source Energy Use 
(MWh)</v>
      </c>
      <c r="G311" s="2700" t="s">
        <v>1118</v>
      </c>
      <c r="H311" s="2835"/>
      <c r="I311" s="966" t="s">
        <v>1117</v>
      </c>
      <c r="J311" s="1115" t="str">
        <f>"Source Energy Use 
("  &amp; PO_SourceUnits &amp; ")"</f>
        <v>Source Energy Use 
(MWh)</v>
      </c>
      <c r="K311" s="2700" t="s">
        <v>1118</v>
      </c>
      <c r="L311" s="2852"/>
      <c r="M311" s="2852"/>
      <c r="N311" s="578"/>
      <c r="O311" s="578"/>
      <c r="P311" s="578"/>
      <c r="AJ311" s="15"/>
    </row>
    <row r="312" spans="1:55" s="1076" customFormat="1" ht="15" hidden="1" customHeight="1" x14ac:dyDescent="0.3">
      <c r="A312" s="1063" t="s">
        <v>1299</v>
      </c>
      <c r="B312" s="1099" t="s">
        <v>1765</v>
      </c>
      <c r="C312" s="1091" t="s">
        <v>1793</v>
      </c>
      <c r="D312" s="1099"/>
      <c r="E312" s="1100" t="s">
        <v>1828</v>
      </c>
      <c r="F312" s="1099" t="s">
        <v>1829</v>
      </c>
      <c r="G312" s="1100" t="s">
        <v>1830</v>
      </c>
      <c r="H312" s="1100"/>
      <c r="I312" s="1099" t="s">
        <v>1831</v>
      </c>
      <c r="J312" s="1100" t="s">
        <v>1832</v>
      </c>
      <c r="K312" s="1100" t="s">
        <v>1833</v>
      </c>
      <c r="L312" s="1091"/>
      <c r="M312" s="1100"/>
      <c r="N312" s="1094"/>
      <c r="O312" s="1094"/>
      <c r="P312" s="1094"/>
      <c r="Q312" s="1042" t="s">
        <v>1776</v>
      </c>
      <c r="R312" s="1042" t="s">
        <v>1777</v>
      </c>
      <c r="AJ312" s="1077"/>
    </row>
    <row r="313" spans="1:55" ht="15" hidden="1" customHeight="1" x14ac:dyDescent="0.3">
      <c r="A313" s="1063" t="s">
        <v>1299</v>
      </c>
      <c r="B313" s="1082" t="str">
        <f>B191</f>
        <v>IT equipment</v>
      </c>
      <c r="C313" s="2688" t="s">
        <v>488</v>
      </c>
      <c r="D313" s="2689" t="e">
        <f>IF(C313="","",VLOOKUP(C313,ProjectEnergyTypeTable,3,FALSE))</f>
        <v>#NAME?</v>
      </c>
      <c r="E313" s="1189"/>
      <c r="F313" s="1161">
        <f>IFERROR(E313*$R313,"")</f>
        <v>0</v>
      </c>
      <c r="G313" s="2853"/>
      <c r="H313" s="2854"/>
      <c r="I313" s="1190">
        <f>IFERROR(VLOOKUP(B313,PO_design_table,MATCH($H$170,PO_design_hdr,0),FALSE),"")</f>
        <v>0</v>
      </c>
      <c r="J313" s="1161">
        <f>IFERROR(I313*$R313,"")</f>
        <v>0</v>
      </c>
      <c r="K313" s="2855"/>
      <c r="L313" s="2855"/>
      <c r="M313" s="2855"/>
      <c r="Q313" s="1043">
        <f>IFERROR(VLOOKUP("Electricity",PO_Enrgy_1_Table,MATCH($K$16,PO_Enrgy_1_Hdr,0),FALSE),"")</f>
        <v>9.999999999999998E-4</v>
      </c>
      <c r="R313" s="1043">
        <f>IFERROR(VLOOKUP("electricity",PO_Enrgy_1_Table,MATCH($M$16,PO_Enrgy_1_Hdr,0),FALSE),"")</f>
        <v>3.1399999999999996E-3</v>
      </c>
      <c r="AH313" s="546"/>
      <c r="AI313" s="546"/>
      <c r="AJ313" s="15"/>
      <c r="AL313" s="550"/>
      <c r="AM313" s="551"/>
      <c r="AN313" s="552"/>
    </row>
    <row r="314" spans="1:55" ht="21" hidden="1" customHeight="1" x14ac:dyDescent="0.3">
      <c r="A314" s="1063" t="s">
        <v>1299</v>
      </c>
      <c r="B314" s="2859" t="s">
        <v>1114</v>
      </c>
      <c r="C314" s="2860"/>
      <c r="D314" s="2861"/>
      <c r="E314" s="1191"/>
      <c r="F314" s="1191"/>
      <c r="G314" s="2862"/>
      <c r="H314" s="2862"/>
      <c r="I314" s="1192"/>
      <c r="J314" s="1192"/>
      <c r="K314" s="2863"/>
      <c r="L314" s="2863"/>
      <c r="M314" s="2863"/>
      <c r="Q314" s="1042" t="s">
        <v>1776</v>
      </c>
      <c r="R314" s="1042" t="s">
        <v>1777</v>
      </c>
      <c r="AH314" s="546"/>
      <c r="AI314" s="546"/>
      <c r="AJ314" s="15"/>
      <c r="AL314" s="550"/>
      <c r="AM314" s="551"/>
      <c r="AN314" s="552"/>
    </row>
    <row r="315" spans="1:55" ht="15" hidden="1" customHeight="1" x14ac:dyDescent="0.3">
      <c r="A315" s="1063" t="s">
        <v>1299</v>
      </c>
      <c r="B315" s="1082" t="str">
        <f>IFERROR(IF(ISBLANK(B17),"",B17),"")</f>
        <v>Electricity</v>
      </c>
      <c r="C315" s="2688" t="str">
        <f>IFERROR(IF(ISBLANK($B315),"",VLOOKUP($B315,PO_Enrgy_1_Table,MATCH($C$16,PO_Enrgy_1_Hdr,0),FALSE) ),"")</f>
        <v>kWh</v>
      </c>
      <c r="D315" s="2689" t="e">
        <f>IF(C315="","",VLOOKUP(C315,ProjectEnergyTypeTable,3,FALSE))</f>
        <v>#NAME?</v>
      </c>
      <c r="E315" s="1203" t="str">
        <f>IFERROR(IF(Datacenter_Avg=TRUE,VLOOKUP($B315,PO_Enrgy_11_Table,MATCH($H$273,PO_Enrgy_11_Hdr,0),FALSE)-VLOOKUP($B315,PO_Enrgy_14_Table,MATCH($E302,PO_Enrgy_14_Hdr,0),FALSE),""),"")</f>
        <v/>
      </c>
      <c r="F315" s="1188" t="str">
        <f>IFERROR(E315*$R315,"")</f>
        <v/>
      </c>
      <c r="G315" s="2856"/>
      <c r="H315" s="2857"/>
      <c r="I315" s="1188">
        <f>IFERROR(VLOOKUP($B315,PO_Enrgy_12_Table,MATCH($H$282,PO_Enrgy_12_Hdr,0),FALSE)-VLOOKUP($B315,PO_Enrgy_14_Table,MATCH($E$302,PO_Enrgy_14_Hdr,0),FALSE),"")</f>
        <v>0</v>
      </c>
      <c r="J315" s="1188">
        <f>IFERROR(I315*$R315,"")</f>
        <v>0</v>
      </c>
      <c r="K315" s="2858"/>
      <c r="L315" s="2858"/>
      <c r="M315" s="2858"/>
      <c r="Q315" s="1043">
        <f>IFERROR(IF(ISBLANK($B315),"",VLOOKUP($B315,PO_Enrgy_1_Table,MATCH($K$16,PO_Enrgy_1_Hdr,0),FALSE)),"")</f>
        <v>9.999999999999998E-4</v>
      </c>
      <c r="R315" s="1043">
        <f>IFERROR(IF(ISBLANK($B315),"",VLOOKUP($B315,PO_Enrgy_1_Table,MATCH($M$16,PO_Enrgy_1_Hdr,0),FALSE)),"")</f>
        <v>3.1399999999999996E-3</v>
      </c>
      <c r="AH315" s="546"/>
      <c r="AI315" s="546"/>
      <c r="AJ315" s="1102"/>
      <c r="AK315" s="538"/>
      <c r="AL315" s="550"/>
      <c r="AM315" s="551"/>
      <c r="AN315" s="552"/>
    </row>
    <row r="316" spans="1:55" ht="15" hidden="1" customHeight="1" x14ac:dyDescent="0.3">
      <c r="A316" s="1063" t="s">
        <v>1299</v>
      </c>
      <c r="B316" s="1082" t="str">
        <f>IFERROR(IF(ISBLANK(B18),"",B18),"")</f>
        <v>Natural Gas</v>
      </c>
      <c r="C316" s="2688" t="str">
        <f>IFERROR(IF(ISBLANK($B316),"",VLOOKUP($B316,PO_Enrgy_1_Table,MATCH($C$16,PO_Enrgy_1_Hdr,0),FALSE) ),"")</f>
        <v>therm</v>
      </c>
      <c r="D316" s="2689" t="e">
        <f>IF(C316="","",VLOOKUP(C316,ProjectEnergyTypeTable,3,FALSE))</f>
        <v>#NAME?</v>
      </c>
      <c r="E316" s="1203" t="str">
        <f>IFERROR(IF(Datacenter_Avg=TRUE,VLOOKUP($B316,PO_Enrgy_11_Table,MATCH($H$273,PO_Enrgy_11_Hdr,0),FALSE)-VLOOKUP($B316,PO_Enrgy_14_Table,MATCH(#REF!,PO_Enrgy_14_Hdr,0),FALSE),""),"")</f>
        <v/>
      </c>
      <c r="F316" s="1188" t="str">
        <f>IFERROR(E316*$R316,"")</f>
        <v/>
      </c>
      <c r="G316" s="2856"/>
      <c r="H316" s="2857"/>
      <c r="I316" s="1188">
        <f>IFERROR(VLOOKUP($B316,PO_Enrgy_12_Table,MATCH($H$282,PO_Enrgy_12_Hdr,0),FALSE)-VLOOKUP($B316,PO_Enrgy_14_Table,MATCH($E$302,PO_Enrgy_14_Hdr,0),FALSE),"")</f>
        <v>0</v>
      </c>
      <c r="J316" s="1188">
        <f>IFERROR(I316*$R316,"")</f>
        <v>0</v>
      </c>
      <c r="K316" s="2858"/>
      <c r="L316" s="2858"/>
      <c r="M316" s="2858"/>
      <c r="Q316" s="1043">
        <f>IFERROR(IF(ISBLANK($B316),"",VLOOKUP($B316,PO_Enrgy_1_Table,MATCH($K$16,PO_Enrgy_1_Hdr,0),FALSE)),"")</f>
        <v>2.9308323563892142E-2</v>
      </c>
      <c r="R316" s="1043">
        <f>IFERROR(IF(ISBLANK($B316),"",VLOOKUP($B316,PO_Enrgy_1_Table,MATCH($M$16,PO_Enrgy_1_Hdr,0),FALSE)),"")</f>
        <v>3.0773739742086751E-2</v>
      </c>
      <c r="AH316" s="546"/>
      <c r="AI316" s="546"/>
      <c r="AJ316" s="1102"/>
      <c r="AK316" s="538"/>
      <c r="AL316" s="550"/>
      <c r="AM316" s="551"/>
      <c r="AN316" s="552"/>
    </row>
    <row r="317" spans="1:55" ht="15" hidden="1" customHeight="1" x14ac:dyDescent="0.3">
      <c r="A317" s="1063" t="s">
        <v>1299</v>
      </c>
      <c r="B317" s="1082" t="str">
        <f>IFERROR(IF(ISBLANK(B19),"",B19),"")</f>
        <v>District Cooling</v>
      </c>
      <c r="C317" s="2688" t="str">
        <f>IFERROR(IF(ISBLANK($B317),"",VLOOKUP($B317,PO_Enrgy_1_Table,MATCH($C$16,PO_Enrgy_1_Hdr,0),FALSE) ),"")</f>
        <v>MWh</v>
      </c>
      <c r="D317" s="2689" t="e">
        <f>IF(C317="","",VLOOKUP(C317,ProjectEnergyTypeTable,3,FALSE))</f>
        <v>#NAME?</v>
      </c>
      <c r="E317" s="1203" t="str">
        <f>IFERROR(IF(Datacenter_Avg=TRUE,VLOOKUP($B317,PO_Enrgy_11_Table,MATCH($H$273,PO_Enrgy_11_Hdr,0),FALSE)-VLOOKUP($B317,PO_Enrgy_14_Table,MATCH(#REF!,PO_Enrgy_14_Hdr,0),FALSE),""),"")</f>
        <v/>
      </c>
      <c r="F317" s="1188" t="str">
        <f>IFERROR(E317*$R317,"")</f>
        <v/>
      </c>
      <c r="G317" s="2856"/>
      <c r="H317" s="2857"/>
      <c r="I317" s="1188">
        <f>IFERROR(VLOOKUP($B317,PO_Enrgy_12_Table,MATCH($H$282,PO_Enrgy_12_Hdr,0),FALSE)-VLOOKUP($B317,PO_Enrgy_14_Table,MATCH($E$302,PO_Enrgy_14_Hdr,0),FALSE),"")</f>
        <v>0</v>
      </c>
      <c r="J317" s="1188">
        <f>IFERROR(I317*$R317,"")</f>
        <v>0</v>
      </c>
      <c r="K317" s="2858"/>
      <c r="L317" s="2858"/>
      <c r="M317" s="2858"/>
      <c r="Q317" s="1043">
        <f>IFERROR(IF(ISBLANK($B317),"",VLOOKUP($B317,PO_Enrgy_1_Table,MATCH($K$16,PO_Enrgy_1_Hdr,0),FALSE)),"")</f>
        <v>0.99999999999999989</v>
      </c>
      <c r="R317" s="1043">
        <f>IFERROR(IF(ISBLANK($B317),"",VLOOKUP($B317,PO_Enrgy_1_Table,MATCH($M$16,PO_Enrgy_1_Hdr,0),FALSE)),"")</f>
        <v>0.99999999999999989</v>
      </c>
      <c r="AH317" s="546"/>
      <c r="AI317" s="546"/>
      <c r="AJ317" s="1102"/>
      <c r="AK317" s="538"/>
      <c r="AL317" s="550"/>
      <c r="AM317" s="551"/>
      <c r="AN317" s="552"/>
    </row>
    <row r="318" spans="1:55" s="528" customFormat="1" ht="21" hidden="1" customHeight="1" x14ac:dyDescent="0.3">
      <c r="A318" s="1063" t="s">
        <v>1299</v>
      </c>
      <c r="B318" s="2693" t="str">
        <f>"Energy model subtotal (" &amp; PO_SiteUnits &amp; ")"</f>
        <v>Energy model subtotal (MWh)</v>
      </c>
      <c r="C318" s="2693"/>
      <c r="D318" s="2693"/>
      <c r="E318" s="1188">
        <f>IFERROR(SUMPRODUCT(INDEX(PO_Enrgy_15_Table,0,MATCH(E$312,PO_Enrgy_15_Hdr,0)),INDEX(PO_Enrgy_15_Table,0,MATCH($Q$312,PO_Enrgy_15_Hdr,0))),"")</f>
        <v>0</v>
      </c>
      <c r="F318" s="1161">
        <f>IFERROR(SUM(INDEX(PO_Enrgy_15_Table,0,MATCH(F$312,PO_Enrgy_15_Hdr,0))),"")</f>
        <v>0</v>
      </c>
      <c r="G318" s="2871" t="str">
        <f>IFERROR(F318/F313,"")</f>
        <v/>
      </c>
      <c r="H318" s="2872"/>
      <c r="I318" s="1188">
        <f>IFERROR(SUMPRODUCT(INDEX(PO_Enrgy_15_Table,0,MATCH(I$312,PO_Enrgy_15_Hdr,0)),INDEX(PO_Enrgy_15_Table,0,MATCH($Q$312,PO_Enrgy_15_Hdr,0))),"")</f>
        <v>0</v>
      </c>
      <c r="J318" s="1161">
        <f>IFERROR(SUM(INDEX(PO_Enrgy_15_Table,0,MATCH(J$312,PO_Enrgy_15_Hdr,0))),"")</f>
        <v>0</v>
      </c>
      <c r="K318" s="2871" t="str">
        <f>IFERROR(J318/J313,"")</f>
        <v/>
      </c>
      <c r="L318" s="2871"/>
      <c r="M318" s="2871"/>
      <c r="N318" s="502"/>
      <c r="O318" s="502"/>
      <c r="P318" s="502"/>
      <c r="AJ318" s="15"/>
      <c r="AL318" s="550"/>
      <c r="AM318" s="551"/>
    </row>
    <row r="319" spans="1:55" s="528" customFormat="1" ht="33.75" hidden="1" customHeight="1" x14ac:dyDescent="0.3">
      <c r="A319" s="1063" t="s">
        <v>1299</v>
      </c>
      <c r="B319" s="532"/>
      <c r="C319" s="532"/>
      <c r="D319" s="532"/>
      <c r="E319" s="730"/>
      <c r="F319" s="538"/>
      <c r="G319" s="581"/>
      <c r="I319" s="538"/>
      <c r="J319" s="538"/>
      <c r="K319" s="720"/>
      <c r="L319" s="720"/>
      <c r="M319" s="720"/>
      <c r="N319" s="502"/>
      <c r="O319" s="502"/>
      <c r="P319" s="502"/>
      <c r="AJ319" s="15"/>
      <c r="AL319" s="550"/>
      <c r="AM319" s="551"/>
    </row>
    <row r="320" spans="1:55" ht="21" customHeight="1" x14ac:dyDescent="0.3">
      <c r="A320" s="1063" t="s">
        <v>1299</v>
      </c>
      <c r="B320" s="957" t="s">
        <v>1273</v>
      </c>
      <c r="AL320" s="572"/>
      <c r="AM320" s="573"/>
    </row>
    <row r="321" spans="1:60" ht="25.5" customHeight="1" x14ac:dyDescent="0.3">
      <c r="A321" s="1063" t="s">
        <v>1299</v>
      </c>
      <c r="B321" s="2698" t="s">
        <v>444</v>
      </c>
      <c r="C321" s="2402" t="s">
        <v>1805</v>
      </c>
      <c r="D321" s="2699"/>
      <c r="E321" s="2700" t="s">
        <v>347</v>
      </c>
      <c r="F321" s="2698"/>
      <c r="G321" s="2698"/>
      <c r="H321" s="2700" t="s">
        <v>348</v>
      </c>
      <c r="I321" s="2698"/>
      <c r="J321" s="2698"/>
      <c r="K321" s="2700" t="s">
        <v>448</v>
      </c>
      <c r="L321" s="2698"/>
      <c r="M321" s="2699"/>
      <c r="AJ321" s="15"/>
    </row>
    <row r="322" spans="1:60" ht="63.75" customHeight="1" x14ac:dyDescent="0.3">
      <c r="A322" s="1063" t="s">
        <v>1299</v>
      </c>
      <c r="B322" s="2699"/>
      <c r="C322" s="2699"/>
      <c r="D322" s="2699"/>
      <c r="E322" s="966" t="s">
        <v>1117</v>
      </c>
      <c r="F322" s="1115" t="str">
        <f>"Source Energy Use 
("  &amp; PO_SourceUnits &amp; ")"</f>
        <v>Source Energy Use 
(MWh)</v>
      </c>
      <c r="G322" s="966" t="s">
        <v>446</v>
      </c>
      <c r="H322" s="966" t="s">
        <v>1117</v>
      </c>
      <c r="I322" s="1115" t="str">
        <f>"Source Energy Use 
("  &amp; PO_SourceUnits &amp; ")"</f>
        <v>Source Energy Use 
(MWh)</v>
      </c>
      <c r="J322" s="966" t="s">
        <v>446</v>
      </c>
      <c r="K322" s="2700" t="s">
        <v>447</v>
      </c>
      <c r="L322" s="2699"/>
      <c r="M322" s="966" t="s">
        <v>446</v>
      </c>
      <c r="AJ322" s="15"/>
    </row>
    <row r="323" spans="1:60" s="1076" customFormat="1" ht="15" hidden="1" customHeight="1" x14ac:dyDescent="0.3">
      <c r="A323" s="1063" t="s">
        <v>1299</v>
      </c>
      <c r="B323" s="1099" t="s">
        <v>1765</v>
      </c>
      <c r="C323" s="1091" t="s">
        <v>1793</v>
      </c>
      <c r="D323" s="1099"/>
      <c r="E323" s="1100" t="s">
        <v>1821</v>
      </c>
      <c r="F323" s="1099" t="s">
        <v>1822</v>
      </c>
      <c r="G323" s="1100" t="s">
        <v>1823</v>
      </c>
      <c r="H323" s="1100" t="s">
        <v>1806</v>
      </c>
      <c r="I323" s="1099" t="s">
        <v>1807</v>
      </c>
      <c r="J323" s="1100" t="s">
        <v>1808</v>
      </c>
      <c r="K323" s="1100" t="s">
        <v>1824</v>
      </c>
      <c r="L323" s="1091"/>
      <c r="M323" s="1100" t="s">
        <v>1810</v>
      </c>
      <c r="N323" s="1094"/>
      <c r="O323" s="1094"/>
      <c r="P323" s="1094"/>
      <c r="Q323" s="1042" t="s">
        <v>1776</v>
      </c>
      <c r="R323" s="1042" t="s">
        <v>1777</v>
      </c>
      <c r="AJ323" s="1077"/>
    </row>
    <row r="324" spans="1:60" ht="15" customHeight="1" x14ac:dyDescent="0.3">
      <c r="A324" s="1063" t="s">
        <v>1299</v>
      </c>
      <c r="B324" s="1082" t="str">
        <f>IFERROR(IF(ISBLANK(B17),"",B17),"")</f>
        <v>Electricity</v>
      </c>
      <c r="C324" s="2688" t="str">
        <f>IFERROR(IF(ISBLANK($B324),"",VLOOKUP($B324,PO_Enrgy_1_Table,MATCH($C$16,PO_Enrgy_1_Hdr,0),FALSE) ),"")</f>
        <v>kWh</v>
      </c>
      <c r="D324" s="2689" t="e">
        <f>IF(C324="","",VLOOKUP(C324,ProjectEnergyTypeTable,3,FALSE))</f>
        <v>#NAME?</v>
      </c>
      <c r="E324" s="1188">
        <f>IFERROR(VLOOKUP($B324,PO_Enrgy_13_Table,MATCH($E$291,PO_Enrgy_13_Hdr,0),FALSE),"")</f>
        <v>0</v>
      </c>
      <c r="F324" s="1188">
        <f>IFERROR(E324*$R324,"")</f>
        <v>0</v>
      </c>
      <c r="G324" s="1204">
        <f>IFERROR(VLOOKUP($B324,PO_Enrgy_13_Table,MATCH($G$291,PO_Enrgy_13_Hdr,0),FALSE),"")</f>
        <v>0</v>
      </c>
      <c r="H324" s="1188">
        <f>IFERROR(VLOOKUP($B324,PO_Enrgy_14_Table,MATCH($H$291,PO_Enrgy_14_Hdr,0),FALSE),"")</f>
        <v>0</v>
      </c>
      <c r="I324" s="1188">
        <f>IFERROR(H324*$R324,"")</f>
        <v>0</v>
      </c>
      <c r="J324" s="1188">
        <f>IFERROR(VLOOKUP($B324,PO_Enrgy_14_Table,MATCH($J$291,PO_Enrgy_14_Hdr,0),FALSE),"")</f>
        <v>0</v>
      </c>
      <c r="K324" s="2692" t="str">
        <f>IFERROR(1-H324/E324,"")</f>
        <v/>
      </c>
      <c r="L324" s="2691"/>
      <c r="M324" s="1360" t="str">
        <f>IFERROR(1-J324/G324,"")</f>
        <v/>
      </c>
      <c r="Q324" s="1296">
        <f>IFERROR(IF(ISBLANK($B324),"",VLOOKUP($B324,PO_Enrgy_1_Table,MATCH($K$16,PO_Enrgy_1_Hdr,0),FALSE)),"")</f>
        <v>9.999999999999998E-4</v>
      </c>
      <c r="R324" s="1296">
        <f>IFERROR(IF(ISBLANK($B324),"",VLOOKUP($B324,PO_Enrgy_1_Table,MATCH($M$16,PO_Enrgy_1_Hdr,0),FALSE)),"")</f>
        <v>3.1399999999999996E-3</v>
      </c>
      <c r="AH324" s="546"/>
      <c r="AI324" s="546"/>
      <c r="AJ324" s="15"/>
      <c r="AL324" s="550"/>
      <c r="AM324" s="551"/>
      <c r="BC324" s="1906"/>
    </row>
    <row r="325" spans="1:60" ht="15" customHeight="1" x14ac:dyDescent="0.3">
      <c r="A325" s="1063" t="s">
        <v>1299</v>
      </c>
      <c r="B325" s="1082" t="str">
        <f>IFERROR(IF(ISBLANK(B18),"",B18),"")</f>
        <v>Natural Gas</v>
      </c>
      <c r="C325" s="2688" t="str">
        <f>IFERROR(IF(ISBLANK($B325),"",VLOOKUP($B325,PO_Enrgy_1_Table,MATCH($C$16,PO_Enrgy_1_Hdr,0),FALSE) ),"")</f>
        <v>therm</v>
      </c>
      <c r="D325" s="2689" t="e">
        <f>IF(C325="","",VLOOKUP(C325,ProjectEnergyTypeTable,3,FALSE))</f>
        <v>#NAME?</v>
      </c>
      <c r="E325" s="1188">
        <f>IFERROR(VLOOKUP($B325,PO_Enrgy_13_Table,MATCH($E$291,PO_Enrgy_13_Hdr,0),FALSE),"")</f>
        <v>0</v>
      </c>
      <c r="F325" s="1188">
        <f>IFERROR(E325*$R325,"")</f>
        <v>0</v>
      </c>
      <c r="G325" s="1204">
        <f>IFERROR(VLOOKUP($B325,PO_Enrgy_13_Table,MATCH($G$291,PO_Enrgy_13_Hdr,0),FALSE),"")</f>
        <v>0</v>
      </c>
      <c r="H325" s="1188">
        <f>IFERROR(VLOOKUP($B325,PO_Enrgy_14_Table,MATCH($H$291,PO_Enrgy_14_Hdr,0),FALSE),"")</f>
        <v>0</v>
      </c>
      <c r="I325" s="1188">
        <f>IFERROR(H325*$R325,"")</f>
        <v>0</v>
      </c>
      <c r="J325" s="1188">
        <f>IFERROR(VLOOKUP($B325,PO_Enrgy_14_Table,MATCH($J$291,PO_Enrgy_14_Hdr,0),FALSE),"")</f>
        <v>0</v>
      </c>
      <c r="K325" s="2692" t="str">
        <f>IFERROR(1-H325/E325,"")</f>
        <v/>
      </c>
      <c r="L325" s="2691"/>
      <c r="M325" s="1360" t="str">
        <f>IFERROR(1-J325/G325,"")</f>
        <v/>
      </c>
      <c r="Q325" s="1296">
        <f>IFERROR(IF(ISBLANK($B325),"",VLOOKUP($B325,PO_Enrgy_1_Table,MATCH($K$16,PO_Enrgy_1_Hdr,0),FALSE)),"")</f>
        <v>2.9308323563892142E-2</v>
      </c>
      <c r="R325" s="1296">
        <f>IFERROR(IF(ISBLANK($B325),"",VLOOKUP($B325,PO_Enrgy_1_Table,MATCH($M$16,PO_Enrgy_1_Hdr,0),FALSE)),"")</f>
        <v>3.0773739742086751E-2</v>
      </c>
      <c r="AH325" s="546"/>
      <c r="AI325" s="546"/>
      <c r="AJ325" s="15"/>
      <c r="AL325" s="550"/>
      <c r="AM325" s="551"/>
      <c r="BC325" s="1906"/>
    </row>
    <row r="326" spans="1:60" ht="15" customHeight="1" x14ac:dyDescent="0.3">
      <c r="A326" s="1063" t="s">
        <v>1299</v>
      </c>
      <c r="B326" s="1082" t="str">
        <f>IFERROR(IF(ISBLANK(B19),"",B19),"")</f>
        <v>District Cooling</v>
      </c>
      <c r="C326" s="2688" t="str">
        <f>IFERROR(IF(ISBLANK($B326),"",VLOOKUP($B326,PO_Enrgy_1_Table,MATCH($C$16,PO_Enrgy_1_Hdr,0),FALSE) ),"")</f>
        <v>MWh</v>
      </c>
      <c r="D326" s="2689" t="e">
        <f>IF(C326="","",VLOOKUP(C326,ProjectEnergyTypeTable,3,FALSE))</f>
        <v>#NAME?</v>
      </c>
      <c r="E326" s="1188">
        <f>IFERROR(VLOOKUP($B326,PO_Enrgy_13_Table,MATCH($E$291,PO_Enrgy_13_Hdr,0),FALSE),"")</f>
        <v>0</v>
      </c>
      <c r="F326" s="1188">
        <f>IFERROR(E326*$R326,"")</f>
        <v>0</v>
      </c>
      <c r="G326" s="1204">
        <f>IFERROR(VLOOKUP($B326,PO_Enrgy_13_Table,MATCH($G$291,PO_Enrgy_13_Hdr,0),FALSE),"")</f>
        <v>0</v>
      </c>
      <c r="H326" s="1188">
        <f>IFERROR(VLOOKUP($B326,PO_Enrgy_14_Table,MATCH($H$291,PO_Enrgy_14_Hdr,0),FALSE),"")</f>
        <v>0</v>
      </c>
      <c r="I326" s="1188">
        <f>IFERROR(H326*$R326,"")</f>
        <v>0</v>
      </c>
      <c r="J326" s="1188">
        <f>IFERROR(VLOOKUP($B326,PO_Enrgy_14_Table,MATCH($J$291,PO_Enrgy_14_Hdr,0),FALSE),"")</f>
        <v>0</v>
      </c>
      <c r="K326" s="2692" t="str">
        <f>IFERROR(1-H326/E326,"")</f>
        <v/>
      </c>
      <c r="L326" s="2691"/>
      <c r="M326" s="1360" t="str">
        <f>IFERROR(1-J326/G326,"")</f>
        <v/>
      </c>
      <c r="Q326" s="1296">
        <f>IFERROR(IF(ISBLANK($B326),"",VLOOKUP($B326,PO_Enrgy_1_Table,MATCH($K$16,PO_Enrgy_1_Hdr,0),FALSE)),"")</f>
        <v>0.99999999999999989</v>
      </c>
      <c r="R326" s="1296">
        <f>IFERROR(IF(ISBLANK($B326),"",VLOOKUP($B326,PO_Enrgy_1_Table,MATCH($M$16,PO_Enrgy_1_Hdr,0),FALSE)),"")</f>
        <v>0.99999999999999989</v>
      </c>
      <c r="AH326" s="546"/>
      <c r="AI326" s="546"/>
      <c r="AJ326" s="15"/>
      <c r="AL326" s="550"/>
      <c r="AM326" s="551"/>
      <c r="BC326" s="1906"/>
    </row>
    <row r="327" spans="1:60" ht="21" customHeight="1" x14ac:dyDescent="0.3">
      <c r="A327" s="1063" t="s">
        <v>1299</v>
      </c>
      <c r="B327" s="2810" t="s">
        <v>147</v>
      </c>
      <c r="C327" s="2815"/>
      <c r="D327" s="2815"/>
      <c r="E327" s="1180">
        <f>IFERROR(SUMPRODUCT(INDEX(PO_Enrgy_16_Table,0,MATCH(E$323,PO_Enrgy_16_Hdr,0)),INDEX(PO_Enrgy_16_Table,0,MATCH($Q$323,PO_Enrgy_16_Hdr,0))),"")</f>
        <v>0</v>
      </c>
      <c r="F327" s="1161">
        <f>IFERROR(SUM(INDEX(PO_Enrgy_16_Table,0,MATCH(F$323,PO_Enrgy_16_Hdr,0))),"")</f>
        <v>0</v>
      </c>
      <c r="G327" s="1164">
        <f>IFERROR(SUM(INDEX(PO_Enrgy_16_Table,0,MATCH(G$323,PO_Enrgy_16_Hdr,0))),"")</f>
        <v>0</v>
      </c>
      <c r="H327" s="1180">
        <f>IFERROR(SUMPRODUCT(INDEX(PO_Enrgy_16_Table,0,MATCH(H$323,PO_Enrgy_16_Hdr,0)),INDEX(PO_Enrgy_16_Table,0,MATCH($Q$323,PO_Enrgy_16_Hdr,0))),"")</f>
        <v>0</v>
      </c>
      <c r="I327" s="1161">
        <f>IFERROR(SUM(INDEX(PO_Enrgy_16_Table,0,MATCH(I$323,PO_Enrgy_16_Hdr,0))),"")</f>
        <v>0</v>
      </c>
      <c r="J327" s="1164">
        <f>IFERROR(SUM(INDEX(PO_Enrgy_16_Table,0,MATCH(J$323,PO_Enrgy_16_Hdr,0))),"")</f>
        <v>0</v>
      </c>
      <c r="K327" s="2690" t="str">
        <f>IFERROR(1-H327/E327,"")</f>
        <v/>
      </c>
      <c r="L327" s="2691"/>
      <c r="M327" s="1163" t="str">
        <f>IFERROR(1-J327/G327,"")</f>
        <v/>
      </c>
      <c r="AJ327" s="15"/>
      <c r="BC327" s="1906"/>
    </row>
    <row r="328" spans="1:60" ht="21" customHeight="1" x14ac:dyDescent="0.3">
      <c r="A328" s="1063" t="s">
        <v>1299</v>
      </c>
      <c r="B328" s="2866" t="s">
        <v>1283</v>
      </c>
      <c r="C328" s="2815"/>
      <c r="D328" s="2815"/>
      <c r="E328" s="2815"/>
      <c r="F328" s="2815"/>
      <c r="G328" s="2849"/>
      <c r="H328" s="2849"/>
      <c r="I328" s="2849"/>
      <c r="J328" s="2849"/>
      <c r="K328" s="2867"/>
      <c r="L328" s="2867"/>
      <c r="M328" s="1193" t="str">
        <f>$M$327</f>
        <v/>
      </c>
      <c r="AJ328" s="15"/>
      <c r="BC328" s="1906"/>
    </row>
    <row r="329" spans="1:60" ht="33" customHeight="1" x14ac:dyDescent="0.3">
      <c r="A329" s="1063" t="s">
        <v>1299</v>
      </c>
      <c r="C329" s="685"/>
      <c r="D329" s="685"/>
      <c r="E329" s="732"/>
      <c r="F329" s="534"/>
      <c r="G329" s="533"/>
      <c r="H329" s="534"/>
      <c r="I329" s="533"/>
      <c r="J329" s="582"/>
      <c r="AJ329" s="15"/>
    </row>
    <row r="330" spans="1:60" s="750" customFormat="1" ht="21.75" customHeight="1" x14ac:dyDescent="0.3">
      <c r="A330" s="1063" t="s">
        <v>1299</v>
      </c>
      <c r="B330" s="26" t="s">
        <v>1121</v>
      </c>
      <c r="E330" s="31"/>
      <c r="H330" s="31"/>
      <c r="I330" s="31"/>
      <c r="J330" s="31"/>
      <c r="M330" s="31"/>
      <c r="N330" s="31"/>
      <c r="O330" s="31"/>
      <c r="T330" s="100"/>
      <c r="U330" s="100"/>
      <c r="V330" s="100"/>
      <c r="W330" s="100"/>
      <c r="X330" s="100"/>
      <c r="Y330" s="100"/>
      <c r="Z330" s="100"/>
      <c r="AA330" s="100"/>
      <c r="AD330" s="100"/>
      <c r="AE330" s="100"/>
      <c r="AF330" s="100"/>
      <c r="AG330" s="100"/>
      <c r="AH330" s="100"/>
      <c r="AI330" s="100"/>
      <c r="AJ330" s="100"/>
      <c r="AK330" s="100"/>
      <c r="AL330" s="100"/>
      <c r="AM330" s="100"/>
      <c r="AN330" s="100"/>
      <c r="AO330" s="100"/>
      <c r="AP330" s="100"/>
      <c r="AQ330" s="100"/>
      <c r="AR330" s="100"/>
      <c r="AS330" s="100"/>
      <c r="AT330" s="100"/>
      <c r="AU330" s="100"/>
      <c r="AV330" s="100"/>
      <c r="AW330" s="100"/>
      <c r="AX330" s="100"/>
      <c r="AY330" s="100"/>
      <c r="AZ330" s="100"/>
      <c r="BA330" s="100"/>
      <c r="BB330" s="100"/>
      <c r="BC330" s="100"/>
      <c r="BD330" s="100"/>
      <c r="BE330" s="100"/>
      <c r="BF330" s="100"/>
      <c r="BG330" s="100"/>
      <c r="BH330" s="100"/>
    </row>
    <row r="331" spans="1:60" s="750" customFormat="1" ht="21.75" customHeight="1" x14ac:dyDescent="0.3">
      <c r="A331" s="1063"/>
      <c r="B331" s="728" t="s">
        <v>1835</v>
      </c>
      <c r="E331" s="31"/>
      <c r="H331" s="31"/>
      <c r="I331" s="31"/>
      <c r="J331" s="31"/>
      <c r="M331" s="31"/>
      <c r="N331" s="31"/>
      <c r="O331" s="31"/>
      <c r="T331" s="100"/>
      <c r="U331" s="100"/>
      <c r="V331" s="100"/>
      <c r="W331" s="100"/>
      <c r="X331" s="100"/>
      <c r="Y331" s="100"/>
      <c r="Z331" s="100"/>
      <c r="AA331" s="100"/>
      <c r="AD331" s="100"/>
      <c r="AE331" s="100"/>
      <c r="AF331" s="100"/>
      <c r="AG331" s="100"/>
      <c r="AH331" s="100"/>
      <c r="AI331" s="100"/>
      <c r="AJ331" s="100"/>
      <c r="AK331" s="100"/>
      <c r="AL331" s="100"/>
      <c r="AM331" s="100"/>
      <c r="AN331" s="100"/>
      <c r="AO331" s="100"/>
      <c r="AP331" s="100"/>
      <c r="AQ331" s="100"/>
      <c r="AR331" s="100"/>
      <c r="AS331" s="100"/>
      <c r="AT331" s="100"/>
      <c r="AU331" s="100"/>
      <c r="AV331" s="100"/>
      <c r="AW331" s="100"/>
      <c r="AX331" s="100"/>
      <c r="AY331" s="100"/>
      <c r="AZ331" s="100"/>
      <c r="BA331" s="100"/>
      <c r="BB331" s="100"/>
      <c r="BC331" s="100"/>
      <c r="BD331" s="100"/>
      <c r="BE331" s="100"/>
      <c r="BF331" s="100"/>
      <c r="BG331" s="100"/>
      <c r="BH331" s="100"/>
    </row>
    <row r="332" spans="1:60" ht="33" customHeight="1" x14ac:dyDescent="0.3">
      <c r="A332" s="1063" t="s">
        <v>1299</v>
      </c>
      <c r="B332" s="2722" t="s">
        <v>1121</v>
      </c>
      <c r="C332" s="2722"/>
      <c r="D332" s="2722"/>
      <c r="E332" s="2722"/>
      <c r="F332" s="2722" t="s">
        <v>347</v>
      </c>
      <c r="G332" s="2723"/>
      <c r="H332" s="2723"/>
      <c r="I332" s="2722" t="s">
        <v>348</v>
      </c>
      <c r="J332" s="2723"/>
      <c r="K332" s="2723"/>
      <c r="L332" s="2723"/>
      <c r="M332" s="2723"/>
    </row>
    <row r="333" spans="1:60" ht="15" customHeight="1" x14ac:dyDescent="0.3">
      <c r="A333" s="1063" t="s">
        <v>1299</v>
      </c>
      <c r="B333" s="2780" t="s">
        <v>443</v>
      </c>
      <c r="C333" s="2868"/>
      <c r="D333" s="2868"/>
      <c r="E333" s="2868"/>
      <c r="F333" s="2726"/>
      <c r="G333" s="2725"/>
      <c r="H333" s="2725"/>
      <c r="I333" s="2724"/>
      <c r="J333" s="2725"/>
      <c r="K333" s="2725"/>
      <c r="L333" s="2725"/>
      <c r="M333" s="2725"/>
      <c r="BC333" s="1906"/>
    </row>
    <row r="334" spans="1:60" ht="15" customHeight="1" x14ac:dyDescent="0.3">
      <c r="A334" s="1063" t="s">
        <v>1299</v>
      </c>
      <c r="B334" s="2780" t="s">
        <v>442</v>
      </c>
      <c r="C334" s="2868"/>
      <c r="D334" s="2868"/>
      <c r="E334" s="2868"/>
      <c r="F334" s="2726"/>
      <c r="G334" s="2725"/>
      <c r="H334" s="2725"/>
      <c r="I334" s="2724"/>
      <c r="J334" s="2725"/>
      <c r="K334" s="2725"/>
      <c r="L334" s="2725"/>
      <c r="M334" s="2725"/>
      <c r="BC334" s="1906"/>
    </row>
    <row r="335" spans="1:60" ht="18" customHeight="1" x14ac:dyDescent="0.3">
      <c r="A335" s="1063" t="s">
        <v>1299</v>
      </c>
      <c r="B335" s="2859" t="s">
        <v>147</v>
      </c>
      <c r="C335" s="2811"/>
      <c r="D335" s="2811"/>
      <c r="E335" s="2811"/>
      <c r="F335" s="2720">
        <f>IF(ISERROR(F333+F334),0,F333+F334)</f>
        <v>0</v>
      </c>
      <c r="G335" s="2461"/>
      <c r="H335" s="2461"/>
      <c r="I335" s="2720">
        <f>IF(ISERROR(I333+I334),0,I333+I334)</f>
        <v>0</v>
      </c>
      <c r="J335" s="2461"/>
      <c r="K335" s="2461"/>
      <c r="L335" s="2461"/>
      <c r="M335" s="2461"/>
      <c r="BC335" s="1906"/>
    </row>
    <row r="336" spans="1:60" ht="18" customHeight="1" x14ac:dyDescent="0.3">
      <c r="A336" s="1063" t="s">
        <v>1299</v>
      </c>
      <c r="B336" s="2859" t="s">
        <v>441</v>
      </c>
      <c r="C336" s="2811"/>
      <c r="D336" s="2811"/>
      <c r="E336" s="2811"/>
      <c r="F336" s="2720" t="str">
        <f>IF(ISERROR(OR(F333+F334,I333+I334)),"Enter numbers only",
     IF(OR(F335&gt;300,I335&gt;300),"No","Yes"))</f>
        <v>Yes</v>
      </c>
      <c r="G336" s="2721"/>
      <c r="H336" s="2721"/>
      <c r="I336" s="2461"/>
      <c r="J336" s="2461"/>
      <c r="K336" s="2461"/>
      <c r="L336" s="2461"/>
      <c r="M336" s="2461"/>
      <c r="BC336" s="1906"/>
    </row>
    <row r="337" spans="2:13" ht="33" customHeight="1" x14ac:dyDescent="0.3">
      <c r="C337" s="2864" t="str">
        <f>IF(ISERROR(F335+I335),"",IF(OR(I335&gt;300,F335&gt;300),"Revise the model so that the unmet load hours for both the baseline and proposed case are 300 hours or less",""))</f>
        <v/>
      </c>
      <c r="D337" s="2865"/>
      <c r="E337" s="2865"/>
      <c r="F337" s="2865"/>
      <c r="G337" s="2865"/>
      <c r="H337" s="558"/>
    </row>
    <row r="338" spans="2:13" ht="30" customHeight="1" x14ac:dyDescent="0.3">
      <c r="B338" s="568" t="s">
        <v>808</v>
      </c>
    </row>
    <row r="339" spans="2:13" ht="12.75" customHeight="1" x14ac:dyDescent="0.3">
      <c r="B339" s="2707" t="str">
        <f>IF(MultipleBuildingsExist="No","General information","Multiple Building Details")</f>
        <v>General information</v>
      </c>
      <c r="C339" s="1701" t="str">
        <f>"Total Area "&amp;IF(SI_IP_Units="IP","(sq ft)","(sq m)")</f>
        <v>Total Area (sq m)</v>
      </c>
      <c r="D339" s="1669"/>
      <c r="E339" s="1669"/>
      <c r="F339" s="1669"/>
      <c r="G339" s="1669"/>
      <c r="H339" s="1669"/>
      <c r="I339" s="1669"/>
      <c r="J339" s="1669"/>
      <c r="K339" s="1669"/>
      <c r="L339" s="1669"/>
      <c r="M339" s="1670"/>
    </row>
    <row r="340" spans="2:13" x14ac:dyDescent="0.3">
      <c r="B340" s="2708"/>
      <c r="C340" s="1702">
        <f ca="1">IFERROR(IF(MultipleBuildingsExist="No",
GI_BldgArea,
SUMIF(MBD_BS_Index,$H$5,OFFSET(MBD_BS_Index,0,MATCH('Multiple Buildings Details'!$G$22,MBD_BS_Hdr,0)-1,1,1))+SUMIF(MBD_BS_Index,$H$5,OFFSET(MBD_BS_Index,0,MATCH('Multiple Buildings Details'!$H$22,MBD_BS_Hdr,0)-1,1,1))),"")</f>
        <v>19873.38</v>
      </c>
      <c r="D340" s="1672"/>
      <c r="E340" s="1672"/>
      <c r="F340" s="1672"/>
      <c r="G340" s="1672"/>
      <c r="H340" s="1672"/>
      <c r="I340" s="1672"/>
      <c r="J340" s="1672"/>
      <c r="K340" s="1672"/>
      <c r="L340" s="1672"/>
      <c r="M340" s="1673"/>
    </row>
    <row r="341" spans="2:13" ht="38.25" customHeight="1" x14ac:dyDescent="0.3">
      <c r="B341" s="2707" t="s">
        <v>301</v>
      </c>
      <c r="C341" s="1700" t="str">
        <f>"Total Area "&amp;IF(SI_IP_Units="IP","(sq ft)","(sq m)")</f>
        <v>Total Area (sq m)</v>
      </c>
      <c r="D341" s="1666" t="s">
        <v>1861</v>
      </c>
      <c r="E341" s="1666"/>
      <c r="F341" s="1665" t="s">
        <v>1860</v>
      </c>
      <c r="G341" s="1665" t="s">
        <v>2020</v>
      </c>
      <c r="H341" s="1665" t="s">
        <v>2021</v>
      </c>
      <c r="I341" s="1665" t="s">
        <v>2022</v>
      </c>
      <c r="J341" s="1665" t="s">
        <v>2023</v>
      </c>
      <c r="K341" s="1668"/>
      <c r="L341" s="1674"/>
      <c r="M341" s="1670"/>
    </row>
    <row r="342" spans="2:13" x14ac:dyDescent="0.3">
      <c r="B342" s="2708"/>
      <c r="C342" s="1690">
        <f ca="1">IFERROR(IF(L_LPDmethod=1,SUMIF(L_BAMInput_Index,$H$5,OFFSET(L_BAMInput_Index,0,MATCH(Lighting!$D$31,Lighting_Residential_Hdr,0)-1)),SUMIF(L_SxSInput_Index,$H$5,OFFSET(L_SxSInput_Index,0,MATCH(Lighting!$D$56,Lighting_SxS_Residential_Hdr,0)-1))),"")</f>
        <v>0</v>
      </c>
      <c r="D342" s="1703" t="str">
        <f ca="1">IFERROR(OFFSET(L_IL_SumTable,MATCH($H$5,L_IL_SumIndex,0)-1,MATCH(Lighting!$L$111,L_IL_SumHdr,0)-1,1,1),"")</f>
        <v/>
      </c>
      <c r="E342" s="1690"/>
      <c r="F342" s="1697" t="str">
        <f ca="1">IFERROR(OFFSET(L_IL_SumTable,MATCH($H$5,L_IL_SumIndex,0)-1,MATCH(Lighting!$O$111,L_IL_SumHdr,0)-1,1,1),"")</f>
        <v/>
      </c>
      <c r="G342" s="1698">
        <f ca="1">IFERROR(OFFSET(L_ExtSum_Table,1,MATCH(Lighting!$J$160,L_ExtSum_Hdr,0)-1,1,1),"")</f>
        <v>62.22372</v>
      </c>
      <c r="H342" s="1653">
        <f ca="1">IFERROR(OFFSET(L_ExtSum_Table,1,MATCH(Lighting!$M$160,L_ExtSum_Hdr,0)-1,1,1),"")</f>
        <v>26.027999999999999</v>
      </c>
      <c r="I342" s="1653">
        <f ca="1">IFERROR(OFFSET(L_LtgZone_Table,1,MATCH(Lighting!$M$129,L_LtgZone_Hdr,0)-1,1,1)+OFFSET(L_NTSurface_Table,MATCH(Lighting!$B$156,L_NTSurface_Index,0)-1,MATCH(Lighting!$J$149,L_NTSurface_Hdr,0)-1,1,1),"")</f>
        <v>750</v>
      </c>
      <c r="J342" s="1699">
        <f ca="1">IFERROR(OFFSET(L_NTSurface_Table,MATCH(Lighting!$B$156,L_NTSurface_Index,0)-1,MATCH(Lighting!$M$149,L_NTSurface_Hdr,0)-1,1,1),"")</f>
        <v>0</v>
      </c>
      <c r="K342" s="1671"/>
      <c r="L342" s="1672"/>
      <c r="M342" s="1673"/>
    </row>
    <row r="343" spans="2:13" ht="12.75" customHeight="1" x14ac:dyDescent="0.3">
      <c r="B343" s="2707" t="s">
        <v>1033</v>
      </c>
      <c r="C343" s="1691" t="s">
        <v>1854</v>
      </c>
      <c r="D343" s="1643" t="s">
        <v>1855</v>
      </c>
      <c r="E343" s="1643"/>
      <c r="F343" s="1675" t="s">
        <v>2006</v>
      </c>
      <c r="G343" s="1668"/>
      <c r="H343" s="1669"/>
      <c r="I343" s="1669"/>
      <c r="J343" s="1669"/>
      <c r="K343" s="1669"/>
      <c r="L343" s="1669"/>
      <c r="M343" s="1670"/>
    </row>
    <row r="344" spans="2:13" x14ac:dyDescent="0.3">
      <c r="B344" s="2708"/>
      <c r="C344" s="1692">
        <f ca="1">IFERROR(SUMIF('Shading and Fenestration'!O:O,$H$5,'Shading and Fenestration'!P:P),"")</f>
        <v>0</v>
      </c>
      <c r="D344" s="1651" t="b">
        <f ca="1">IF(IFERROR(COUNTIFS('Shading and Fenestration'!O:O,$H$5,'Shading and Fenestration'!Q:Q,TRUE),"")&gt;0,TRUE,FALSE)</f>
        <v>0</v>
      </c>
      <c r="E344" s="1659"/>
      <c r="F344" s="1650" t="str">
        <f ca="1">IFERROR(OFFSET('Shading and Fenestration'!O:Q,MATCH(CONCATENATE($H$5, " zones"),'Shading and Fenestration'!O:O,0)-1,1,1,1),"")</f>
        <v/>
      </c>
      <c r="G344" s="1671"/>
      <c r="H344" s="1672"/>
      <c r="I344" s="1672"/>
      <c r="J344" s="1672"/>
      <c r="K344" s="1672"/>
      <c r="L344" s="1672"/>
      <c r="M344" s="1673"/>
    </row>
    <row r="345" spans="2:13" ht="41.25" customHeight="1" x14ac:dyDescent="0.3">
      <c r="B345" s="2707" t="s">
        <v>2019</v>
      </c>
      <c r="C345" s="1693" t="s">
        <v>1856</v>
      </c>
      <c r="D345" s="1666" t="s">
        <v>1857</v>
      </c>
      <c r="E345" s="1666"/>
      <c r="F345" s="1665" t="s">
        <v>1861</v>
      </c>
      <c r="G345" s="1665" t="s">
        <v>1860</v>
      </c>
      <c r="H345" s="1665" t="s">
        <v>2024</v>
      </c>
      <c r="I345" s="1665" t="s">
        <v>2025</v>
      </c>
      <c r="J345" s="1665" t="s">
        <v>2026</v>
      </c>
      <c r="K345" s="1666" t="s">
        <v>1862</v>
      </c>
      <c r="L345" s="1666"/>
      <c r="M345" s="1676"/>
    </row>
    <row r="346" spans="2:13" x14ac:dyDescent="0.3">
      <c r="B346" s="2709"/>
      <c r="C346" s="1694">
        <f ca="1">IFERROR(MAX(OFFSET(PO_design_table,MATCH($B$171,PO_design_index,0)-2,MATCH($S$170,PO_design_hdr,0)-1,1,1)),"")</f>
        <v>0</v>
      </c>
      <c r="D346" s="1646">
        <f ca="1">IFERROR(MAX(OFFSET(PO_design_table,MATCH($B$171,PO_design_index,0)-2,MATCH($T$170,PO_design_hdr,0)-1,1,1)),"")</f>
        <v>0</v>
      </c>
      <c r="E346" s="1645"/>
      <c r="F346" s="1642">
        <f ca="1">IFERROR(MAX(OFFSET(PO_design_table,MATCH($B$171,PO_design_index,0)-1,MATCH($G$170,PO_design_hdr,0)-1,1,1)),"")</f>
        <v>0</v>
      </c>
      <c r="G346" s="1642">
        <f ca="1">IFERROR(MAX(OFFSET(PO_design_table,MATCH($B$171,PO_design_index,0)-1,MATCH($H$170,PO_design_hdr,0)-1,1,1)),"")</f>
        <v>0</v>
      </c>
      <c r="H346" s="1642">
        <f ca="1">IFERROR(MAX(OFFSET(PO_design_table,MATCH($B$173,PO_design_index,0)-2,MATCH($G$170,PO_design_hdr,0)-1,1,1)),"")</f>
        <v>0</v>
      </c>
      <c r="I346" s="1642">
        <f ca="1">IFERROR(MAX(OFFSET(PO_design_table,MATCH($B$173,PO_design_index,0)-2,MATCH($H$170,PO_design_hdr,0)-1,1,1)),"")</f>
        <v>0</v>
      </c>
      <c r="J346" s="1642">
        <f ca="1">IFERROR(MAX(OFFSET(PO_design_table,MATCH($B$173,PO_design_index,0)-2,MATCH($S$170,PO_design_hdr,0)-1,1,1)),"")</f>
        <v>0</v>
      </c>
      <c r="K346" s="1645">
        <f ca="1">IFERROR(MAX(OFFSET(PO_design_table,MATCH($B$173,PO_design_index,0)-2,MATCH($T$170,PO_design_hdr,0)-1,1,1)),"")</f>
        <v>0</v>
      </c>
      <c r="L346" s="1651"/>
      <c r="M346" s="1677"/>
    </row>
    <row r="347" spans="2:13" ht="38.25" customHeight="1" x14ac:dyDescent="0.3">
      <c r="B347" s="2709"/>
      <c r="C347" s="1689" t="s">
        <v>2020</v>
      </c>
      <c r="D347" s="1666" t="s">
        <v>2021</v>
      </c>
      <c r="E347" s="1666"/>
      <c r="F347" s="1665" t="s">
        <v>2027</v>
      </c>
      <c r="G347" s="1665" t="s">
        <v>2028</v>
      </c>
      <c r="H347" s="1665" t="s">
        <v>2029</v>
      </c>
      <c r="I347" s="1665" t="s">
        <v>2030</v>
      </c>
      <c r="J347" s="1665" t="s">
        <v>2031</v>
      </c>
      <c r="K347" s="1666" t="s">
        <v>2032</v>
      </c>
      <c r="L347" s="1666"/>
      <c r="M347" s="1665" t="s">
        <v>1875</v>
      </c>
    </row>
    <row r="348" spans="2:13" x14ac:dyDescent="0.3">
      <c r="B348" s="2709"/>
      <c r="C348" s="1690">
        <f ca="1">IFERROR(MAX(OFFSET(PO_design_table,MATCH($B$173,PO_design_index,0)-1,MATCH($G$170,PO_design_hdr,0)-1,1,1)),"")</f>
        <v>0</v>
      </c>
      <c r="D348" s="1645">
        <f ca="1">IFERROR(MAX(OFFSET(PO_design_table,MATCH($B$173,PO_design_index,0)-1,MATCH($H$170,PO_design_hdr,0)-1,1,1)),"")</f>
        <v>0</v>
      </c>
      <c r="E348" s="1645"/>
      <c r="F348" s="1642" t="str">
        <f ca="1">IFERROR((OFFSET(PO_design_table,MATCH($B$189,PO_design_index,0)-2,MATCH($G$170,PO_design_hdr,0)-1,1,1)*OFFSET(PO_design_table,MATCH($B$189,PO_design_index,0)-2,MATCH($Q$170,PO_design_hdr,0)-1,1,1))/OFFSET(PO_ModelSubtotal,0,4,1,1),"")</f>
        <v/>
      </c>
      <c r="G348" s="1642" t="str">
        <f ca="1">IFERROR((OFFSET(PO_design_table,MATCH($B$189,PO_design_index,0)-2,MATCH($H$170,PO_design_hdr,0)-1,1,1)*OFFSET(PO_design_table,MATCH($B$189,PO_design_index,0)-2,MATCH($Q$170,PO_design_hdr,0)-1,1,1))/OFFSET(PO_ModelSubtotal,0,7,1,1),"")</f>
        <v/>
      </c>
      <c r="H348" s="1642"/>
      <c r="I348" s="1642" t="str">
        <f ca="1">IFERROR((OFFSET(PO_design_table,MATCH($B$187,PO_design_index,0)-2,MATCH($G$170,PO_design_hdr,0)-1,1,1)*OFFSET(PO_design_table,MATCH($B$187,PO_design_index,0)-2,MATCH($Q$170,PO_design_hdr,0)-1,1,1))/OFFSET(PO_ModelSubtotal,0,4,1,1),"")</f>
        <v/>
      </c>
      <c r="J348" s="1642" t="str">
        <f ca="1">IFERROR((OFFSET(PO_design_table,MATCH($B$187,PO_design_index,0)-2,MATCH($H$170,PO_design_hdr,0)-1,1,1)*OFFSET(PO_design_table,MATCH($B$187,PO_design_index,0)-2,MATCH($Q$170,PO_design_hdr,0)-1,1,1))/OFFSET(PO_ModelSubtotal,0,7,1,1),"")</f>
        <v/>
      </c>
      <c r="K348" s="1645">
        <f ca="1">IFERROR(MAX(OFFSET(PO_design_table,MATCH($B$179,PO_design_index,0)-2,MATCH($G$170,PO_design_hdr,0)-1,1,1)),"")</f>
        <v>0</v>
      </c>
      <c r="L348" s="1645"/>
      <c r="M348" s="1647">
        <f ca="1">IFERROR(MAX(OFFSET(PO_design_table,MATCH($B$183,PO_design_index,0)-2,MATCH($S$170,PO_design_hdr,0)-1,1,1)),"")</f>
        <v>0</v>
      </c>
    </row>
    <row r="349" spans="2:13" ht="38.25" customHeight="1" x14ac:dyDescent="0.3">
      <c r="B349" s="2709"/>
      <c r="C349" s="1689" t="s">
        <v>1876</v>
      </c>
      <c r="D349" s="1666" t="s">
        <v>1877</v>
      </c>
      <c r="E349" s="1666"/>
      <c r="F349" s="1665" t="s">
        <v>1878</v>
      </c>
      <c r="G349" s="1665" t="s">
        <v>1881</v>
      </c>
      <c r="H349" s="1665" t="s">
        <v>2033</v>
      </c>
      <c r="I349" s="1665" t="s">
        <v>2034</v>
      </c>
      <c r="J349" s="1665" t="s">
        <v>2035</v>
      </c>
      <c r="K349" s="1666" t="s">
        <v>2036</v>
      </c>
      <c r="L349" s="1666"/>
      <c r="M349" s="1665" t="s">
        <v>2037</v>
      </c>
    </row>
    <row r="350" spans="2:13" x14ac:dyDescent="0.3">
      <c r="B350" s="2708"/>
      <c r="C350" s="1690">
        <f ca="1">IFERROR(IFERROR(MAX(OFFSET(PO_design_table,MATCH($B$183,PO_design_index,0)-2,MATCH($T$170,PO_design_hdr,0)-1,1,1)),""),"")</f>
        <v>0</v>
      </c>
      <c r="D350" s="1645">
        <f ca="1">IFERROR(IFERROR(MAX(OFFSET(PO_design_table,MATCH($B$183,PO_design_index,0)-1,MATCH($G$170,PO_design_hdr,0)-1,1,1)),""),"")</f>
        <v>0</v>
      </c>
      <c r="E350" s="1645"/>
      <c r="F350" s="1653">
        <f ca="1">IFERROR(IFERROR(MAX(OFFSET(PO_design_table,MATCH($B$183,PO_design_index,0)-1,MATCH($H$170,PO_design_hdr,0)-1,1,1)),""),"")</f>
        <v>0</v>
      </c>
      <c r="G350" s="1653" t="str">
        <f ca="1">IFERROR(MAX(IFERROR(OFFSET(PO_renewable_table,MATCH("Photovoltaic system",PO_renewable_Index,0)-2,MATCH($S$32,PO_renewable_hdr,0)-1,1,1),0),
IFERROR(OFFSET(PO_renewable_table,MATCH("Solar thermal system",PO_renewable_Index,0)-2,MATCH($S$32,PO_renewable_hdr,0)-1,1,1),0)),"")</f>
        <v/>
      </c>
      <c r="H350" s="1653"/>
      <c r="I350" s="1653" t="str">
        <f ca="1">IFERROR(OFFSET(PO_Enrgy_8_Table,MATCH("Electricity",PO_Enrgy_8_Index,0)-2,MATCH($H$232,PO_Enrgy_8_Hdr,0)-1,1,1),"")</f>
        <v/>
      </c>
      <c r="J350" s="1653" t="str">
        <f ca="1">IFERROR(OFFSET(PO_Enrgy_8_Table,MATCH("Natural Gas",PO_Enrgy_8_Index,0)-2,MATCH($H$232,PO_Enrgy_8_Hdr,0)-1,1,1),"")</f>
        <v/>
      </c>
      <c r="K350" s="1654" t="str">
        <f ca="1">IFERROR(GetPerformanceOutputRangeSums("PO_QA_BaseExtLtgDem"),"")</f>
        <v/>
      </c>
      <c r="L350" s="1654"/>
      <c r="M350" s="1655" t="str">
        <f ca="1">IFERROR(GetPerformanceOutputRangeSums("PO_QA_DesignExtLtgDem"),"")</f>
        <v/>
      </c>
    </row>
    <row r="351" spans="2:13" x14ac:dyDescent="0.3">
      <c r="B351" s="2707" t="s">
        <v>284</v>
      </c>
      <c r="C351" s="1695" t="s">
        <v>1869</v>
      </c>
      <c r="D351" s="1648" t="s">
        <v>1870</v>
      </c>
      <c r="E351" s="1688"/>
      <c r="F351" s="1678"/>
      <c r="G351" s="1679"/>
      <c r="H351" s="1679"/>
      <c r="I351" s="1679"/>
      <c r="J351" s="1679"/>
      <c r="K351" s="1679"/>
      <c r="L351" s="1679"/>
      <c r="M351" s="1680"/>
    </row>
    <row r="352" spans="2:13" x14ac:dyDescent="0.3">
      <c r="B352" s="2708"/>
      <c r="C352" s="1694">
        <f ca="1">COUNTIFS(OFFSET(GHVAC_BHVACST_Index,0,MATCH('General HVAC'!$D$28,GHVAC_BSysType_Hdr,0)-1),"System 2 - PTHP",
OFFSET(GHVAC_BHVACST_Index,0,MATCH('General HVAC'!$B$28,GHVAC_BSysType_Hdr,0)-1),$H$5)+
COUNTIFS(OFFSET(GHVAC_BHVACST_Index,0,MATCH('General HVAC'!$D$28,GHVAC_BSysType_Hdr,0)-1),"System 3 - PSZ-AC",
OFFSET(GHVAC_BHVACST_Index,0,MATCH('General HVAC'!$B$28,GHVAC_BSysType_Hdr,0)-1),$H$5)+
COUNTIFS(OFFSET(GHVAC_BHVACST_Index,0,MATCH('General HVAC'!$D$28,GHVAC_BSysType_Hdr,0)-1),"System 4 - PSZ-HP",
OFFSET(GHVAC_BHVACST_Index,0,MATCH('General HVAC'!$B$28,GHVAC_BSysType_Hdr,0)-1),$H$5)+
COUNTIFS(OFFSET(GHVAC_BHVACST_Index,0,MATCH('General HVAC'!$D$28,GHVAC_BSysType_Hdr,0)-1),"System 6 - Packaged VAV with PFP Boxes",
OFFSET(GHVAC_BHVACST_Index,0,MATCH('General HVAC'!$B$28,GHVAC_BSysType_Hdr,0)-1),$H$5)+
COUNTIFS(OFFSET(GHVAC_BHVACST_Index,0,MATCH('General HVAC'!$D$28,GHVAC_BSysType_Hdr,0)-1),"System 8 - VAV with PFP Boxes",
OFFSET(GHVAC_BHVACST_Index,0,MATCH('General HVAC'!$B$28,GHVAC_BSysType_Hdr,0)-1),$H$5)+
COUNTIFS(OFFSET(GHVAC_BHVACST_Index,0,MATCH('General HVAC'!$D$28,GHVAC_BSysType_Hdr,0)-1),"System 9 - Heating and Ventilation",
OFFSET(GHVAC_BHVACST_Index,0,MATCH('General HVAC'!$B$28,GHVAC_BSysType_Hdr,0)-1),$H$5)+
COUNTIFS(OFFSET(GHVAC_BHVACST_Index,0,MATCH('General HVAC'!$D$28,GHVAC_BSysType_Hdr,0)-1),"System 10 - Heating and Ventilation",
OFFSET(GHVAC_BHVACST_Index,0,MATCH('General HVAC'!$B$28,GHVAC_BSysType_Hdr,0)-1),$H$5)</f>
        <v>0</v>
      </c>
      <c r="D352" s="1646">
        <f ca="1">COUNTIFS(OFFSET(GHVAC_BHVACST_Index,0,MATCH('General HVAC'!$D$28,GHVAC_BSysType_Hdr,0)-1),"System 1 - PTAC",
OFFSET(GHVAC_BHVACST_Index,0,MATCH('General HVAC'!$B$28,GHVAC_BSysType_Hdr,0)-1),$H$5)+
COUNTIFS(OFFSET(GHVAC_BHVACST_Index,0,MATCH('General HVAC'!$D$28,GHVAC_BSysType_Hdr,0)-1),"System 5 - Packaged VAV with Reheat",
OFFSET(GHVAC_BHVACST_Index,0,MATCH('General HVAC'!$B$28,GHVAC_BSysType_Hdr,0)-1),$H$5)+
COUNTIFS(OFFSET(GHVAC_BHVACST_Index,0,MATCH('General HVAC'!$D$28,GHVAC_BSysType_Hdr,0)-1),"System 7 - VAV with Reheat",
OFFSET(GHVAC_BHVACST_Index,0,MATCH('General HVAC'!$B$28,GHVAC_BSysType_Hdr,0)-1),$H$5)</f>
        <v>0</v>
      </c>
      <c r="E352" s="1651"/>
      <c r="F352" s="1681"/>
      <c r="G352" s="1682"/>
      <c r="H352" s="1682"/>
      <c r="I352" s="1682"/>
      <c r="J352" s="1682"/>
      <c r="K352" s="1682"/>
      <c r="L352" s="1682"/>
      <c r="M352" s="1683"/>
    </row>
    <row r="353" spans="2:18" ht="25.5" customHeight="1" x14ac:dyDescent="0.3">
      <c r="B353" s="2707" t="s">
        <v>1044</v>
      </c>
      <c r="C353" s="1689" t="s">
        <v>1873</v>
      </c>
      <c r="D353" s="1666" t="s">
        <v>1874</v>
      </c>
      <c r="E353" s="1666"/>
      <c r="F353" s="1667" t="s">
        <v>1871</v>
      </c>
      <c r="G353" s="1667" t="s">
        <v>1872</v>
      </c>
      <c r="H353" s="1665" t="s">
        <v>2038</v>
      </c>
      <c r="I353" s="1665" t="s">
        <v>2039</v>
      </c>
      <c r="J353" s="1665" t="s">
        <v>2040</v>
      </c>
      <c r="K353" s="1666" t="s">
        <v>2041</v>
      </c>
      <c r="L353" s="1666"/>
      <c r="M353" s="1676"/>
    </row>
    <row r="354" spans="2:18" x14ac:dyDescent="0.3">
      <c r="B354" s="2709"/>
      <c r="C354" s="1690">
        <f>IFERROR(SUMIFS(AHVAC_Base_FanFlow,AHVAC_Base_ID,$H$5),"")</f>
        <v>0</v>
      </c>
      <c r="D354" s="1645">
        <f>IFERROR(SUMIFS(AHVAC_Design_FanFlow,AHVAC_Design_ID,$H$5),"")</f>
        <v>0</v>
      </c>
      <c r="E354" s="1645"/>
      <c r="F354" s="1656">
        <f>IFERROR(SUMIFS(AHVAC_Base_FanPower,AHVAC_Base_ID,$H$5),"")</f>
        <v>0</v>
      </c>
      <c r="G354" s="1656">
        <f>IFERROR(SUMIFS(AHVAC_Design_FanPower,AHVAC_Design_ID,$H$5),"")</f>
        <v>0</v>
      </c>
      <c r="H354" s="1653">
        <f>IFERROR(SUMIFS(AHVAC_Base_CoolingCap,AHVAC_Base_ID,$H$5),"")</f>
        <v>0</v>
      </c>
      <c r="I354" s="1653">
        <f>IFERROR(SUMIFS(AHVAC_Design_CoolingCap,AHVAC_Design_ID,$H$5),"")</f>
        <v>0</v>
      </c>
      <c r="J354" s="1653">
        <f>IFERROR(SUMIFS(AHVAC_Base_HeatingCap,AHVAC_Base_ID,$H$5),"")</f>
        <v>0</v>
      </c>
      <c r="K354" s="1654">
        <f>IFERROR(SUMIFS(AHVAC_Design_HeatingCap,AHVAC_Design_ID,$H$5),"")</f>
        <v>0</v>
      </c>
      <c r="L354" s="1657"/>
      <c r="M354" s="1677"/>
    </row>
    <row r="355" spans="2:18" x14ac:dyDescent="0.3">
      <c r="B355" s="2709"/>
      <c r="C355" s="1691" t="s">
        <v>1879</v>
      </c>
      <c r="D355" s="1644" t="s">
        <v>1880</v>
      </c>
      <c r="E355" s="1688"/>
      <c r="F355" s="1684"/>
      <c r="G355" s="1685"/>
      <c r="H355" s="1679"/>
      <c r="I355" s="1679"/>
      <c r="J355" s="1679"/>
      <c r="K355" s="1679"/>
      <c r="L355" s="1679"/>
      <c r="M355" s="1680"/>
    </row>
    <row r="356" spans="2:18" x14ac:dyDescent="0.3">
      <c r="B356" s="2708"/>
      <c r="C356" s="1696">
        <f>IFERROR(SUMIFS(AHVAC_Base_OAFlow,AHVAC_Base_ID,$H$5),"")</f>
        <v>0</v>
      </c>
      <c r="D356" s="1649">
        <f>IFERROR(SUMIFS(AHVAC_Design_OAFlow,AHVAC_Design_ID,$H$5),"")</f>
        <v>0</v>
      </c>
      <c r="E356" s="1652"/>
      <c r="F356" s="1686"/>
      <c r="G356" s="1687"/>
      <c r="H356" s="1682"/>
      <c r="I356" s="1682"/>
      <c r="J356" s="1682"/>
      <c r="K356" s="1682"/>
      <c r="L356" s="1682"/>
      <c r="M356" s="1683"/>
    </row>
    <row r="357" spans="2:18" ht="30" customHeight="1" x14ac:dyDescent="0.3">
      <c r="C357" s="1229"/>
      <c r="D357" s="1230"/>
      <c r="E357" s="1230"/>
    </row>
    <row r="358" spans="2:18" ht="17.399999999999999" x14ac:dyDescent="0.3">
      <c r="B358" s="1660" t="s">
        <v>439</v>
      </c>
      <c r="C358" s="1661"/>
      <c r="D358" s="1661"/>
      <c r="E358" s="1661"/>
      <c r="F358" s="1662"/>
      <c r="G358" s="1662"/>
      <c r="H358" s="1662"/>
      <c r="I358" s="1663" t="s">
        <v>1883</v>
      </c>
      <c r="J358" s="1663"/>
      <c r="K358" s="1663"/>
      <c r="L358" s="1663"/>
      <c r="M358" s="1664"/>
      <c r="Q358" s="1296" t="s">
        <v>1046</v>
      </c>
      <c r="R358" s="1296" t="s">
        <v>1853</v>
      </c>
    </row>
    <row r="359" spans="2:18" ht="25.5" customHeight="1" x14ac:dyDescent="0.3">
      <c r="B359" s="2901" t="str">
        <f>"The total building area reported in the "&amp;IF(MultipleBuildingsExist="No","General Information", "Multiple Building Details")&amp; " tab differs from the total building area reported in the Lighting tab (Interior Lighting section) by more than 10%. Please check for consistency and verify that the building areas reported are accurate."</f>
        <v>The total building area reported in the General Information tab differs from the total building area reported in the Lighting tab (Interior Lighting section) by more than 10%. Please check for consistency and verify that the building areas reported are accurate.</v>
      </c>
      <c r="C359" s="2902"/>
      <c r="D359" s="2902"/>
      <c r="E359" s="2902"/>
      <c r="F359" s="2902"/>
      <c r="G359" s="2902"/>
      <c r="H359" s="2903"/>
      <c r="I359" s="2904"/>
      <c r="J359" s="2904"/>
      <c r="K359" s="2904"/>
      <c r="L359" s="2904"/>
      <c r="M359" s="2905"/>
      <c r="R359" s="1296" t="b">
        <f ca="1">IFERROR(IF(ABS(C340-C342)/MIN(C340,C342)&gt;0.1,TRUE,FALSE),TRUE)</f>
        <v>1</v>
      </c>
    </row>
    <row r="360" spans="2:18" ht="25.5" customHeight="1" x14ac:dyDescent="0.3">
      <c r="B360" s="2898" t="s">
        <v>1838</v>
      </c>
      <c r="C360" s="2899"/>
      <c r="D360" s="2899"/>
      <c r="E360" s="2899"/>
      <c r="F360" s="2899"/>
      <c r="G360" s="2899"/>
      <c r="H360" s="2900"/>
      <c r="I360" s="2703"/>
      <c r="J360" s="2703"/>
      <c r="K360" s="2703"/>
      <c r="L360" s="2703"/>
      <c r="M360" s="2704"/>
      <c r="R360" s="1296" t="b">
        <f ca="1">IFERROR(IF(C344&gt;0.01,TRUE,FALSE),TRUE)</f>
        <v>0</v>
      </c>
    </row>
    <row r="361" spans="2:18" ht="25.5" customHeight="1" x14ac:dyDescent="0.3">
      <c r="B361" s="2898" t="s">
        <v>1312</v>
      </c>
      <c r="C361" s="2899"/>
      <c r="D361" s="2899"/>
      <c r="E361" s="2899"/>
      <c r="F361" s="2899"/>
      <c r="G361" s="2899"/>
      <c r="H361" s="2900"/>
      <c r="I361" s="2703"/>
      <c r="J361" s="2703"/>
      <c r="K361" s="2703"/>
      <c r="L361" s="2703"/>
      <c r="M361" s="2704"/>
      <c r="R361" s="1296" t="b">
        <f ca="1">IFERROR(IF(D344=TRUE,TRUE,FALSE),TRUE)</f>
        <v>0</v>
      </c>
    </row>
    <row r="362" spans="2:18" ht="40.5" customHeight="1" x14ac:dyDescent="0.3">
      <c r="B362" s="2898" t="s">
        <v>1313</v>
      </c>
      <c r="C362" s="2899"/>
      <c r="D362" s="2899"/>
      <c r="E362" s="2899"/>
      <c r="F362" s="2899"/>
      <c r="G362" s="2899"/>
      <c r="H362" s="2900"/>
      <c r="I362" s="2703"/>
      <c r="J362" s="2703"/>
      <c r="K362" s="2703"/>
      <c r="L362" s="2703"/>
      <c r="M362" s="2704"/>
      <c r="R362" s="1296" t="b">
        <f ca="1">IFERROR(IF(OR(C346&gt;4000,D346&gt;4000),TRUE,FALSE),TRUE)</f>
        <v>0</v>
      </c>
    </row>
    <row r="363" spans="2:18" ht="25.5" customHeight="1" x14ac:dyDescent="0.3">
      <c r="B363" s="2898" t="s">
        <v>1314</v>
      </c>
      <c r="C363" s="2899"/>
      <c r="D363" s="2899"/>
      <c r="E363" s="2899"/>
      <c r="F363" s="2899"/>
      <c r="G363" s="2899"/>
      <c r="H363" s="2900"/>
      <c r="I363" s="2705"/>
      <c r="J363" s="2705"/>
      <c r="K363" s="2705"/>
      <c r="L363" s="2705"/>
      <c r="M363" s="2706"/>
      <c r="R363" s="1296" t="b">
        <f ca="1">IFERROR(IF(OR(ABS(C346-D346)/MIN(C346,D346)&gt;0.1,MIN(C346,D346)=0),TRUE,FALSE),TRUE)</f>
        <v>1</v>
      </c>
    </row>
    <row r="364" spans="2:18" ht="38.25" customHeight="1" x14ac:dyDescent="0.3">
      <c r="B364" s="2898" t="s">
        <v>1315</v>
      </c>
      <c r="C364" s="2899"/>
      <c r="D364" s="2899"/>
      <c r="E364" s="2899"/>
      <c r="F364" s="2899"/>
      <c r="G364" s="2899"/>
      <c r="H364" s="2900"/>
      <c r="I364" s="2705"/>
      <c r="J364" s="2705"/>
      <c r="K364" s="2705"/>
      <c r="L364" s="2705"/>
      <c r="M364" s="2706"/>
      <c r="R364" s="1296" t="b">
        <f ca="1">IFERROR(IF(OR(((F346-D342)/MIN(F346,D342))&gt;0.05,((G346-F342)/MIN(G346,F342))&gt;0.05),TRUE,FALSE),TRUE)</f>
        <v>1</v>
      </c>
    </row>
    <row r="365" spans="2:18" ht="76.5" customHeight="1" x14ac:dyDescent="0.3">
      <c r="B365" s="2898" t="s">
        <v>1316</v>
      </c>
      <c r="C365" s="2899"/>
      <c r="D365" s="2899"/>
      <c r="E365" s="2899"/>
      <c r="F365" s="2899"/>
      <c r="G365" s="2899"/>
      <c r="H365" s="2900"/>
      <c r="I365" s="2705"/>
      <c r="J365" s="2705"/>
      <c r="K365" s="2705"/>
      <c r="L365" s="2705"/>
      <c r="M365" s="2706"/>
      <c r="R365" s="1296" t="b">
        <f ca="1">IFERROR(IF(OR(H346=0,I346=0),TRUE,FALSE),TRUE)</f>
        <v>1</v>
      </c>
    </row>
    <row r="366" spans="2:18" ht="38.25" customHeight="1" x14ac:dyDescent="0.3">
      <c r="B366" s="2898" t="s">
        <v>1317</v>
      </c>
      <c r="C366" s="2899"/>
      <c r="D366" s="2899"/>
      <c r="E366" s="2899"/>
      <c r="F366" s="2899"/>
      <c r="G366" s="2899"/>
      <c r="H366" s="2900"/>
      <c r="I366" s="2703"/>
      <c r="J366" s="2703"/>
      <c r="K366" s="2703"/>
      <c r="L366" s="2703"/>
      <c r="M366" s="2704"/>
      <c r="R366" s="1296" t="b">
        <f ca="1">IFERROR(IF(OR(J346&gt;5110,K346&gt;5110),TRUE,FALSE),TRUE)</f>
        <v>0</v>
      </c>
    </row>
    <row r="367" spans="2:18" ht="38.25" customHeight="1" x14ac:dyDescent="0.3">
      <c r="B367" s="2898" t="s">
        <v>1318</v>
      </c>
      <c r="C367" s="2899"/>
      <c r="D367" s="2899"/>
      <c r="E367" s="2899"/>
      <c r="F367" s="2899"/>
      <c r="G367" s="2899"/>
      <c r="H367" s="2900"/>
      <c r="I367" s="2705"/>
      <c r="J367" s="2705"/>
      <c r="K367" s="2705"/>
      <c r="L367" s="2705"/>
      <c r="M367" s="2706"/>
      <c r="R367" s="1296" t="b">
        <f ca="1">IFERROR(IF(ABS(J346-K346)/MIN(J346,K346)&gt;0.05,TRUE,FALSE),TRUE)</f>
        <v>1</v>
      </c>
    </row>
    <row r="368" spans="2:18" ht="63.75" customHeight="1" x14ac:dyDescent="0.3">
      <c r="B368" s="2898" t="s">
        <v>1319</v>
      </c>
      <c r="C368" s="2899"/>
      <c r="D368" s="2899"/>
      <c r="E368" s="2899"/>
      <c r="F368" s="2899"/>
      <c r="G368" s="2899"/>
      <c r="H368" s="2900"/>
      <c r="I368" s="2705"/>
      <c r="J368" s="2705"/>
      <c r="K368" s="2705"/>
      <c r="L368" s="2705"/>
      <c r="M368" s="2706"/>
      <c r="R368" s="1296" t="b">
        <f ca="1">IFERROR(IF(ABS(H346-I346)/MIN(H346,I346)&lt;0.01,TRUE,FALSE),TRUE)</f>
        <v>1</v>
      </c>
    </row>
    <row r="369" spans="2:18" ht="51" customHeight="1" x14ac:dyDescent="0.3">
      <c r="B369" s="2898" t="s">
        <v>1321</v>
      </c>
      <c r="C369" s="2899"/>
      <c r="D369" s="2899"/>
      <c r="E369" s="2899"/>
      <c r="F369" s="2899"/>
      <c r="G369" s="2899"/>
      <c r="H369" s="2900"/>
      <c r="I369" s="2705"/>
      <c r="J369" s="2705"/>
      <c r="K369" s="2705"/>
      <c r="L369" s="2705"/>
      <c r="M369" s="2706"/>
      <c r="R369" s="1296" t="b">
        <f ca="1">IFERROR(IF(OR(F348&gt;0.4,G348&gt;0.4,F348&lt;0.1,G348&lt;0.1),TRUE,FALSE),TRUE)</f>
        <v>1</v>
      </c>
    </row>
    <row r="370" spans="2:18" ht="25.5" customHeight="1" x14ac:dyDescent="0.3">
      <c r="B370" s="2898" t="s">
        <v>1322</v>
      </c>
      <c r="C370" s="2899"/>
      <c r="D370" s="2899"/>
      <c r="E370" s="2899"/>
      <c r="F370" s="2899"/>
      <c r="G370" s="2899"/>
      <c r="H370" s="2900"/>
      <c r="I370" s="2703"/>
      <c r="J370" s="2703"/>
      <c r="K370" s="2703"/>
      <c r="L370" s="2703"/>
      <c r="M370" s="2704"/>
      <c r="R370" s="1296" t="b">
        <f>IFERROR(IF(COUNTIFS(INDEX(PO_design_table,,MATCH($D$170,PO_design_hdr,0)),"x",INDEX(PO_design_table,,MATCH($I$170,PO_design_hdr,0)),"&gt;0.03")+COUNTIFS(INDEX(PO_design_table,,MATCH($D$170,PO_design_hdr,0)),"x",INDEX(PO_design_table,,MATCH($I$170,PO_design_hdr,0)),"&lt;-0.03")&gt;0,TRUE,FALSE),TRUE)</f>
        <v>0</v>
      </c>
    </row>
    <row r="371" spans="2:18" ht="63.75" customHeight="1" x14ac:dyDescent="0.3">
      <c r="B371" s="2898" t="s">
        <v>1323</v>
      </c>
      <c r="C371" s="2899"/>
      <c r="D371" s="2899"/>
      <c r="E371" s="2899"/>
      <c r="F371" s="2899"/>
      <c r="G371" s="2899"/>
      <c r="H371" s="2900"/>
      <c r="I371" s="2705"/>
      <c r="J371" s="2705"/>
      <c r="K371" s="2705"/>
      <c r="L371" s="2705"/>
      <c r="M371" s="2706"/>
      <c r="R371" s="1296" t="b">
        <f ca="1">IFERROR(IF(OR(I348&gt;0.15,J348&gt;0.15),TRUE,FALSE),TRUE)</f>
        <v>1</v>
      </c>
    </row>
    <row r="372" spans="2:18" ht="25.5" customHeight="1" x14ac:dyDescent="0.3">
      <c r="B372" s="2898" t="s">
        <v>2222</v>
      </c>
      <c r="C372" s="2899"/>
      <c r="D372" s="2899"/>
      <c r="E372" s="2899"/>
      <c r="F372" s="2899"/>
      <c r="G372" s="2899"/>
      <c r="H372" s="2900"/>
      <c r="I372" s="2703"/>
      <c r="J372" s="2703"/>
      <c r="K372" s="2703"/>
      <c r="L372" s="2703"/>
      <c r="M372" s="2704"/>
      <c r="R372" s="1296" t="b">
        <f ca="1">IFERROR(IF(AND(C352&gt;0,D352&lt;1),TRUE,FALSE),TRUE)</f>
        <v>0</v>
      </c>
    </row>
    <row r="373" spans="2:18" ht="51" customHeight="1" x14ac:dyDescent="0.3">
      <c r="B373" s="2898" t="s">
        <v>1309</v>
      </c>
      <c r="C373" s="2899"/>
      <c r="D373" s="2899"/>
      <c r="E373" s="2899"/>
      <c r="F373" s="2899"/>
      <c r="G373" s="2899"/>
      <c r="H373" s="2900"/>
      <c r="I373" s="2705"/>
      <c r="J373" s="2705"/>
      <c r="K373" s="2705"/>
      <c r="L373" s="2705"/>
      <c r="M373" s="2706"/>
      <c r="R373" s="1296" t="b">
        <f>IFERROR(IF(ABS(C354-D354)/MIN(C354,D354),TRUE,FALSE),TRUE)</f>
        <v>1</v>
      </c>
    </row>
    <row r="374" spans="2:18" ht="38.25" customHeight="1" x14ac:dyDescent="0.3">
      <c r="B374" s="2898" t="s">
        <v>1324</v>
      </c>
      <c r="C374" s="2899"/>
      <c r="D374" s="2899"/>
      <c r="E374" s="2899"/>
      <c r="F374" s="2899"/>
      <c r="G374" s="2899"/>
      <c r="H374" s="2900"/>
      <c r="I374" s="2703"/>
      <c r="J374" s="2703"/>
      <c r="K374" s="2703"/>
      <c r="L374" s="2703"/>
      <c r="M374" s="2704"/>
      <c r="R374" s="1296" t="b">
        <f ca="1">IFERROR(IF(OR(M348&gt;4000,C350&gt;4000),TRUE,FALSE),TRUE)</f>
        <v>0</v>
      </c>
    </row>
    <row r="375" spans="2:18" ht="38.25" customHeight="1" x14ac:dyDescent="0.3">
      <c r="B375" s="2898" t="s">
        <v>1325</v>
      </c>
      <c r="C375" s="2899"/>
      <c r="D375" s="2899"/>
      <c r="E375" s="2899"/>
      <c r="F375" s="2899"/>
      <c r="G375" s="2899"/>
      <c r="H375" s="2900"/>
      <c r="I375" s="2705"/>
      <c r="J375" s="2705"/>
      <c r="K375" s="2705"/>
      <c r="L375" s="2705"/>
      <c r="M375" s="2706"/>
      <c r="R375" s="1296" t="b">
        <f ca="1">IFERROR(IF(ABS(M348-C350)/MIN(M348,C350)&gt;0.25,TRUE,FALSE),TRUE)</f>
        <v>1</v>
      </c>
    </row>
    <row r="376" spans="2:18" ht="38.25" customHeight="1" x14ac:dyDescent="0.3">
      <c r="B376" s="2898" t="s">
        <v>1326</v>
      </c>
      <c r="C376" s="2899"/>
      <c r="D376" s="2899"/>
      <c r="E376" s="2899"/>
      <c r="F376" s="2899"/>
      <c r="G376" s="2899"/>
      <c r="H376" s="2900"/>
      <c r="I376" s="2705"/>
      <c r="J376" s="2705"/>
      <c r="K376" s="2705"/>
      <c r="L376" s="2705"/>
      <c r="M376" s="2706"/>
      <c r="R376" s="1296" t="b">
        <f ca="1">IFERROR(IF(OR(((D350-F354)/MIN(D350,F354))&gt;0.05,((F350-G354)/MIN(F350,G354))&gt;0.05),TRUE,FALSE),TRUE)</f>
        <v>1</v>
      </c>
    </row>
    <row r="377" spans="2:18" ht="38.25" customHeight="1" x14ac:dyDescent="0.3">
      <c r="B377" s="2898" t="s">
        <v>1327</v>
      </c>
      <c r="C377" s="2899"/>
      <c r="D377" s="2899"/>
      <c r="E377" s="2899"/>
      <c r="F377" s="2899"/>
      <c r="G377" s="2899"/>
      <c r="H377" s="2900"/>
      <c r="I377" s="2705"/>
      <c r="J377" s="2705"/>
      <c r="K377" s="2705"/>
      <c r="L377" s="2705"/>
      <c r="M377" s="2706"/>
      <c r="R377" s="1296" t="b">
        <f ca="1">IFERROR(IF(OR(1-(D350/F354)&gt;0.6,1-(F350/G354)&gt;0.6),TRUE,FALSE),TRUE)</f>
        <v>1</v>
      </c>
    </row>
    <row r="378" spans="2:18" ht="76.5" customHeight="1" x14ac:dyDescent="0.3">
      <c r="B378" s="2898" t="s">
        <v>1310</v>
      </c>
      <c r="C378" s="2899"/>
      <c r="D378" s="2899"/>
      <c r="E378" s="2899"/>
      <c r="F378" s="2899"/>
      <c r="G378" s="2899"/>
      <c r="H378" s="2900"/>
      <c r="I378" s="2705"/>
      <c r="J378" s="2705"/>
      <c r="K378" s="2705"/>
      <c r="L378" s="2705"/>
      <c r="M378" s="2706"/>
      <c r="N378" s="529"/>
      <c r="R378" s="1296" t="b">
        <f>IFERROR(IF(OR(ABS(H354-I354)/MIN(H354,I354)&gt;0.35,ABS(J354-K354)/MIN(J354,K354)&gt;0.35),TRUE,FALSE),TRUE)</f>
        <v>1</v>
      </c>
    </row>
    <row r="379" spans="2:18" ht="76.5" customHeight="1" x14ac:dyDescent="0.3">
      <c r="B379" s="2898" t="s">
        <v>1311</v>
      </c>
      <c r="C379" s="2899"/>
      <c r="D379" s="2899"/>
      <c r="E379" s="2899"/>
      <c r="F379" s="2899"/>
      <c r="G379" s="2899"/>
      <c r="H379" s="2900"/>
      <c r="I379" s="2703"/>
      <c r="J379" s="2703"/>
      <c r="K379" s="2703"/>
      <c r="L379" s="2703"/>
      <c r="M379" s="2704"/>
      <c r="R379" s="1296" t="b">
        <f>IFERROR(IF(C356&gt;D356,TRUE,FALSE),TRUE)</f>
        <v>0</v>
      </c>
    </row>
    <row r="380" spans="2:18" ht="51" customHeight="1" x14ac:dyDescent="0.3">
      <c r="B380" s="2898" t="s">
        <v>1328</v>
      </c>
      <c r="C380" s="2899"/>
      <c r="D380" s="2899"/>
      <c r="E380" s="2899"/>
      <c r="F380" s="2899"/>
      <c r="G380" s="2899"/>
      <c r="H380" s="2900"/>
      <c r="I380" s="2705"/>
      <c r="J380" s="2705"/>
      <c r="K380" s="2705"/>
      <c r="L380" s="2705"/>
      <c r="M380" s="2706"/>
      <c r="R380" s="1296" t="b">
        <f ca="1">IFERROR(IF(G350&gt;1500,TRUE,FALSE),TRUE)</f>
        <v>1</v>
      </c>
    </row>
    <row r="381" spans="2:18" ht="51" customHeight="1" x14ac:dyDescent="0.3">
      <c r="B381" s="2898" t="s">
        <v>1329</v>
      </c>
      <c r="C381" s="2899"/>
      <c r="D381" s="2899"/>
      <c r="E381" s="2899"/>
      <c r="F381" s="2899"/>
      <c r="G381" s="2899"/>
      <c r="H381" s="2900"/>
      <c r="I381" s="2703"/>
      <c r="J381" s="2703"/>
      <c r="K381" s="2703"/>
      <c r="L381" s="2703"/>
      <c r="M381" s="2704"/>
      <c r="R381" s="1296" t="b">
        <f>IFERROR(IF(COUNTIF(INDEX(PO_Enrgy_8_Table,,MATCH($K$232,PO_Enrgy_8_Hdr,0)),"&gt;0.1")+COUNTIF(INDEX(PO_Enrgy_8_Table,,MATCH($K$232,PO_Enrgy_8_Hdr,0)),"&lt;-0.1")&gt;0,TRUE,FALSE),TRUE)</f>
        <v>0</v>
      </c>
    </row>
    <row r="382" spans="2:18" ht="25.5" customHeight="1" x14ac:dyDescent="0.3">
      <c r="B382" s="2898" t="s">
        <v>1330</v>
      </c>
      <c r="C382" s="2899"/>
      <c r="D382" s="2899"/>
      <c r="E382" s="2899"/>
      <c r="F382" s="2899"/>
      <c r="G382" s="2899"/>
      <c r="H382" s="2900"/>
      <c r="I382" s="2703"/>
      <c r="J382" s="2703"/>
      <c r="K382" s="2703"/>
      <c r="L382" s="2703"/>
      <c r="M382" s="2704"/>
      <c r="R382" s="1296" t="b">
        <f>IFERROR(IF(PO_SiteRenewable=TRUE,IF(COUNTIF(INDEX(PO_renewable_table,,MATCH($U$32,PO_renewable_hdr,0)),"&gt;0.05")+COUNTIF(INDEX(PO_renewable_table,,MATCH($U$32,PO_renewable_hdr,0)),"&lt;-0.05")&gt;0,TRUE,FALSE),FALSE),TRUE)</f>
        <v>0</v>
      </c>
    </row>
    <row r="383" spans="2:18" ht="25.5" customHeight="1" x14ac:dyDescent="0.3">
      <c r="B383" s="2898" t="s">
        <v>1956</v>
      </c>
      <c r="C383" s="2899"/>
      <c r="D383" s="2899"/>
      <c r="E383" s="2899"/>
      <c r="F383" s="2899"/>
      <c r="G383" s="2899"/>
      <c r="H383" s="2900"/>
      <c r="I383" s="2703"/>
      <c r="J383" s="2703"/>
      <c r="K383" s="2703"/>
      <c r="L383" s="2703"/>
      <c r="M383" s="2704"/>
      <c r="N383" s="15"/>
      <c r="O383" s="15"/>
      <c r="P383" s="15"/>
      <c r="Q383" s="15"/>
      <c r="R383" s="1296" t="b">
        <f>IFERROR(IF(PO_ShowExCalc=TRUE,IF(COUNTIF(INDEX(PO_ExCalc_Table,,MATCH($U$56,PO_ExCalc_Hdr,0)),"&gt;0.05")+COUNTIF(INDEX(PO_ExCalc_Table,,MATCH($U$56,PO_ExCalc_Hdr,0)),"&lt;-0.05")&gt;0,TRUE,FALSE),FALSE),TRUE)</f>
        <v>0</v>
      </c>
    </row>
    <row r="384" spans="2:18" ht="25.5" customHeight="1" x14ac:dyDescent="0.3">
      <c r="B384" s="2898" t="s">
        <v>1331</v>
      </c>
      <c r="C384" s="2899"/>
      <c r="D384" s="2899"/>
      <c r="E384" s="2899"/>
      <c r="F384" s="2899"/>
      <c r="G384" s="2899"/>
      <c r="H384" s="2900"/>
      <c r="I384" s="2705"/>
      <c r="J384" s="2705"/>
      <c r="K384" s="2705"/>
      <c r="L384" s="2705"/>
      <c r="M384" s="2706"/>
      <c r="R384" s="1296" t="b">
        <f ca="1">IFERROR(IF(OR(I350&lt;0.06,I350&gt;0.25),TRUE,FALSE),TRUE)</f>
        <v>1</v>
      </c>
    </row>
    <row r="385" spans="2:18" ht="38.25" customHeight="1" x14ac:dyDescent="0.3">
      <c r="B385" s="2898" t="s">
        <v>1957</v>
      </c>
      <c r="C385" s="2899"/>
      <c r="D385" s="2899"/>
      <c r="E385" s="2899"/>
      <c r="F385" s="2899"/>
      <c r="G385" s="2899"/>
      <c r="H385" s="2900"/>
      <c r="I385" s="2705"/>
      <c r="J385" s="2705"/>
      <c r="K385" s="2705"/>
      <c r="L385" s="2705"/>
      <c r="M385" s="2706"/>
      <c r="R385" s="1296" t="b">
        <f ca="1">IFERROR(IF(OR(J350&lt;0.5,J350&gt;2),TRUE,FALSE),TRUE)</f>
        <v>1</v>
      </c>
    </row>
    <row r="386" spans="2:18" ht="43.5" customHeight="1" x14ac:dyDescent="0.3">
      <c r="B386" s="2898" t="s">
        <v>1332</v>
      </c>
      <c r="C386" s="2899"/>
      <c r="D386" s="2899"/>
      <c r="E386" s="2899"/>
      <c r="F386" s="2899"/>
      <c r="G386" s="2899"/>
      <c r="H386" s="2900"/>
      <c r="I386" s="2705"/>
      <c r="J386" s="2705"/>
      <c r="K386" s="2705"/>
      <c r="L386" s="2705"/>
      <c r="M386" s="2706"/>
      <c r="R386" s="1296" t="b">
        <f>IFERROR(IF(PO_EnergyReportingMethod&gt;2,TRUE,FALSE),FALSE)</f>
        <v>1</v>
      </c>
    </row>
    <row r="387" spans="2:18" ht="57.75" customHeight="1" x14ac:dyDescent="0.3">
      <c r="B387" s="2898" t="s">
        <v>1333</v>
      </c>
      <c r="C387" s="2899"/>
      <c r="D387" s="2899"/>
      <c r="E387" s="2899"/>
      <c r="F387" s="2899"/>
      <c r="G387" s="2899"/>
      <c r="H387" s="2900"/>
      <c r="I387" s="2703"/>
      <c r="J387" s="2703"/>
      <c r="K387" s="2703"/>
      <c r="L387" s="2703"/>
      <c r="M387" s="2704"/>
      <c r="R387" s="1296" t="b">
        <f>IFERROR(IF(AND(COUNTIFS(INDEX(PO_design_table,,MATCH($E$170,PO_design_hdr,0)),"Electricity",INDEX(PO_design_table,,MATCH($B$170,PO_design_hdr,0)),"Space Heating",INDEX(PO_design_table,,MATCH($G$170,PO_design_hdr,0)),"&gt;0")&gt;0,COUNTIFS(INDEX(PO_design_table,,MATCH($E$170,PO_design_hdr,0)),"&lt;&gt;Electricity",INDEX(PO_design_table,,MATCH($B$170,PO_design_hdr,0)),"Space Heating",INDEX(PO_design_table,,MATCH($G$170,PO_design_hdr,0)),"&gt;0")&gt;0),TRUE,FALSE),TRUE)</f>
        <v>0</v>
      </c>
    </row>
    <row r="388" spans="2:18" ht="29.25" customHeight="1" x14ac:dyDescent="0.3">
      <c r="B388" s="2898" t="s">
        <v>1334</v>
      </c>
      <c r="C388" s="2899"/>
      <c r="D388" s="2899"/>
      <c r="E388" s="2899"/>
      <c r="F388" s="2899"/>
      <c r="G388" s="2899"/>
      <c r="H388" s="2900"/>
      <c r="I388" s="2703"/>
      <c r="J388" s="2703"/>
      <c r="K388" s="2703"/>
      <c r="L388" s="2703"/>
      <c r="M388" s="2704"/>
      <c r="R388" s="1296" t="b">
        <f>IFERROR(IF(MAX(F335:M335)&gt;300,TRUE,FALSE),TRUE)</f>
        <v>0</v>
      </c>
    </row>
    <row r="389" spans="2:18" ht="52.5" customHeight="1" x14ac:dyDescent="0.3">
      <c r="B389" s="2898" t="str">
        <f>"The three largest end use contributors to the cost savings are "&amp;CONCATENATE(VLOOKUP(1,QCEnSaveRank,2,FALSE),", ", VLOOKUP(2,QCEnSaveRank,2,FALSE), ", ",VLOOKUP(3,QCEnSaveRank,2,FALSE))&amp;" (as reported in the Performance Outputs tab). Please provide a narrative to justify the savings of these end uses, such as the energy conservation measures which contribute to the savings claimed."</f>
        <v>The three largest end use contributors to the cost savings are Interior lighting, Exterior lighting, Space heating (as reported in the Performance Outputs tab). Please provide a narrative to justify the savings of these end uses, such as the energy conservation measures which contribute to the savings claimed.</v>
      </c>
      <c r="C389" s="2899"/>
      <c r="D389" s="2899"/>
      <c r="E389" s="2899"/>
      <c r="F389" s="2899"/>
      <c r="G389" s="2899"/>
      <c r="H389" s="2900"/>
      <c r="I389" s="2705"/>
      <c r="J389" s="2705"/>
      <c r="K389" s="2705"/>
      <c r="L389" s="2705"/>
      <c r="M389" s="2706"/>
      <c r="R389" s="1296" t="b">
        <f>TRUE</f>
        <v>1</v>
      </c>
    </row>
    <row r="390" spans="2:18" ht="36" customHeight="1" x14ac:dyDescent="0.3">
      <c r="B390" s="2898" t="s">
        <v>2004</v>
      </c>
      <c r="C390" s="2899"/>
      <c r="D390" s="2899"/>
      <c r="E390" s="2899"/>
      <c r="F390" s="2899"/>
      <c r="G390" s="2899"/>
      <c r="H390" s="2900"/>
      <c r="I390" s="2703"/>
      <c r="J390" s="2703"/>
      <c r="K390" s="2703"/>
      <c r="L390" s="2703"/>
      <c r="M390" s="2704"/>
      <c r="R390" s="1296" t="b">
        <f>IF(RatingSystemSelection="LEED v4 BD+C: Data Centers",TRUE,FALSE)</f>
        <v>0</v>
      </c>
    </row>
    <row r="391" spans="2:18" ht="33" customHeight="1" x14ac:dyDescent="0.3">
      <c r="B391" s="2906" t="s">
        <v>2007</v>
      </c>
      <c r="C391" s="2907"/>
      <c r="D391" s="2907"/>
      <c r="E391" s="2907"/>
      <c r="F391" s="2907"/>
      <c r="G391" s="2907"/>
      <c r="H391" s="2908"/>
      <c r="I391" s="2686"/>
      <c r="J391" s="2686"/>
      <c r="K391" s="2686"/>
      <c r="L391" s="2686"/>
      <c r="M391" s="2687"/>
      <c r="R391" s="1296" t="b">
        <f ca="1">IFERROR(IF(F344&lt;10,TRUE,FALSE),TRUE)</f>
        <v>0</v>
      </c>
    </row>
    <row r="392" spans="2:18" ht="36" customHeight="1" x14ac:dyDescent="0.3">
      <c r="B392" s="2909" t="s">
        <v>1320</v>
      </c>
      <c r="C392" s="2910"/>
      <c r="D392" s="2910"/>
      <c r="E392" s="2910"/>
      <c r="F392" s="2910"/>
      <c r="G392" s="2910"/>
      <c r="H392" s="2911"/>
      <c r="I392" s="2879"/>
      <c r="J392" s="2879"/>
      <c r="K392" s="2879"/>
      <c r="L392" s="2879"/>
      <c r="M392" s="2880"/>
      <c r="O392" s="15"/>
      <c r="Q392" s="856"/>
      <c r="R392" s="1296" t="b">
        <f ca="1">IFERROR(IF(OR((K350-G342)/MIN(K350,G342)&gt;0.05,(M350-G342)/MIN(M350,G342)&gt;0.05),TRUE,FALSE),TRUE)</f>
        <v>1</v>
      </c>
    </row>
    <row r="393" spans="2:18" ht="24" customHeight="1" x14ac:dyDescent="0.3">
      <c r="B393" s="2906" t="s">
        <v>1308</v>
      </c>
      <c r="C393" s="2907"/>
      <c r="D393" s="2907"/>
      <c r="E393" s="2907"/>
      <c r="F393" s="2907"/>
      <c r="G393" s="2907"/>
      <c r="H393" s="2908"/>
      <c r="I393" s="2686"/>
      <c r="J393" s="2686"/>
      <c r="K393" s="2686"/>
      <c r="L393" s="2686"/>
      <c r="M393" s="2687"/>
      <c r="O393" s="15"/>
      <c r="Q393" s="856"/>
      <c r="R393" s="1296" t="b">
        <f ca="1">IFERROR(IF(H342&gt;G342,TRUE,FALSE),TRUE)</f>
        <v>0</v>
      </c>
    </row>
    <row r="394" spans="2:18" ht="60" customHeight="1" x14ac:dyDescent="0.3">
      <c r="B394" s="2906" t="s">
        <v>1338</v>
      </c>
      <c r="C394" s="2907"/>
      <c r="D394" s="2907"/>
      <c r="E394" s="2907"/>
      <c r="F394" s="2907"/>
      <c r="G394" s="2907"/>
      <c r="H394" s="2908"/>
      <c r="I394" s="2686"/>
      <c r="J394" s="2686"/>
      <c r="K394" s="2686"/>
      <c r="L394" s="2686"/>
      <c r="M394" s="2687"/>
      <c r="O394" s="15"/>
      <c r="Q394" s="856"/>
      <c r="R394" s="1296" t="b">
        <f ca="1">IFERROR(IF(J342&gt;I342,TRUE,FALSE),TRUE)</f>
        <v>0</v>
      </c>
    </row>
  </sheetData>
  <sheetProtection algorithmName="SHA-512" hashValue="diJhv9MN8tRkJp1mlCpQhnFzyLihar/IBXCHc6FwWyK1rGRA59buk4vVMnEP1WETFXYmSGFb+Xnl5Ke3ZOWmsA==" saltValue="gDW9Tm06pwXw2sNzNJsqRg==" spinCount="100000" sheet="1" objects="1" scenarios="1"/>
  <mergeCells count="719">
    <mergeCell ref="BF168:BI168"/>
    <mergeCell ref="B383:H383"/>
    <mergeCell ref="B393:H393"/>
    <mergeCell ref="B394:H394"/>
    <mergeCell ref="B384:H384"/>
    <mergeCell ref="B385:H385"/>
    <mergeCell ref="B386:H386"/>
    <mergeCell ref="B387:H387"/>
    <mergeCell ref="B388:H388"/>
    <mergeCell ref="B389:H389"/>
    <mergeCell ref="B390:H390"/>
    <mergeCell ref="B391:H391"/>
    <mergeCell ref="B392:H392"/>
    <mergeCell ref="B374:H374"/>
    <mergeCell ref="B375:H375"/>
    <mergeCell ref="B376:H376"/>
    <mergeCell ref="B377:H377"/>
    <mergeCell ref="B378:H378"/>
    <mergeCell ref="B379:H379"/>
    <mergeCell ref="B380:H380"/>
    <mergeCell ref="B381:H381"/>
    <mergeCell ref="B382:H382"/>
    <mergeCell ref="B336:E336"/>
    <mergeCell ref="F336:M336"/>
    <mergeCell ref="C337:G337"/>
    <mergeCell ref="B334:E334"/>
    <mergeCell ref="F334:H334"/>
    <mergeCell ref="I334:M334"/>
    <mergeCell ref="B335:E335"/>
    <mergeCell ref="F335:H335"/>
    <mergeCell ref="I335:M335"/>
    <mergeCell ref="B366:H366"/>
    <mergeCell ref="B367:H367"/>
    <mergeCell ref="I359:M359"/>
    <mergeCell ref="I360:M360"/>
    <mergeCell ref="I361:M361"/>
    <mergeCell ref="I362:M362"/>
    <mergeCell ref="I363:M363"/>
    <mergeCell ref="I364:M364"/>
    <mergeCell ref="I365:M365"/>
    <mergeCell ref="I366:M366"/>
    <mergeCell ref="I367:M367"/>
    <mergeCell ref="B368:H368"/>
    <mergeCell ref="B369:H369"/>
    <mergeCell ref="B370:H370"/>
    <mergeCell ref="B371:H371"/>
    <mergeCell ref="B372:H372"/>
    <mergeCell ref="B373:H373"/>
    <mergeCell ref="B339:B340"/>
    <mergeCell ref="B341:B342"/>
    <mergeCell ref="B343:B344"/>
    <mergeCell ref="B345:B350"/>
    <mergeCell ref="B351:B352"/>
    <mergeCell ref="B353:B356"/>
    <mergeCell ref="B359:H359"/>
    <mergeCell ref="B360:H360"/>
    <mergeCell ref="B361:H361"/>
    <mergeCell ref="B362:H362"/>
    <mergeCell ref="B363:H363"/>
    <mergeCell ref="B364:H364"/>
    <mergeCell ref="B365:H365"/>
    <mergeCell ref="F332:H332"/>
    <mergeCell ref="I332:M332"/>
    <mergeCell ref="B333:E333"/>
    <mergeCell ref="F333:H333"/>
    <mergeCell ref="I333:M333"/>
    <mergeCell ref="C324:D324"/>
    <mergeCell ref="K324:L324"/>
    <mergeCell ref="C325:D325"/>
    <mergeCell ref="K325:L325"/>
    <mergeCell ref="B327:D327"/>
    <mergeCell ref="K327:L327"/>
    <mergeCell ref="C326:D326"/>
    <mergeCell ref="K326:L326"/>
    <mergeCell ref="B328:L328"/>
    <mergeCell ref="B332:E332"/>
    <mergeCell ref="B321:B322"/>
    <mergeCell ref="C321:D322"/>
    <mergeCell ref="E321:G321"/>
    <mergeCell ref="H321:J321"/>
    <mergeCell ref="K321:M321"/>
    <mergeCell ref="K322:L322"/>
    <mergeCell ref="C316:D316"/>
    <mergeCell ref="G316:H316"/>
    <mergeCell ref="K316:M316"/>
    <mergeCell ref="B318:D318"/>
    <mergeCell ref="G318:H318"/>
    <mergeCell ref="K318:M318"/>
    <mergeCell ref="C317:D317"/>
    <mergeCell ref="G317:H317"/>
    <mergeCell ref="K317:M317"/>
    <mergeCell ref="B314:D314"/>
    <mergeCell ref="G314:H314"/>
    <mergeCell ref="K314:M314"/>
    <mergeCell ref="C315:D315"/>
    <mergeCell ref="G315:H315"/>
    <mergeCell ref="K315:M315"/>
    <mergeCell ref="N310:P310"/>
    <mergeCell ref="G311:H311"/>
    <mergeCell ref="K311:M311"/>
    <mergeCell ref="C313:D313"/>
    <mergeCell ref="G313:H313"/>
    <mergeCell ref="K313:M313"/>
    <mergeCell ref="B306:D306"/>
    <mergeCell ref="K306:L306"/>
    <mergeCell ref="B309:M309"/>
    <mergeCell ref="B310:B311"/>
    <mergeCell ref="C310:D311"/>
    <mergeCell ref="E310:H310"/>
    <mergeCell ref="I310:M310"/>
    <mergeCell ref="N300:P300"/>
    <mergeCell ref="K301:L301"/>
    <mergeCell ref="C303:D303"/>
    <mergeCell ref="K303:L303"/>
    <mergeCell ref="C304:D304"/>
    <mergeCell ref="K304:L304"/>
    <mergeCell ref="C305:D305"/>
    <mergeCell ref="K305:L305"/>
    <mergeCell ref="B295:D295"/>
    <mergeCell ref="K295:L295"/>
    <mergeCell ref="B296:L296"/>
    <mergeCell ref="B297:J297"/>
    <mergeCell ref="K297:M297"/>
    <mergeCell ref="B300:B301"/>
    <mergeCell ref="C300:D301"/>
    <mergeCell ref="E300:G300"/>
    <mergeCell ref="H300:J300"/>
    <mergeCell ref="K300:M300"/>
    <mergeCell ref="N289:P289"/>
    <mergeCell ref="K290:L290"/>
    <mergeCell ref="C292:D292"/>
    <mergeCell ref="K292:L292"/>
    <mergeCell ref="C293:D293"/>
    <mergeCell ref="K293:L293"/>
    <mergeCell ref="B286:D286"/>
    <mergeCell ref="K286:L286"/>
    <mergeCell ref="B287:L287"/>
    <mergeCell ref="B289:B290"/>
    <mergeCell ref="C289:D290"/>
    <mergeCell ref="E289:G289"/>
    <mergeCell ref="H289:J289"/>
    <mergeCell ref="K289:M289"/>
    <mergeCell ref="N280:P280"/>
    <mergeCell ref="K281:L281"/>
    <mergeCell ref="C283:D283"/>
    <mergeCell ref="K283:L283"/>
    <mergeCell ref="C284:D284"/>
    <mergeCell ref="K284:L284"/>
    <mergeCell ref="B277:D277"/>
    <mergeCell ref="K277:L277"/>
    <mergeCell ref="B278:L278"/>
    <mergeCell ref="B280:B281"/>
    <mergeCell ref="C280:D281"/>
    <mergeCell ref="E280:G280"/>
    <mergeCell ref="H280:J280"/>
    <mergeCell ref="K280:M280"/>
    <mergeCell ref="N271:P271"/>
    <mergeCell ref="K272:L272"/>
    <mergeCell ref="C274:D274"/>
    <mergeCell ref="K274:L274"/>
    <mergeCell ref="C275:D275"/>
    <mergeCell ref="K275:L275"/>
    <mergeCell ref="B266:D266"/>
    <mergeCell ref="K266:L266"/>
    <mergeCell ref="B267:D267"/>
    <mergeCell ref="B269:M269"/>
    <mergeCell ref="B271:B272"/>
    <mergeCell ref="C271:D272"/>
    <mergeCell ref="E271:G271"/>
    <mergeCell ref="H271:J271"/>
    <mergeCell ref="K271:M271"/>
    <mergeCell ref="N260:P260"/>
    <mergeCell ref="K261:L261"/>
    <mergeCell ref="C263:D263"/>
    <mergeCell ref="K263:L263"/>
    <mergeCell ref="C264:D264"/>
    <mergeCell ref="K264:L264"/>
    <mergeCell ref="B259:D259"/>
    <mergeCell ref="B260:B261"/>
    <mergeCell ref="C260:D261"/>
    <mergeCell ref="E260:G260"/>
    <mergeCell ref="H260:J260"/>
    <mergeCell ref="K260:M260"/>
    <mergeCell ref="N238:P238"/>
    <mergeCell ref="K239:L239"/>
    <mergeCell ref="C241:D241"/>
    <mergeCell ref="K241:L241"/>
    <mergeCell ref="C242:D242"/>
    <mergeCell ref="K242:L242"/>
    <mergeCell ref="C234:D234"/>
    <mergeCell ref="E234:G234"/>
    <mergeCell ref="H234:J234"/>
    <mergeCell ref="K234:M234"/>
    <mergeCell ref="B237:L237"/>
    <mergeCell ref="B238:B239"/>
    <mergeCell ref="C238:D239"/>
    <mergeCell ref="E238:G238"/>
    <mergeCell ref="H238:J238"/>
    <mergeCell ref="K238:M238"/>
    <mergeCell ref="C235:D235"/>
    <mergeCell ref="E235:G235"/>
    <mergeCell ref="H235:J235"/>
    <mergeCell ref="K235:M235"/>
    <mergeCell ref="B230:L230"/>
    <mergeCell ref="B231:D231"/>
    <mergeCell ref="E231:G231"/>
    <mergeCell ref="H231:J231"/>
    <mergeCell ref="K231:M231"/>
    <mergeCell ref="C233:D233"/>
    <mergeCell ref="E233:G233"/>
    <mergeCell ref="H233:J233"/>
    <mergeCell ref="K233:M233"/>
    <mergeCell ref="C224:D224"/>
    <mergeCell ref="K224:L224"/>
    <mergeCell ref="C225:D225"/>
    <mergeCell ref="K225:L225"/>
    <mergeCell ref="B227:D227"/>
    <mergeCell ref="K227:L227"/>
    <mergeCell ref="B221:B222"/>
    <mergeCell ref="C221:D222"/>
    <mergeCell ref="E221:G221"/>
    <mergeCell ref="H221:J221"/>
    <mergeCell ref="K221:M221"/>
    <mergeCell ref="K222:L222"/>
    <mergeCell ref="C226:D226"/>
    <mergeCell ref="K226:L226"/>
    <mergeCell ref="AF215:AG216"/>
    <mergeCell ref="B217:C218"/>
    <mergeCell ref="D217:D218"/>
    <mergeCell ref="E217:E218"/>
    <mergeCell ref="J217:J218"/>
    <mergeCell ref="K217:L218"/>
    <mergeCell ref="M217:M218"/>
    <mergeCell ref="AF217:AG218"/>
    <mergeCell ref="B215:C216"/>
    <mergeCell ref="D215:D216"/>
    <mergeCell ref="E215:E216"/>
    <mergeCell ref="J215:J216"/>
    <mergeCell ref="K215:L216"/>
    <mergeCell ref="M215:M216"/>
    <mergeCell ref="AF211:AG212"/>
    <mergeCell ref="B213:C214"/>
    <mergeCell ref="D213:D214"/>
    <mergeCell ref="E213:E214"/>
    <mergeCell ref="J213:J214"/>
    <mergeCell ref="K213:L214"/>
    <mergeCell ref="M213:M214"/>
    <mergeCell ref="AF213:AG214"/>
    <mergeCell ref="B211:C212"/>
    <mergeCell ref="D211:D212"/>
    <mergeCell ref="E211:E212"/>
    <mergeCell ref="J211:J212"/>
    <mergeCell ref="K211:L212"/>
    <mergeCell ref="M211:M212"/>
    <mergeCell ref="AF207:AG208"/>
    <mergeCell ref="B209:C210"/>
    <mergeCell ref="D209:D210"/>
    <mergeCell ref="E209:E210"/>
    <mergeCell ref="J209:J210"/>
    <mergeCell ref="K209:L210"/>
    <mergeCell ref="M209:M210"/>
    <mergeCell ref="AF209:AG210"/>
    <mergeCell ref="B207:C208"/>
    <mergeCell ref="D207:D208"/>
    <mergeCell ref="E207:E208"/>
    <mergeCell ref="J207:J208"/>
    <mergeCell ref="K207:L208"/>
    <mergeCell ref="M207:M208"/>
    <mergeCell ref="AF203:AG204"/>
    <mergeCell ref="B205:C206"/>
    <mergeCell ref="D205:D206"/>
    <mergeCell ref="E205:E206"/>
    <mergeCell ref="J205:J206"/>
    <mergeCell ref="K205:L206"/>
    <mergeCell ref="M205:M206"/>
    <mergeCell ref="AF205:AG206"/>
    <mergeCell ref="B203:C204"/>
    <mergeCell ref="D203:D204"/>
    <mergeCell ref="E203:E204"/>
    <mergeCell ref="J203:J204"/>
    <mergeCell ref="K203:L204"/>
    <mergeCell ref="M203:M204"/>
    <mergeCell ref="AF199:AG200"/>
    <mergeCell ref="B201:C202"/>
    <mergeCell ref="D201:D202"/>
    <mergeCell ref="E201:E202"/>
    <mergeCell ref="J201:J202"/>
    <mergeCell ref="K201:L202"/>
    <mergeCell ref="M201:M202"/>
    <mergeCell ref="AF201:AG202"/>
    <mergeCell ref="B199:C200"/>
    <mergeCell ref="D199:D200"/>
    <mergeCell ref="E199:E200"/>
    <mergeCell ref="J199:J200"/>
    <mergeCell ref="K199:L200"/>
    <mergeCell ref="M199:M200"/>
    <mergeCell ref="AF195:AG196"/>
    <mergeCell ref="B197:C198"/>
    <mergeCell ref="D197:D198"/>
    <mergeCell ref="E197:E198"/>
    <mergeCell ref="J197:J198"/>
    <mergeCell ref="K197:L198"/>
    <mergeCell ref="M197:M198"/>
    <mergeCell ref="AF197:AG198"/>
    <mergeCell ref="B195:C196"/>
    <mergeCell ref="D195:D196"/>
    <mergeCell ref="E195:E196"/>
    <mergeCell ref="J195:J196"/>
    <mergeCell ref="K195:L196"/>
    <mergeCell ref="M195:M196"/>
    <mergeCell ref="AF191:AG192"/>
    <mergeCell ref="B193:C194"/>
    <mergeCell ref="D193:D194"/>
    <mergeCell ref="E193:E194"/>
    <mergeCell ref="J193:J194"/>
    <mergeCell ref="K193:L194"/>
    <mergeCell ref="M193:M194"/>
    <mergeCell ref="AF193:AG194"/>
    <mergeCell ref="B191:C192"/>
    <mergeCell ref="D191:D192"/>
    <mergeCell ref="E191:E192"/>
    <mergeCell ref="J191:J192"/>
    <mergeCell ref="K191:L192"/>
    <mergeCell ref="M191:M192"/>
    <mergeCell ref="AF187:AG188"/>
    <mergeCell ref="B189:C190"/>
    <mergeCell ref="D189:D190"/>
    <mergeCell ref="E189:E190"/>
    <mergeCell ref="J189:J190"/>
    <mergeCell ref="K189:L190"/>
    <mergeCell ref="M189:M190"/>
    <mergeCell ref="AF189:AG190"/>
    <mergeCell ref="B187:C188"/>
    <mergeCell ref="D187:D188"/>
    <mergeCell ref="E187:E188"/>
    <mergeCell ref="J187:J188"/>
    <mergeCell ref="K187:L188"/>
    <mergeCell ref="M187:M188"/>
    <mergeCell ref="AF183:AG184"/>
    <mergeCell ref="B185:C186"/>
    <mergeCell ref="D185:D186"/>
    <mergeCell ref="E185:E186"/>
    <mergeCell ref="J185:J186"/>
    <mergeCell ref="K185:L186"/>
    <mergeCell ref="M185:M186"/>
    <mergeCell ref="AF185:AG186"/>
    <mergeCell ref="B183:C184"/>
    <mergeCell ref="D183:D184"/>
    <mergeCell ref="E183:E184"/>
    <mergeCell ref="J183:J184"/>
    <mergeCell ref="K183:L184"/>
    <mergeCell ref="M183:M184"/>
    <mergeCell ref="AF179:AG180"/>
    <mergeCell ref="B181:C182"/>
    <mergeCell ref="D181:D182"/>
    <mergeCell ref="E181:E182"/>
    <mergeCell ref="J181:J182"/>
    <mergeCell ref="K181:L182"/>
    <mergeCell ref="M181:M182"/>
    <mergeCell ref="AF181:AG182"/>
    <mergeCell ref="B179:C180"/>
    <mergeCell ref="D179:D180"/>
    <mergeCell ref="E179:E180"/>
    <mergeCell ref="J179:J180"/>
    <mergeCell ref="K179:L180"/>
    <mergeCell ref="M179:M180"/>
    <mergeCell ref="AF175:AG176"/>
    <mergeCell ref="B177:C178"/>
    <mergeCell ref="D177:D178"/>
    <mergeCell ref="E177:E178"/>
    <mergeCell ref="J177:J178"/>
    <mergeCell ref="K177:L178"/>
    <mergeCell ref="M177:M178"/>
    <mergeCell ref="AF177:AG178"/>
    <mergeCell ref="B175:C176"/>
    <mergeCell ref="D175:D176"/>
    <mergeCell ref="E175:E176"/>
    <mergeCell ref="J175:J176"/>
    <mergeCell ref="K175:L176"/>
    <mergeCell ref="M175:M176"/>
    <mergeCell ref="AF171:AG172"/>
    <mergeCell ref="B173:C174"/>
    <mergeCell ref="D173:D174"/>
    <mergeCell ref="E173:E174"/>
    <mergeCell ref="J173:J174"/>
    <mergeCell ref="K173:L174"/>
    <mergeCell ref="M173:M174"/>
    <mergeCell ref="AF173:AG174"/>
    <mergeCell ref="B166:M166"/>
    <mergeCell ref="B167:M167"/>
    <mergeCell ref="B169:C169"/>
    <mergeCell ref="K169:L169"/>
    <mergeCell ref="B171:C172"/>
    <mergeCell ref="D171:D172"/>
    <mergeCell ref="E171:E172"/>
    <mergeCell ref="J171:J172"/>
    <mergeCell ref="K171:L172"/>
    <mergeCell ref="M171:M172"/>
    <mergeCell ref="B158:F158"/>
    <mergeCell ref="K158:M158"/>
    <mergeCell ref="B162:M162"/>
    <mergeCell ref="B163:M163"/>
    <mergeCell ref="B164:M164"/>
    <mergeCell ref="B165:M165"/>
    <mergeCell ref="B153:F153"/>
    <mergeCell ref="K153:M153"/>
    <mergeCell ref="B155:E155"/>
    <mergeCell ref="K155:M155"/>
    <mergeCell ref="B156:E156"/>
    <mergeCell ref="K156:M156"/>
    <mergeCell ref="B157:E157"/>
    <mergeCell ref="K157:M157"/>
    <mergeCell ref="B150:F150"/>
    <mergeCell ref="K150:M150"/>
    <mergeCell ref="B143:C144"/>
    <mergeCell ref="D143:D144"/>
    <mergeCell ref="E143:E144"/>
    <mergeCell ref="K143:M143"/>
    <mergeCell ref="K144:M144"/>
    <mergeCell ref="B146:D146"/>
    <mergeCell ref="K146:M146"/>
    <mergeCell ref="B148:D148"/>
    <mergeCell ref="K148:M148"/>
    <mergeCell ref="B141:C142"/>
    <mergeCell ref="D141:D142"/>
    <mergeCell ref="E141:E142"/>
    <mergeCell ref="K141:M141"/>
    <mergeCell ref="K142:M142"/>
    <mergeCell ref="B147:D147"/>
    <mergeCell ref="K147:M147"/>
    <mergeCell ref="B149:F149"/>
    <mergeCell ref="K149:M149"/>
    <mergeCell ref="B137:C138"/>
    <mergeCell ref="D137:D138"/>
    <mergeCell ref="E137:E138"/>
    <mergeCell ref="K137:M137"/>
    <mergeCell ref="K138:M138"/>
    <mergeCell ref="B139:C140"/>
    <mergeCell ref="D139:D140"/>
    <mergeCell ref="E139:E140"/>
    <mergeCell ref="K139:M139"/>
    <mergeCell ref="K140:M140"/>
    <mergeCell ref="B133:C134"/>
    <mergeCell ref="D133:D134"/>
    <mergeCell ref="E133:E134"/>
    <mergeCell ref="K133:M133"/>
    <mergeCell ref="K134:M134"/>
    <mergeCell ref="B135:C136"/>
    <mergeCell ref="D135:D136"/>
    <mergeCell ref="E135:E136"/>
    <mergeCell ref="K135:M135"/>
    <mergeCell ref="K136:M136"/>
    <mergeCell ref="B129:C130"/>
    <mergeCell ref="D129:D130"/>
    <mergeCell ref="E129:E130"/>
    <mergeCell ref="K129:M129"/>
    <mergeCell ref="K130:M130"/>
    <mergeCell ref="B131:C132"/>
    <mergeCell ref="D131:D132"/>
    <mergeCell ref="E131:E132"/>
    <mergeCell ref="K131:M131"/>
    <mergeCell ref="K132:M132"/>
    <mergeCell ref="B125:C126"/>
    <mergeCell ref="D125:D126"/>
    <mergeCell ref="E125:E126"/>
    <mergeCell ref="K125:M125"/>
    <mergeCell ref="K126:M126"/>
    <mergeCell ref="B127:C128"/>
    <mergeCell ref="D127:D128"/>
    <mergeCell ref="E127:E128"/>
    <mergeCell ref="K127:M127"/>
    <mergeCell ref="K128:M128"/>
    <mergeCell ref="B121:C122"/>
    <mergeCell ref="D121:D122"/>
    <mergeCell ref="E121:E122"/>
    <mergeCell ref="K121:M121"/>
    <mergeCell ref="K122:M122"/>
    <mergeCell ref="B123:C124"/>
    <mergeCell ref="D123:D124"/>
    <mergeCell ref="E123:E124"/>
    <mergeCell ref="K123:M123"/>
    <mergeCell ref="K124:M124"/>
    <mergeCell ref="B117:C118"/>
    <mergeCell ref="D117:D118"/>
    <mergeCell ref="E117:E118"/>
    <mergeCell ref="K117:M117"/>
    <mergeCell ref="K118:M118"/>
    <mergeCell ref="B119:C120"/>
    <mergeCell ref="D119:D120"/>
    <mergeCell ref="E119:E120"/>
    <mergeCell ref="K119:M119"/>
    <mergeCell ref="K120:M120"/>
    <mergeCell ref="B113:C114"/>
    <mergeCell ref="D113:D114"/>
    <mergeCell ref="E113:E114"/>
    <mergeCell ref="K113:M113"/>
    <mergeCell ref="K114:M114"/>
    <mergeCell ref="B115:C116"/>
    <mergeCell ref="D115:D116"/>
    <mergeCell ref="E115:E116"/>
    <mergeCell ref="K115:M115"/>
    <mergeCell ref="K116:M116"/>
    <mergeCell ref="B109:C110"/>
    <mergeCell ref="D109:D110"/>
    <mergeCell ref="E109:E110"/>
    <mergeCell ref="K109:M109"/>
    <mergeCell ref="K110:M110"/>
    <mergeCell ref="B111:C112"/>
    <mergeCell ref="D111:D112"/>
    <mergeCell ref="E111:E112"/>
    <mergeCell ref="K111:M111"/>
    <mergeCell ref="K112:M112"/>
    <mergeCell ref="B105:C106"/>
    <mergeCell ref="D105:D106"/>
    <mergeCell ref="E105:E106"/>
    <mergeCell ref="K105:M105"/>
    <mergeCell ref="K106:M106"/>
    <mergeCell ref="B107:C108"/>
    <mergeCell ref="D107:D108"/>
    <mergeCell ref="E107:E108"/>
    <mergeCell ref="K107:M107"/>
    <mergeCell ref="K108:M108"/>
    <mergeCell ref="B93:M93"/>
    <mergeCell ref="B95:C95"/>
    <mergeCell ref="K95:M95"/>
    <mergeCell ref="B97:C98"/>
    <mergeCell ref="D97:D98"/>
    <mergeCell ref="E97:E98"/>
    <mergeCell ref="K97:M97"/>
    <mergeCell ref="K98:M98"/>
    <mergeCell ref="B84:M84"/>
    <mergeCell ref="B88:M88"/>
    <mergeCell ref="B89:M89"/>
    <mergeCell ref="B90:M90"/>
    <mergeCell ref="B91:M91"/>
    <mergeCell ref="B92:M92"/>
    <mergeCell ref="B73:M73"/>
    <mergeCell ref="B76:M76"/>
    <mergeCell ref="B77:M77"/>
    <mergeCell ref="B79:M79"/>
    <mergeCell ref="B81:M81"/>
    <mergeCell ref="B83:M83"/>
    <mergeCell ref="B69:F69"/>
    <mergeCell ref="J69:K69"/>
    <mergeCell ref="L69:M69"/>
    <mergeCell ref="B71:F71"/>
    <mergeCell ref="J71:K71"/>
    <mergeCell ref="L71:M71"/>
    <mergeCell ref="B70:F70"/>
    <mergeCell ref="J70:K70"/>
    <mergeCell ref="L70:M70"/>
    <mergeCell ref="B64:F64"/>
    <mergeCell ref="J64:K64"/>
    <mergeCell ref="L64:M64"/>
    <mergeCell ref="B66:E66"/>
    <mergeCell ref="B68:F68"/>
    <mergeCell ref="J68:K68"/>
    <mergeCell ref="L68:M68"/>
    <mergeCell ref="D60:E60"/>
    <mergeCell ref="J60:K60"/>
    <mergeCell ref="L60:M60"/>
    <mergeCell ref="B61:E61"/>
    <mergeCell ref="B63:F63"/>
    <mergeCell ref="J63:K63"/>
    <mergeCell ref="L63:M63"/>
    <mergeCell ref="B65:F65"/>
    <mergeCell ref="J65:K65"/>
    <mergeCell ref="L65:M65"/>
    <mergeCell ref="D56:E56"/>
    <mergeCell ref="D57:E57"/>
    <mergeCell ref="J57:K57"/>
    <mergeCell ref="L57:M57"/>
    <mergeCell ref="D59:E59"/>
    <mergeCell ref="J59:K59"/>
    <mergeCell ref="L59:M59"/>
    <mergeCell ref="B49:M49"/>
    <mergeCell ref="B52:M52"/>
    <mergeCell ref="B54:B55"/>
    <mergeCell ref="C54:C55"/>
    <mergeCell ref="D54:E55"/>
    <mergeCell ref="G54:K54"/>
    <mergeCell ref="L54:M55"/>
    <mergeCell ref="G55:H55"/>
    <mergeCell ref="J55:K55"/>
    <mergeCell ref="F54:F55"/>
    <mergeCell ref="D58:E58"/>
    <mergeCell ref="J58:K58"/>
    <mergeCell ref="L58:M58"/>
    <mergeCell ref="B42:F42"/>
    <mergeCell ref="H42:I42"/>
    <mergeCell ref="J42:M42"/>
    <mergeCell ref="B43:I43"/>
    <mergeCell ref="J43:M43"/>
    <mergeCell ref="B44:L44"/>
    <mergeCell ref="B39:D39"/>
    <mergeCell ref="H39:I39"/>
    <mergeCell ref="J39:M39"/>
    <mergeCell ref="B40:D40"/>
    <mergeCell ref="H40:I40"/>
    <mergeCell ref="J40:M40"/>
    <mergeCell ref="B41:D41"/>
    <mergeCell ref="H41:I41"/>
    <mergeCell ref="J41:M41"/>
    <mergeCell ref="B34:D34"/>
    <mergeCell ref="J34:M34"/>
    <mergeCell ref="B35:M35"/>
    <mergeCell ref="B36:D37"/>
    <mergeCell ref="E36:G36"/>
    <mergeCell ref="H36:I37"/>
    <mergeCell ref="J36:M37"/>
    <mergeCell ref="E37:F37"/>
    <mergeCell ref="B31:D31"/>
    <mergeCell ref="F31:G31"/>
    <mergeCell ref="H31:I31"/>
    <mergeCell ref="J31:M31"/>
    <mergeCell ref="B33:D33"/>
    <mergeCell ref="J33:M33"/>
    <mergeCell ref="B20:K20"/>
    <mergeCell ref="L20:M20"/>
    <mergeCell ref="B21:K21"/>
    <mergeCell ref="L21:M21"/>
    <mergeCell ref="B28:M28"/>
    <mergeCell ref="B29:M29"/>
    <mergeCell ref="C16:D16"/>
    <mergeCell ref="C17:D17"/>
    <mergeCell ref="F17:G17"/>
    <mergeCell ref="H17:J17"/>
    <mergeCell ref="K17:L17"/>
    <mergeCell ref="C18:D18"/>
    <mergeCell ref="F18:G18"/>
    <mergeCell ref="H18:J18"/>
    <mergeCell ref="K18:L18"/>
    <mergeCell ref="C19:D19"/>
    <mergeCell ref="F19:G19"/>
    <mergeCell ref="H19:J19"/>
    <mergeCell ref="K19:L19"/>
    <mergeCell ref="H5:M5"/>
    <mergeCell ref="B7:M7"/>
    <mergeCell ref="B8:M8"/>
    <mergeCell ref="B9:M9"/>
    <mergeCell ref="B10:M10"/>
    <mergeCell ref="B11:M11"/>
    <mergeCell ref="B12:M12"/>
    <mergeCell ref="B13:M13"/>
    <mergeCell ref="B14:B15"/>
    <mergeCell ref="C14:D15"/>
    <mergeCell ref="E14:E15"/>
    <mergeCell ref="F14:G15"/>
    <mergeCell ref="H14:J15"/>
    <mergeCell ref="K14:M14"/>
    <mergeCell ref="K15:L15"/>
    <mergeCell ref="I368:M368"/>
    <mergeCell ref="I369:M369"/>
    <mergeCell ref="I371:M371"/>
    <mergeCell ref="I372:M372"/>
    <mergeCell ref="I384:M384"/>
    <mergeCell ref="I385:M385"/>
    <mergeCell ref="I387:M387"/>
    <mergeCell ref="I370:M370"/>
    <mergeCell ref="I381:M381"/>
    <mergeCell ref="I382:M382"/>
    <mergeCell ref="I386:M386"/>
    <mergeCell ref="I390:M390"/>
    <mergeCell ref="I389:M389"/>
    <mergeCell ref="I392:M392"/>
    <mergeCell ref="I393:M393"/>
    <mergeCell ref="I394:M394"/>
    <mergeCell ref="I388:M388"/>
    <mergeCell ref="I373:M373"/>
    <mergeCell ref="I374:M374"/>
    <mergeCell ref="I375:M375"/>
    <mergeCell ref="I376:M376"/>
    <mergeCell ref="I377:M377"/>
    <mergeCell ref="I378:M378"/>
    <mergeCell ref="I379:M379"/>
    <mergeCell ref="I380:M380"/>
    <mergeCell ref="I383:M383"/>
    <mergeCell ref="I391:M391"/>
    <mergeCell ref="C294:D294"/>
    <mergeCell ref="K294:L294"/>
    <mergeCell ref="B251:D251"/>
    <mergeCell ref="C252:D252"/>
    <mergeCell ref="C253:D253"/>
    <mergeCell ref="B255:D255"/>
    <mergeCell ref="C256:D256"/>
    <mergeCell ref="C257:D257"/>
    <mergeCell ref="B244:D244"/>
    <mergeCell ref="K244:L244"/>
    <mergeCell ref="B246:L246"/>
    <mergeCell ref="B247:M247"/>
    <mergeCell ref="B248:B249"/>
    <mergeCell ref="C248:D249"/>
    <mergeCell ref="E248:G248"/>
    <mergeCell ref="H248:J248"/>
    <mergeCell ref="K248:L248"/>
    <mergeCell ref="BF94:BI94"/>
    <mergeCell ref="C243:D243"/>
    <mergeCell ref="K243:L243"/>
    <mergeCell ref="C265:D265"/>
    <mergeCell ref="K265:L265"/>
    <mergeCell ref="C276:D276"/>
    <mergeCell ref="K276:L276"/>
    <mergeCell ref="C285:D285"/>
    <mergeCell ref="K285:L285"/>
    <mergeCell ref="B99:C100"/>
    <mergeCell ref="D99:D100"/>
    <mergeCell ref="E99:E100"/>
    <mergeCell ref="K99:M99"/>
    <mergeCell ref="K100:M100"/>
    <mergeCell ref="B101:C102"/>
    <mergeCell ref="D101:D102"/>
    <mergeCell ref="E101:E102"/>
    <mergeCell ref="K101:M101"/>
    <mergeCell ref="K102:M102"/>
    <mergeCell ref="B103:C104"/>
    <mergeCell ref="D103:D104"/>
    <mergeCell ref="E103:E104"/>
    <mergeCell ref="K103:M103"/>
    <mergeCell ref="K104:M104"/>
  </mergeCells>
  <conditionalFormatting sqref="F336 K297:L297">
    <cfRule type="cellIs" dxfId="26" priority="105" operator="equal">
      <formula>"No"</formula>
    </cfRule>
  </conditionalFormatting>
  <conditionalFormatting sqref="K233:K234">
    <cfRule type="expression" dxfId="25" priority="104">
      <formula>IFERROR(AND(K233&gt;0.1,K233&lt;&gt;""),FALSE)</formula>
    </cfRule>
  </conditionalFormatting>
  <conditionalFormatting sqref="B324:M325 B315:M316 B274:M275 B283:M284 B263:M264 B303:M304 B292:M293">
    <cfRule type="expression" dxfId="24" priority="103">
      <formula>AND(DESPath=3,OR($B263="District Cooling",$B263="District Hot Water",$B263="District Steam"))</formula>
    </cfRule>
  </conditionalFormatting>
  <conditionalFormatting sqref="B359:H394">
    <cfRule type="expression" dxfId="23" priority="102">
      <formula>IF($R359=TRUE,TRUE,FALSE)</formula>
    </cfRule>
  </conditionalFormatting>
  <conditionalFormatting sqref="I359:M394">
    <cfRule type="expression" dxfId="22" priority="101">
      <formula>IF($R359=TRUE,TRUE,FALSE)</formula>
    </cfRule>
  </conditionalFormatting>
  <conditionalFormatting sqref="E233:J234">
    <cfRule type="expression" dxfId="21" priority="1311">
      <formula>AND(DESPath=3,$B$253=$B233,ISERROR(1/VLOOKUP($B233,PO_Enrgy_7_Table,MATCH($G$223,PO_Enrgy_7_Hdr,0),FALSE)))</formula>
    </cfRule>
  </conditionalFormatting>
  <conditionalFormatting sqref="K235">
    <cfRule type="expression" dxfId="20" priority="8">
      <formula>IFERROR(AND(K235&gt;0.1,K235&lt;&gt;""),FALSE)</formula>
    </cfRule>
  </conditionalFormatting>
  <conditionalFormatting sqref="E235:J235">
    <cfRule type="expression" dxfId="19" priority="9">
      <formula>AND(DESPath=3,$B$253=$B235,ISERROR(1/VLOOKUP($B235,PO_Enrgy_7_Table,MATCH($G$223,PO_Enrgy_7_Hdr,0),FALSE)))</formula>
    </cfRule>
  </conditionalFormatting>
  <conditionalFormatting sqref="B265:M265">
    <cfRule type="expression" dxfId="18" priority="7">
      <formula>AND(DESPath=3,OR($B265="District Cooling",$B265="District Hot Water",$B265="District Steam"))</formula>
    </cfRule>
  </conditionalFormatting>
  <conditionalFormatting sqref="B276:M276">
    <cfRule type="expression" dxfId="17" priority="6">
      <formula>AND(DESPath=3,OR($B276="District Cooling",$B276="District Hot Water",$B276="District Steam"))</formula>
    </cfRule>
  </conditionalFormatting>
  <conditionalFormatting sqref="B285:M285">
    <cfRule type="expression" dxfId="16" priority="5">
      <formula>AND(DESPath=3,OR($B285="District Cooling",$B285="District Hot Water",$B285="District Steam"))</formula>
    </cfRule>
  </conditionalFormatting>
  <conditionalFormatting sqref="B294:M294">
    <cfRule type="expression" dxfId="15" priority="4">
      <formula>AND(DESPath=3,OR($B294="District Cooling",$B294="District Hot Water",$B294="District Steam"))</formula>
    </cfRule>
  </conditionalFormatting>
  <conditionalFormatting sqref="B305:M305">
    <cfRule type="expression" dxfId="14" priority="3">
      <formula>AND(DESPath=3,OR($B305="District Cooling",$B305="District Hot Water",$B305="District Steam"))</formula>
    </cfRule>
  </conditionalFormatting>
  <conditionalFormatting sqref="B317:M317">
    <cfRule type="expression" dxfId="13" priority="2">
      <formula>AND(DESPath=3,OR($B317="District Cooling",$B317="District Hot Water",$B317="District Steam"))</formula>
    </cfRule>
  </conditionalFormatting>
  <conditionalFormatting sqref="B326:M326">
    <cfRule type="expression" dxfId="12" priority="1">
      <formula>AND(DESPath=3,OR($B326="District Cooling",$B326="District Hot Water",$B326="District Steam"))</formula>
    </cfRule>
  </conditionalFormatting>
  <dataValidations count="21">
    <dataValidation type="list" errorStyle="warning" allowBlank="1" showInputMessage="1" showErrorMessage="1" errorTitle="Required Input" error="The units must be selected from the provided list." promptTitle="Select the demand units:" sqref="E17:E19" xr:uid="{00000000-0002-0000-1400-000000000000}">
      <formula1>DemandUnits</formula1>
    </dataValidation>
    <dataValidation type="list" allowBlank="1" showInputMessage="1" showErrorMessage="1" errorTitle="Invalid Entry" error="Please select from the list of values shown." promptTitle="Project Energy Types" sqref="B17:B19" xr:uid="{00000000-0002-0000-1400-000001000000}">
      <formula1>FuelTypes</formula1>
    </dataValidation>
    <dataValidation allowBlank="1" showInputMessage="1" showErrorMessage="1" promptTitle="Utility Rate Name" sqref="N17:O19 F17:F19" xr:uid="{00000000-0002-0000-1400-000002000000}"/>
    <dataValidation type="list" allowBlank="1" showInputMessage="1" showErrorMessage="1" errorTitle="Required Input" error="The units must be selected from the provided list." promptTitle="Energy Consumption Units:" sqref="C17:C19" xr:uid="{00000000-0002-0000-1400-000003000000}">
      <formula1>ConsumptionUnits</formula1>
    </dataValidation>
    <dataValidation type="list" allowBlank="1" showInputMessage="1" promptTitle="Utility Rate Structure" sqref="H17:H19" xr:uid="{00000000-0002-0000-1400-000004000000}">
      <formula1>UtilityRateStructure</formula1>
    </dataValidation>
    <dataValidation allowBlank="1" showErrorMessage="1" sqref="B320 B308:B309 B288 B270 B237 B299 B246 B251 B279 B255" xr:uid="{00000000-0002-0000-1400-000005000000}"/>
    <dataValidation type="list" allowBlank="1" promptTitle="Fossil Fuel" prompt="Select the fossil fuel used within the District Plant for generating District Cooling (if applicable)." sqref="B253" xr:uid="{00000000-0002-0000-1400-000006000000}">
      <formula1>INDEX(PO_Enrgy_1_Table,,1)</formula1>
    </dataValidation>
    <dataValidation type="list" allowBlank="1" showInputMessage="1" showErrorMessage="1" errorTitle="Not a valid energy type" error="This energy type has not yet been listed in the energy sources table above. Please fill out the energy sources table above; then select from the list of energy types." promptTitle="Select Energy Type" prompt="Fill out the energy sources above. Then select from the list of energy types." sqref="E219" xr:uid="{00000000-0002-0000-1400-000007000000}">
      <formula1>PO_EnergyType</formula1>
    </dataValidation>
    <dataValidation type="list" showInputMessage="1" sqref="D171:D218 D97:D144" xr:uid="{00000000-0002-0000-1400-000008000000}">
      <formula1>" x"</formula1>
    </dataValidation>
    <dataValidation allowBlank="1" showInputMessage="1" sqref="H33:H34" xr:uid="{00000000-0002-0000-1400-000009000000}"/>
    <dataValidation allowBlank="1" showErrorMessage="1" promptTitle="Calculated Automatically" prompt="This value is calculated automatically based on the virtual energy rates" sqref="T33:T34 J33:J34" xr:uid="{00000000-0002-0000-1400-00000A000000}"/>
    <dataValidation type="list" allowBlank="1" showInputMessage="1" promptTitle="Renewable Source" sqref="B33:D34" xr:uid="{00000000-0002-0000-1400-00000B000000}">
      <formula1>RenewableSource</formula1>
    </dataValidation>
    <dataValidation type="list" allowBlank="1" showInputMessage="1" showErrorMessage="1" promptTitle="Energy Type" sqref="E33:E34" xr:uid="{00000000-0002-0000-1400-00000C000000}">
      <formula1>INDEX(PO_Enrgy_1_Table,,1)</formula1>
    </dataValidation>
    <dataValidation allowBlank="1" promptTitle="Energy End Use" prompt="Select the energy end use or enter the end use if not listed." sqref="B171:C218 B97:C144" xr:uid="{00000000-0002-0000-1400-00000D000000}"/>
    <dataValidation type="list" allowBlank="1" showErrorMessage="1" errorTitle="Required Input" error="The units must be selected from the provided list." promptTitle="Energy Consumption Units:" prompt="kWh: Kilowatt hour  = 3,412 Btu_x000a_MWh: Megawatt hour = 3,412,000 Btu_x000a_kBtu = 1,000 Btu_x000a_Therm = 100,000 Btu_x000a_Btu x 10^6 = 1,000,000 Btu_x000a_MJ: Megajoules = 948 Btu_x000a_Ton Hours = 12,000 Btu" sqref="L20:L21" xr:uid="{00000000-0002-0000-1400-00000E000000}">
      <formula1>ConsumptionUnits</formula1>
    </dataValidation>
    <dataValidation type="whole" allowBlank="1" showErrorMessage="1" errorTitle="Input Error" error="Please enter a whole number between 0 and 8,760 hours." sqref="F333:F334" xr:uid="{00000000-0002-0000-1400-00000F000000}">
      <formula1>0</formula1>
      <formula2>8760</formula2>
    </dataValidation>
    <dataValidation allowBlank="1" showInputMessage="1" showErrorMessage="1" prompt="Enter energy savings as a positive number. If the exceptional calculation method leads to energy penalties for this energy type (i.e. increased proposed case energy usage or decreased baseline case usage), enter the penalty as a negative number." sqref="AW57:AY60 AS57:AU60" xr:uid="{00000000-0002-0000-1400-000010000000}"/>
    <dataValidation type="list" allowBlank="1" showInputMessage="1" showErrorMessage="1" prompt="Select &quot;Add to Baseline&quot; if the exceptional calculation adjusts the Baseline building energy consumption and cost up, or &quot;Subtract from Proposed&quot; if the exceptional calculation adjusts the Proposed building energy consumption and cost down." sqref="AR57:AR60" xr:uid="{00000000-0002-0000-1400-000011000000}">
      <formula1>"Apply to Baseline, Subtract from Proposed"</formula1>
    </dataValidation>
    <dataValidation allowBlank="1" showInputMessage="1" showErrorMessage="1" errorTitle="Not a valid energy type" error="This energy type has not yet been listed in the energy sources table above. Please fill out the energy sources table above; then select from the list of energy types." sqref="B57:C60" xr:uid="{00000000-0002-0000-1400-000012000000}"/>
    <dataValidation type="list" allowBlank="1" showInputMessage="1" showErrorMessage="1" sqref="F57:F60" xr:uid="{00000000-0002-0000-1400-000013000000}">
      <formula1>"Add to Baseline, Subtract from Proposed"</formula1>
    </dataValidation>
    <dataValidation type="list" allowBlank="1" showErrorMessage="1" errorTitle="Not a valid energy type" error="This energy type has not yet been listed in the energy sources table above. Please fill out the energy sources table above; then select from the list of energy types." promptTitle="Select Energy Type" sqref="E97:E144 E171:E218 C61:D61 D57:D60" xr:uid="{00000000-0002-0000-1400-000014000000}">
      <formula1>INDEX(PO_Enrgy_1_Table,,1)</formula1>
    </dataValidation>
  </dataValidations>
  <pageMargins left="0.5" right="0.5" top="0.75" bottom="0.75" header="0.5" footer="0.5"/>
  <pageSetup scale="10" orientation="landscape" r:id="rId1"/>
  <headerFooter alignWithMargins="0">
    <oddFooter>&amp;LU S Green Building Council&amp;C&amp;"Arial,Bold"&amp;A&amp;RLEED&amp;XTM&amp;X v. 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0771" r:id="rId4" name="btnAddRenewable">
              <controlPr defaultSize="0" print="0" autoFill="0" autoPict="0" macro="[0]!addA">
                <anchor moveWithCells="1">
                  <from>
                    <xdr:col>1</xdr:col>
                    <xdr:colOff>60960</xdr:colOff>
                    <xdr:row>43</xdr:row>
                    <xdr:rowOff>106680</xdr:rowOff>
                  </from>
                  <to>
                    <xdr:col>1</xdr:col>
                    <xdr:colOff>1417320</xdr:colOff>
                    <xdr:row>43</xdr:row>
                    <xdr:rowOff>373380</xdr:rowOff>
                  </to>
                </anchor>
              </controlPr>
            </control>
          </mc:Choice>
        </mc:AlternateContent>
        <mc:AlternateContent xmlns:mc="http://schemas.openxmlformats.org/markup-compatibility/2006">
          <mc:Choice Requires="x14">
            <control shapeId="160772" r:id="rId5" name="btbDeleteRenewable">
              <controlPr defaultSize="0" print="0" autoFill="0" autoPict="0" macro="[0]!DeleteSome">
                <anchor moveWithCells="1">
                  <from>
                    <xdr:col>2</xdr:col>
                    <xdr:colOff>30480</xdr:colOff>
                    <xdr:row>43</xdr:row>
                    <xdr:rowOff>106680</xdr:rowOff>
                  </from>
                  <to>
                    <xdr:col>2</xdr:col>
                    <xdr:colOff>1402080</xdr:colOff>
                    <xdr:row>43</xdr:row>
                    <xdr:rowOff>373380</xdr:rowOff>
                  </to>
                </anchor>
              </controlPr>
            </control>
          </mc:Choice>
        </mc:AlternateContent>
        <mc:AlternateContent xmlns:mc="http://schemas.openxmlformats.org/markup-compatibility/2006">
          <mc:Choice Requires="x14">
            <control shapeId="160773" r:id="rId6" name="rbOutputReporting1">
              <controlPr defaultSize="0" autoFill="0" autoLine="0" autoPict="0" macro="[0]!ShowBaselineTable">
                <anchor moveWithCells="1">
                  <from>
                    <xdr:col>1</xdr:col>
                    <xdr:colOff>99060</xdr:colOff>
                    <xdr:row>76</xdr:row>
                    <xdr:rowOff>60960</xdr:rowOff>
                  </from>
                  <to>
                    <xdr:col>1</xdr:col>
                    <xdr:colOff>441960</xdr:colOff>
                    <xdr:row>76</xdr:row>
                    <xdr:rowOff>266700</xdr:rowOff>
                  </to>
                </anchor>
              </controlPr>
            </control>
          </mc:Choice>
        </mc:AlternateContent>
        <mc:AlternateContent xmlns:mc="http://schemas.openxmlformats.org/markup-compatibility/2006">
          <mc:Choice Requires="x14">
            <control shapeId="160774" r:id="rId7" name="rbOutputReporting2">
              <controlPr defaultSize="0" autoFill="0" autoLine="0" autoPict="0" macro="[0]!HideBaselineTable">
                <anchor moveWithCells="1">
                  <from>
                    <xdr:col>1</xdr:col>
                    <xdr:colOff>99060</xdr:colOff>
                    <xdr:row>77</xdr:row>
                    <xdr:rowOff>60960</xdr:rowOff>
                  </from>
                  <to>
                    <xdr:col>1</xdr:col>
                    <xdr:colOff>419100</xdr:colOff>
                    <xdr:row>78</xdr:row>
                    <xdr:rowOff>190500</xdr:rowOff>
                  </to>
                </anchor>
              </controlPr>
            </control>
          </mc:Choice>
        </mc:AlternateContent>
        <mc:AlternateContent xmlns:mc="http://schemas.openxmlformats.org/markup-compatibility/2006">
          <mc:Choice Requires="x14">
            <control shapeId="160775" r:id="rId8" name="rbOutputReporting4">
              <controlPr defaultSize="0" autoFill="0" autoLine="0" autoPict="0" macro="[0]!HideBaselineTable">
                <anchor moveWithCells="1">
                  <from>
                    <xdr:col>1</xdr:col>
                    <xdr:colOff>99060</xdr:colOff>
                    <xdr:row>81</xdr:row>
                    <xdr:rowOff>60960</xdr:rowOff>
                  </from>
                  <to>
                    <xdr:col>1</xdr:col>
                    <xdr:colOff>441960</xdr:colOff>
                    <xdr:row>82</xdr:row>
                    <xdr:rowOff>213360</xdr:rowOff>
                  </to>
                </anchor>
              </controlPr>
            </control>
          </mc:Choice>
        </mc:AlternateContent>
        <mc:AlternateContent xmlns:mc="http://schemas.openxmlformats.org/markup-compatibility/2006">
          <mc:Choice Requires="x14">
            <control shapeId="160776" r:id="rId9" name="rbgOutputReporting">
              <controlPr defaultSize="0" print="0" autoFill="0" autoPict="0">
                <anchor moveWithCells="1">
                  <from>
                    <xdr:col>0</xdr:col>
                    <xdr:colOff>137160</xdr:colOff>
                    <xdr:row>74</xdr:row>
                    <xdr:rowOff>365760</xdr:rowOff>
                  </from>
                  <to>
                    <xdr:col>13</xdr:col>
                    <xdr:colOff>0</xdr:colOff>
                    <xdr:row>84</xdr:row>
                    <xdr:rowOff>0</xdr:rowOff>
                  </to>
                </anchor>
              </controlPr>
            </control>
          </mc:Choice>
        </mc:AlternateContent>
        <mc:AlternateContent xmlns:mc="http://schemas.openxmlformats.org/markup-compatibility/2006">
          <mc:Choice Requires="x14">
            <control shapeId="160777" r:id="rId10" name="SiteRenewable Checkbox">
              <controlPr defaultSize="0" autoFill="0" autoLine="0" autoPict="0" macro="[0]!SiteRenewable_Change">
                <anchor moveWithCells="1">
                  <from>
                    <xdr:col>1</xdr:col>
                    <xdr:colOff>60960</xdr:colOff>
                    <xdr:row>24</xdr:row>
                    <xdr:rowOff>99060</xdr:rowOff>
                  </from>
                  <to>
                    <xdr:col>1</xdr:col>
                    <xdr:colOff>403860</xdr:colOff>
                    <xdr:row>25</xdr:row>
                    <xdr:rowOff>213360</xdr:rowOff>
                  </to>
                </anchor>
              </controlPr>
            </control>
          </mc:Choice>
        </mc:AlternateContent>
        <mc:AlternateContent xmlns:mc="http://schemas.openxmlformats.org/markup-compatibility/2006">
          <mc:Choice Requires="x14">
            <control shapeId="160778" r:id="rId11" name="ExcCalcCheckbox">
              <controlPr locked="0" defaultSize="0" autoFill="0" autoLine="0" autoPict="0" macro="[0]!ExCalc_Change">
                <anchor moveWithCells="1">
                  <from>
                    <xdr:col>1</xdr:col>
                    <xdr:colOff>22860</xdr:colOff>
                    <xdr:row>46</xdr:row>
                    <xdr:rowOff>76200</xdr:rowOff>
                  </from>
                  <to>
                    <xdr:col>1</xdr:col>
                    <xdr:colOff>403860</xdr:colOff>
                    <xdr:row>47</xdr:row>
                    <xdr:rowOff>251460</xdr:rowOff>
                  </to>
                </anchor>
              </controlPr>
            </control>
          </mc:Choice>
        </mc:AlternateContent>
        <mc:AlternateContent xmlns:mc="http://schemas.openxmlformats.org/markup-compatibility/2006">
          <mc:Choice Requires="x14">
            <control shapeId="160779" r:id="rId12" name="rbOutputReporting3">
              <controlPr defaultSize="0" autoFill="0" autoLine="0" autoPict="0" macro="[0]!HideBaselineTable">
                <anchor moveWithCells="1">
                  <from>
                    <xdr:col>1</xdr:col>
                    <xdr:colOff>99060</xdr:colOff>
                    <xdr:row>79</xdr:row>
                    <xdr:rowOff>60960</xdr:rowOff>
                  </from>
                  <to>
                    <xdr:col>1</xdr:col>
                    <xdr:colOff>419100</xdr:colOff>
                    <xdr:row>80</xdr:row>
                    <xdr:rowOff>213360</xdr:rowOff>
                  </to>
                </anchor>
              </controlPr>
            </control>
          </mc:Choice>
        </mc:AlternateContent>
        <mc:AlternateContent xmlns:mc="http://schemas.openxmlformats.org/markup-compatibility/2006">
          <mc:Choice Requires="x14">
            <control shapeId="160780" r:id="rId13" name="btnRestoreRenewCost">
              <controlPr defaultSize="0" print="0" autoFill="0" autoPict="0" macro="[0]!Copy_Default_Renewable_Cost">
                <anchor moveWithCells="1">
                  <from>
                    <xdr:col>10</xdr:col>
                    <xdr:colOff>426720</xdr:colOff>
                    <xdr:row>43</xdr:row>
                    <xdr:rowOff>152400</xdr:rowOff>
                  </from>
                  <to>
                    <xdr:col>12</xdr:col>
                    <xdr:colOff>1074420</xdr:colOff>
                    <xdr:row>43</xdr:row>
                    <xdr:rowOff>411480</xdr:rowOff>
                  </to>
                </anchor>
              </controlPr>
            </control>
          </mc:Choice>
        </mc:AlternateContent>
        <mc:AlternateContent xmlns:mc="http://schemas.openxmlformats.org/markup-compatibility/2006">
          <mc:Choice Requires="x14">
            <control shapeId="160781" r:id="rId14" name="btnAddExCalc">
              <controlPr defaultSize="0" print="0" autoFill="0" autoPict="0" macro="[0]!addB">
                <anchor moveWithCells="1">
                  <from>
                    <xdr:col>1</xdr:col>
                    <xdr:colOff>60960</xdr:colOff>
                    <xdr:row>71</xdr:row>
                    <xdr:rowOff>175260</xdr:rowOff>
                  </from>
                  <to>
                    <xdr:col>1</xdr:col>
                    <xdr:colOff>1417320</xdr:colOff>
                    <xdr:row>71</xdr:row>
                    <xdr:rowOff>441960</xdr:rowOff>
                  </to>
                </anchor>
              </controlPr>
            </control>
          </mc:Choice>
        </mc:AlternateContent>
        <mc:AlternateContent xmlns:mc="http://schemas.openxmlformats.org/markup-compatibility/2006">
          <mc:Choice Requires="x14">
            <control shapeId="160782" r:id="rId15" name="btnDeleteExCalc">
              <controlPr defaultSize="0" print="0" autoFill="0" autoPict="0" macro="[0]!DeleteSome">
                <anchor moveWithCells="1">
                  <from>
                    <xdr:col>2</xdr:col>
                    <xdr:colOff>60960</xdr:colOff>
                    <xdr:row>71</xdr:row>
                    <xdr:rowOff>160020</xdr:rowOff>
                  </from>
                  <to>
                    <xdr:col>2</xdr:col>
                    <xdr:colOff>1432560</xdr:colOff>
                    <xdr:row>71</xdr:row>
                    <xdr:rowOff>441960</xdr:rowOff>
                  </to>
                </anchor>
              </controlPr>
            </control>
          </mc:Choice>
        </mc:AlternateContent>
        <mc:AlternateContent xmlns:mc="http://schemas.openxmlformats.org/markup-compatibility/2006">
          <mc:Choice Requires="x14">
            <control shapeId="160783" r:id="rId16" name="btnRestoreExCalCost">
              <controlPr defaultSize="0" print="0" autoFill="0" autoPict="0" macro="[0]!Copy_Default_ExCalc_Cost">
                <anchor moveWithCells="1">
                  <from>
                    <xdr:col>10</xdr:col>
                    <xdr:colOff>426720</xdr:colOff>
                    <xdr:row>71</xdr:row>
                    <xdr:rowOff>144780</xdr:rowOff>
                  </from>
                  <to>
                    <xdr:col>12</xdr:col>
                    <xdr:colOff>1074420</xdr:colOff>
                    <xdr:row>71</xdr:row>
                    <xdr:rowOff>403860</xdr:rowOff>
                  </to>
                </anchor>
              </controlPr>
            </control>
          </mc:Choice>
        </mc:AlternateContent>
        <mc:AlternateContent xmlns:mc="http://schemas.openxmlformats.org/markup-compatibility/2006">
          <mc:Choice Requires="x14">
            <control shapeId="160790" r:id="rId17" name="Button 22">
              <controlPr defaultSize="0" print="0" autoFill="0" autoPict="0" macro="[0]!Copy_Default_PO_VR_Table">
                <anchor moveWithCells="1">
                  <from>
                    <xdr:col>10</xdr:col>
                    <xdr:colOff>525780</xdr:colOff>
                    <xdr:row>235</xdr:row>
                    <xdr:rowOff>144780</xdr:rowOff>
                  </from>
                  <to>
                    <xdr:col>12</xdr:col>
                    <xdr:colOff>1173480</xdr:colOff>
                    <xdr:row>236</xdr:row>
                    <xdr:rowOff>0</xdr:rowOff>
                  </to>
                </anchor>
              </controlPr>
            </control>
          </mc:Choice>
        </mc:AlternateContent>
        <mc:AlternateContent xmlns:mc="http://schemas.openxmlformats.org/markup-compatibility/2006">
          <mc:Choice Requires="x14">
            <control shapeId="160793" r:id="rId18" name="Button 25">
              <controlPr defaultSize="0" print="0" autoFill="0" autoPict="0" macro="[0]!addA">
                <anchor moveWithCells="1">
                  <from>
                    <xdr:col>1</xdr:col>
                    <xdr:colOff>60960</xdr:colOff>
                    <xdr:row>43</xdr:row>
                    <xdr:rowOff>106680</xdr:rowOff>
                  </from>
                  <to>
                    <xdr:col>1</xdr:col>
                    <xdr:colOff>1417320</xdr:colOff>
                    <xdr:row>43</xdr:row>
                    <xdr:rowOff>373380</xdr:rowOff>
                  </to>
                </anchor>
              </controlPr>
            </control>
          </mc:Choice>
        </mc:AlternateContent>
        <mc:AlternateContent xmlns:mc="http://schemas.openxmlformats.org/markup-compatibility/2006">
          <mc:Choice Requires="x14">
            <control shapeId="160794" r:id="rId19" name="Button 26">
              <controlPr defaultSize="0" print="0" autoFill="0" autoPict="0" macro="[0]!DeleteSome">
                <anchor moveWithCells="1">
                  <from>
                    <xdr:col>2</xdr:col>
                    <xdr:colOff>30480</xdr:colOff>
                    <xdr:row>43</xdr:row>
                    <xdr:rowOff>106680</xdr:rowOff>
                  </from>
                  <to>
                    <xdr:col>2</xdr:col>
                    <xdr:colOff>1402080</xdr:colOff>
                    <xdr:row>43</xdr:row>
                    <xdr:rowOff>373380</xdr:rowOff>
                  </to>
                </anchor>
              </controlPr>
            </control>
          </mc:Choice>
        </mc:AlternateContent>
        <mc:AlternateContent xmlns:mc="http://schemas.openxmlformats.org/markup-compatibility/2006">
          <mc:Choice Requires="x14">
            <control shapeId="160795" r:id="rId20" name="Option Button 27">
              <controlPr defaultSize="0" autoFill="0" autoLine="0" autoPict="0" macro="[0]!ShowBaselineTable">
                <anchor moveWithCells="1">
                  <from>
                    <xdr:col>1</xdr:col>
                    <xdr:colOff>121920</xdr:colOff>
                    <xdr:row>76</xdr:row>
                    <xdr:rowOff>60960</xdr:rowOff>
                  </from>
                  <to>
                    <xdr:col>1</xdr:col>
                    <xdr:colOff>464820</xdr:colOff>
                    <xdr:row>76</xdr:row>
                    <xdr:rowOff>266700</xdr:rowOff>
                  </to>
                </anchor>
              </controlPr>
            </control>
          </mc:Choice>
        </mc:AlternateContent>
        <mc:AlternateContent xmlns:mc="http://schemas.openxmlformats.org/markup-compatibility/2006">
          <mc:Choice Requires="x14">
            <control shapeId="160796" r:id="rId21" name="Option Button 28">
              <controlPr defaultSize="0" autoFill="0" autoLine="0" autoPict="0" macro="[0]!HideBaselineTable">
                <anchor moveWithCells="1">
                  <from>
                    <xdr:col>1</xdr:col>
                    <xdr:colOff>99060</xdr:colOff>
                    <xdr:row>77</xdr:row>
                    <xdr:rowOff>60960</xdr:rowOff>
                  </from>
                  <to>
                    <xdr:col>1</xdr:col>
                    <xdr:colOff>419100</xdr:colOff>
                    <xdr:row>78</xdr:row>
                    <xdr:rowOff>190500</xdr:rowOff>
                  </to>
                </anchor>
              </controlPr>
            </control>
          </mc:Choice>
        </mc:AlternateContent>
        <mc:AlternateContent xmlns:mc="http://schemas.openxmlformats.org/markup-compatibility/2006">
          <mc:Choice Requires="x14">
            <control shapeId="160797" r:id="rId22" name="Option Button 29">
              <controlPr defaultSize="0" autoFill="0" autoLine="0" autoPict="0" macro="[0]!HideBaselineTable">
                <anchor moveWithCells="1">
                  <from>
                    <xdr:col>1</xdr:col>
                    <xdr:colOff>99060</xdr:colOff>
                    <xdr:row>81</xdr:row>
                    <xdr:rowOff>60960</xdr:rowOff>
                  </from>
                  <to>
                    <xdr:col>1</xdr:col>
                    <xdr:colOff>441960</xdr:colOff>
                    <xdr:row>82</xdr:row>
                    <xdr:rowOff>213360</xdr:rowOff>
                  </to>
                </anchor>
              </controlPr>
            </control>
          </mc:Choice>
        </mc:AlternateContent>
        <mc:AlternateContent xmlns:mc="http://schemas.openxmlformats.org/markup-compatibility/2006">
          <mc:Choice Requires="x14">
            <control shapeId="160798" r:id="rId23" name="Group Box 30">
              <controlPr defaultSize="0" print="0" autoFill="0" autoPict="0">
                <anchor moveWithCells="1">
                  <from>
                    <xdr:col>0</xdr:col>
                    <xdr:colOff>137160</xdr:colOff>
                    <xdr:row>74</xdr:row>
                    <xdr:rowOff>365760</xdr:rowOff>
                  </from>
                  <to>
                    <xdr:col>13</xdr:col>
                    <xdr:colOff>0</xdr:colOff>
                    <xdr:row>84</xdr:row>
                    <xdr:rowOff>0</xdr:rowOff>
                  </to>
                </anchor>
              </controlPr>
            </control>
          </mc:Choice>
        </mc:AlternateContent>
        <mc:AlternateContent xmlns:mc="http://schemas.openxmlformats.org/markup-compatibility/2006">
          <mc:Choice Requires="x14">
            <control shapeId="160799" r:id="rId24" name="Check Box 31">
              <controlPr defaultSize="0" autoFill="0" autoLine="0" autoPict="0" macro="[0]!SiteRenewable_Change">
                <anchor moveWithCells="1">
                  <from>
                    <xdr:col>1</xdr:col>
                    <xdr:colOff>60960</xdr:colOff>
                    <xdr:row>24</xdr:row>
                    <xdr:rowOff>99060</xdr:rowOff>
                  </from>
                  <to>
                    <xdr:col>1</xdr:col>
                    <xdr:colOff>403860</xdr:colOff>
                    <xdr:row>25</xdr:row>
                    <xdr:rowOff>213360</xdr:rowOff>
                  </to>
                </anchor>
              </controlPr>
            </control>
          </mc:Choice>
        </mc:AlternateContent>
        <mc:AlternateContent xmlns:mc="http://schemas.openxmlformats.org/markup-compatibility/2006">
          <mc:Choice Requires="x14">
            <control shapeId="160800" r:id="rId25" name="Check Box 32">
              <controlPr locked="0" defaultSize="0" autoFill="0" autoLine="0" autoPict="0" macro="[0]!ExCalc_Change">
                <anchor moveWithCells="1">
                  <from>
                    <xdr:col>1</xdr:col>
                    <xdr:colOff>22860</xdr:colOff>
                    <xdr:row>46</xdr:row>
                    <xdr:rowOff>76200</xdr:rowOff>
                  </from>
                  <to>
                    <xdr:col>1</xdr:col>
                    <xdr:colOff>403860</xdr:colOff>
                    <xdr:row>47</xdr:row>
                    <xdr:rowOff>251460</xdr:rowOff>
                  </to>
                </anchor>
              </controlPr>
            </control>
          </mc:Choice>
        </mc:AlternateContent>
        <mc:AlternateContent xmlns:mc="http://schemas.openxmlformats.org/markup-compatibility/2006">
          <mc:Choice Requires="x14">
            <control shapeId="160801" r:id="rId26" name="Option Button 33">
              <controlPr defaultSize="0" autoFill="0" autoLine="0" autoPict="0" macro="[0]!HideBaselineTable">
                <anchor moveWithCells="1">
                  <from>
                    <xdr:col>1</xdr:col>
                    <xdr:colOff>99060</xdr:colOff>
                    <xdr:row>79</xdr:row>
                    <xdr:rowOff>60960</xdr:rowOff>
                  </from>
                  <to>
                    <xdr:col>1</xdr:col>
                    <xdr:colOff>419100</xdr:colOff>
                    <xdr:row>80</xdr:row>
                    <xdr:rowOff>213360</xdr:rowOff>
                  </to>
                </anchor>
              </controlPr>
            </control>
          </mc:Choice>
        </mc:AlternateContent>
        <mc:AlternateContent xmlns:mc="http://schemas.openxmlformats.org/markup-compatibility/2006">
          <mc:Choice Requires="x14">
            <control shapeId="160802" r:id="rId27" name="Button 34">
              <controlPr defaultSize="0" print="0" autoFill="0" autoPict="0" macro="[0]!Copy_Default_Renewable_Cost">
                <anchor moveWithCells="1">
                  <from>
                    <xdr:col>10</xdr:col>
                    <xdr:colOff>426720</xdr:colOff>
                    <xdr:row>43</xdr:row>
                    <xdr:rowOff>152400</xdr:rowOff>
                  </from>
                  <to>
                    <xdr:col>12</xdr:col>
                    <xdr:colOff>1074420</xdr:colOff>
                    <xdr:row>43</xdr:row>
                    <xdr:rowOff>411480</xdr:rowOff>
                  </to>
                </anchor>
              </controlPr>
            </control>
          </mc:Choice>
        </mc:AlternateContent>
        <mc:AlternateContent xmlns:mc="http://schemas.openxmlformats.org/markup-compatibility/2006">
          <mc:Choice Requires="x14">
            <control shapeId="160803" r:id="rId28" name="Button 35">
              <controlPr defaultSize="0" print="0" autoFill="0" autoPict="0" macro="[0]!addB">
                <anchor moveWithCells="1">
                  <from>
                    <xdr:col>1</xdr:col>
                    <xdr:colOff>60960</xdr:colOff>
                    <xdr:row>71</xdr:row>
                    <xdr:rowOff>175260</xdr:rowOff>
                  </from>
                  <to>
                    <xdr:col>1</xdr:col>
                    <xdr:colOff>1417320</xdr:colOff>
                    <xdr:row>71</xdr:row>
                    <xdr:rowOff>441960</xdr:rowOff>
                  </to>
                </anchor>
              </controlPr>
            </control>
          </mc:Choice>
        </mc:AlternateContent>
        <mc:AlternateContent xmlns:mc="http://schemas.openxmlformats.org/markup-compatibility/2006">
          <mc:Choice Requires="x14">
            <control shapeId="160804" r:id="rId29" name="Button 36">
              <controlPr defaultSize="0" print="0" autoFill="0" autoPict="0" macro="[0]!DeleteSome">
                <anchor moveWithCells="1">
                  <from>
                    <xdr:col>2</xdr:col>
                    <xdr:colOff>60960</xdr:colOff>
                    <xdr:row>71</xdr:row>
                    <xdr:rowOff>160020</xdr:rowOff>
                  </from>
                  <to>
                    <xdr:col>2</xdr:col>
                    <xdr:colOff>1432560</xdr:colOff>
                    <xdr:row>71</xdr:row>
                    <xdr:rowOff>441960</xdr:rowOff>
                  </to>
                </anchor>
              </controlPr>
            </control>
          </mc:Choice>
        </mc:AlternateContent>
        <mc:AlternateContent xmlns:mc="http://schemas.openxmlformats.org/markup-compatibility/2006">
          <mc:Choice Requires="x14">
            <control shapeId="160805" r:id="rId30" name="Button 37">
              <controlPr defaultSize="0" print="0" autoFill="0" autoPict="0" macro="[0]!Copy_Default_ExCalc_Cost">
                <anchor moveWithCells="1">
                  <from>
                    <xdr:col>10</xdr:col>
                    <xdr:colOff>426720</xdr:colOff>
                    <xdr:row>71</xdr:row>
                    <xdr:rowOff>144780</xdr:rowOff>
                  </from>
                  <to>
                    <xdr:col>12</xdr:col>
                    <xdr:colOff>1074420</xdr:colOff>
                    <xdr:row>71</xdr:row>
                    <xdr:rowOff>403860</xdr:rowOff>
                  </to>
                </anchor>
              </controlPr>
            </control>
          </mc:Choice>
        </mc:AlternateContent>
        <mc:AlternateContent xmlns:mc="http://schemas.openxmlformats.org/markup-compatibility/2006">
          <mc:Choice Requires="x14">
            <control shapeId="160806" r:id="rId31" name="Button 38">
              <controlPr defaultSize="0" print="0" autoFill="0" autoPict="0" macro="[0]!Copy_Default_PO_VR_Table">
                <anchor moveWithCells="1">
                  <from>
                    <xdr:col>10</xdr:col>
                    <xdr:colOff>518160</xdr:colOff>
                    <xdr:row>235</xdr:row>
                    <xdr:rowOff>144780</xdr:rowOff>
                  </from>
                  <to>
                    <xdr:col>12</xdr:col>
                    <xdr:colOff>1165860</xdr:colOff>
                    <xdr:row>236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pageSetUpPr fitToPage="1"/>
  </sheetPr>
  <dimension ref="A1:BC153"/>
  <sheetViews>
    <sheetView showGridLines="0" zoomScale="90" zoomScaleNormal="90" zoomScaleSheetLayoutView="100" zoomScalePageLayoutView="90" workbookViewId="0"/>
  </sheetViews>
  <sheetFormatPr defaultColWidth="8.6640625" defaultRowHeight="13.2" outlineLevelCol="1" x14ac:dyDescent="0.3"/>
  <cols>
    <col min="1" max="1" width="3.88671875" style="502" customWidth="1"/>
    <col min="2" max="2" width="21.44140625" style="502" customWidth="1"/>
    <col min="3" max="3" width="24.44140625" style="502" customWidth="1"/>
    <col min="4" max="4" width="3.6640625" style="502" customWidth="1"/>
    <col min="5" max="5" width="17.44140625" style="502" customWidth="1"/>
    <col min="6" max="6" width="21.109375" style="502" customWidth="1"/>
    <col min="7" max="10" width="19.33203125" style="502" customWidth="1"/>
    <col min="11" max="12" width="8.6640625" style="502" customWidth="1"/>
    <col min="13" max="13" width="17.5546875" style="502" customWidth="1"/>
    <col min="14" max="16" width="2.77734375" style="502" customWidth="1"/>
    <col min="17" max="17" width="19.44140625" style="502" hidden="1" customWidth="1" outlineLevel="1"/>
    <col min="18" max="18" width="13.44140625" style="502" hidden="1" customWidth="1" outlineLevel="1"/>
    <col min="19" max="28" width="9.109375" style="502" hidden="1" customWidth="1" outlineLevel="1"/>
    <col min="29" max="31" width="11.109375" style="502" hidden="1" customWidth="1" outlineLevel="1"/>
    <col min="32" max="32" width="9.6640625" style="502" hidden="1" customWidth="1" outlineLevel="1"/>
    <col min="33" max="33" width="9.109375" style="502" hidden="1" customWidth="1" outlineLevel="1"/>
    <col min="34" max="34" width="12.44140625" style="502" hidden="1" customWidth="1" outlineLevel="1"/>
    <col min="35" max="35" width="9.109375" style="502" hidden="1" customWidth="1" outlineLevel="1"/>
    <col min="36" max="36" width="15.6640625" style="502" hidden="1" customWidth="1" outlineLevel="1"/>
    <col min="37" max="37" width="9.109375" style="502" hidden="1" customWidth="1" outlineLevel="1"/>
    <col min="38" max="38" width="10.33203125" style="502" hidden="1" customWidth="1" outlineLevel="1"/>
    <col min="39" max="39" width="10.44140625" style="502" hidden="1" customWidth="1" outlineLevel="1"/>
    <col min="40" max="40" width="9.109375" style="502" hidden="1" customWidth="1" outlineLevel="1"/>
    <col min="41" max="43" width="14.6640625" style="502" hidden="1" customWidth="1" outlineLevel="1"/>
    <col min="44" max="45" width="9.109375" style="502" hidden="1" customWidth="1" outlineLevel="1"/>
    <col min="46" max="47" width="10.33203125" style="502" hidden="1" customWidth="1" outlineLevel="1"/>
    <col min="48" max="48" width="9.109375" style="502" hidden="1" customWidth="1" outlineLevel="1"/>
    <col min="49" max="50" width="11" style="502" hidden="1" customWidth="1" outlineLevel="1"/>
    <col min="51" max="52" width="9.109375" style="502" hidden="1" customWidth="1" outlineLevel="1"/>
    <col min="53" max="53" width="2.77734375" style="502" customWidth="1" collapsed="1"/>
    <col min="54" max="54" width="2.77734375" style="502" customWidth="1"/>
    <col min="55" max="55" width="50.77734375" style="502" customWidth="1"/>
    <col min="56" max="102" width="9.109375" style="502" customWidth="1"/>
    <col min="103" max="16384" width="8.6640625" style="502"/>
  </cols>
  <sheetData>
    <row r="1" spans="1:39" s="100" customFormat="1" x14ac:dyDescent="0.3">
      <c r="A1" s="717" t="s">
        <v>1299</v>
      </c>
      <c r="B1" s="559"/>
      <c r="C1" s="559"/>
      <c r="D1" s="559"/>
      <c r="E1" s="559"/>
      <c r="F1" s="559"/>
      <c r="G1" s="559"/>
      <c r="H1" s="559"/>
      <c r="I1" s="559"/>
      <c r="J1" s="559"/>
      <c r="K1" s="559"/>
      <c r="L1" s="559"/>
      <c r="M1" s="559"/>
      <c r="Q1" s="73"/>
      <c r="R1" s="73"/>
      <c r="V1" s="73"/>
      <c r="W1" s="73"/>
      <c r="X1" s="73"/>
      <c r="Y1" s="73"/>
      <c r="Z1" s="73"/>
      <c r="AA1" s="73"/>
      <c r="AB1" s="73"/>
      <c r="AC1" s="73"/>
      <c r="AD1" s="73"/>
      <c r="AE1" s="73"/>
      <c r="AF1" s="73"/>
      <c r="AG1" s="73"/>
      <c r="AH1" s="73"/>
      <c r="AI1" s="73"/>
      <c r="AJ1" s="73"/>
      <c r="AK1" s="73"/>
      <c r="AL1" s="73"/>
      <c r="AM1" s="73"/>
    </row>
    <row r="2" spans="1:39" s="100" customFormat="1" ht="24.75" customHeight="1" x14ac:dyDescent="0.3">
      <c r="A2" s="717" t="s">
        <v>1299</v>
      </c>
      <c r="B2" s="68" t="s">
        <v>1298</v>
      </c>
      <c r="C2" s="559"/>
      <c r="D2" s="563"/>
      <c r="E2" s="563"/>
      <c r="F2" s="563"/>
      <c r="G2" s="563"/>
      <c r="H2" s="563"/>
      <c r="I2" s="563"/>
      <c r="J2" s="563"/>
      <c r="K2" s="563"/>
      <c r="L2" s="563"/>
      <c r="M2" s="563"/>
      <c r="Q2" s="73"/>
      <c r="R2" s="73"/>
      <c r="V2" s="73"/>
      <c r="W2" s="73"/>
      <c r="X2" s="73"/>
      <c r="Y2" s="73"/>
      <c r="Z2" s="73"/>
      <c r="AA2" s="73"/>
      <c r="AB2" s="73"/>
      <c r="AC2" s="73"/>
      <c r="AD2" s="73"/>
      <c r="AE2" s="73"/>
      <c r="AF2" s="73"/>
      <c r="AG2" s="73"/>
      <c r="AH2" s="73"/>
      <c r="AI2" s="73"/>
      <c r="AJ2" s="73"/>
      <c r="AK2" s="73"/>
      <c r="AL2" s="73"/>
      <c r="AM2" s="73"/>
    </row>
    <row r="3" spans="1:39" s="100" customFormat="1" ht="15" customHeight="1" x14ac:dyDescent="0.3">
      <c r="A3" s="717" t="s">
        <v>1299</v>
      </c>
      <c r="B3" s="559"/>
      <c r="C3" s="559"/>
      <c r="D3" s="559"/>
      <c r="E3" s="559"/>
      <c r="F3" s="559"/>
      <c r="G3" s="559"/>
      <c r="H3" s="559"/>
      <c r="I3" s="559"/>
      <c r="J3" s="559"/>
      <c r="K3" s="559"/>
      <c r="L3" s="559"/>
      <c r="M3" s="559"/>
      <c r="Q3" s="73"/>
      <c r="R3" s="73"/>
      <c r="V3" s="73"/>
      <c r="W3" s="73"/>
      <c r="X3" s="73"/>
      <c r="Y3" s="73"/>
      <c r="Z3" s="73"/>
      <c r="AA3" s="73"/>
      <c r="AB3" s="73"/>
      <c r="AC3" s="73"/>
      <c r="AD3" s="73"/>
      <c r="AE3" s="73"/>
      <c r="AF3" s="73"/>
      <c r="AG3" s="73"/>
      <c r="AH3" s="73"/>
      <c r="AI3" s="73"/>
      <c r="AJ3" s="73"/>
      <c r="AK3" s="73"/>
      <c r="AL3" s="73"/>
      <c r="AM3" s="73"/>
    </row>
    <row r="4" spans="1:39" ht="21.75" customHeight="1" x14ac:dyDescent="0.3">
      <c r="A4" s="1036" t="s">
        <v>1299</v>
      </c>
      <c r="B4" s="583"/>
      <c r="C4" s="959"/>
      <c r="D4" s="959"/>
      <c r="E4" s="958"/>
      <c r="F4" s="958"/>
      <c r="G4" s="958"/>
      <c r="H4" s="958"/>
      <c r="I4" s="958"/>
      <c r="J4" s="958"/>
      <c r="K4" s="958"/>
      <c r="L4" s="958"/>
      <c r="M4" s="958"/>
    </row>
    <row r="5" spans="1:39" ht="22.5" hidden="1" customHeight="1" x14ac:dyDescent="0.3">
      <c r="A5" s="1036" t="s">
        <v>1299</v>
      </c>
      <c r="B5" s="2715" t="s">
        <v>1126</v>
      </c>
      <c r="C5" s="2715"/>
      <c r="D5" s="2715"/>
      <c r="E5" s="2715"/>
      <c r="F5" s="2715"/>
      <c r="G5" s="2715"/>
      <c r="H5" s="2715"/>
      <c r="I5" s="2715"/>
      <c r="J5" s="2715"/>
      <c r="K5" s="2715"/>
      <c r="L5" s="2715"/>
      <c r="M5" s="2715"/>
    </row>
    <row r="6" spans="1:39" ht="15.75" hidden="1" customHeight="1" x14ac:dyDescent="0.3">
      <c r="A6" s="1036" t="s">
        <v>1299</v>
      </c>
      <c r="B6" s="2716"/>
      <c r="C6" s="2717"/>
      <c r="D6" s="2717"/>
      <c r="E6" s="2717"/>
      <c r="F6" s="2717"/>
      <c r="G6" s="2717"/>
      <c r="H6" s="2717"/>
      <c r="I6" s="2717"/>
      <c r="J6" s="2717"/>
      <c r="K6" s="2717"/>
      <c r="L6" s="2717"/>
      <c r="M6" s="2717"/>
    </row>
    <row r="7" spans="1:39" ht="14.4" hidden="1" x14ac:dyDescent="0.3">
      <c r="A7" s="1036" t="s">
        <v>1299</v>
      </c>
      <c r="B7" s="2722" t="s">
        <v>444</v>
      </c>
      <c r="C7" s="2722" t="s">
        <v>494</v>
      </c>
      <c r="D7" s="2699"/>
      <c r="E7" s="2722" t="s">
        <v>493</v>
      </c>
      <c r="F7" s="2722" t="s">
        <v>492</v>
      </c>
      <c r="G7" s="2699"/>
      <c r="H7" s="2722" t="s">
        <v>491</v>
      </c>
      <c r="I7" s="2699"/>
      <c r="J7" s="2699"/>
      <c r="K7" s="2698" t="s">
        <v>1764</v>
      </c>
      <c r="L7" s="2727"/>
      <c r="M7" s="2727"/>
      <c r="N7" s="15"/>
      <c r="O7" s="15"/>
      <c r="P7" s="15"/>
      <c r="AC7" s="1038"/>
    </row>
    <row r="8" spans="1:39" ht="62.25" hidden="1" customHeight="1" x14ac:dyDescent="0.3">
      <c r="A8" s="1036" t="s">
        <v>1299</v>
      </c>
      <c r="B8" s="2699"/>
      <c r="C8" s="2699"/>
      <c r="D8" s="2699"/>
      <c r="E8" s="2699"/>
      <c r="F8" s="2699"/>
      <c r="G8" s="2699"/>
      <c r="H8" s="2699"/>
      <c r="I8" s="2699"/>
      <c r="J8" s="2699"/>
      <c r="K8" s="2698" t="str">
        <f>CONCATENATE("Energy Type Consumption Units to Site Energy Consumption (",PO_SiteUnits,")")</f>
        <v>Energy Type Consumption Units to Site Energy Consumption (MWh)</v>
      </c>
      <c r="L8" s="2727"/>
      <c r="M8" s="1115" t="str">
        <f>CONCATENATE("Energy Type Consumption Units to Source Energy Consumption (",PO_SourceUnits,")")</f>
        <v>Energy Type Consumption Units to Source Energy Consumption (MWh)</v>
      </c>
      <c r="N8" s="15"/>
      <c r="O8" s="15"/>
      <c r="P8" s="15"/>
      <c r="AC8" s="1039"/>
    </row>
    <row r="9" spans="1:39" ht="14.4" hidden="1" x14ac:dyDescent="0.3">
      <c r="A9" s="1036" t="s">
        <v>1299</v>
      </c>
      <c r="B9" s="1116" t="s">
        <v>1765</v>
      </c>
      <c r="C9" s="2736" t="s">
        <v>1766</v>
      </c>
      <c r="D9" s="2699"/>
      <c r="E9" s="1116" t="s">
        <v>1767</v>
      </c>
      <c r="F9" s="1116" t="s">
        <v>1768</v>
      </c>
      <c r="G9" s="1117"/>
      <c r="H9" s="1116" t="s">
        <v>1769</v>
      </c>
      <c r="I9" s="1118"/>
      <c r="J9" s="1119"/>
      <c r="K9" s="1116" t="s">
        <v>1770</v>
      </c>
      <c r="L9" s="1119"/>
      <c r="M9" s="1117" t="s">
        <v>1771</v>
      </c>
      <c r="N9" s="1114"/>
      <c r="O9" s="1039"/>
      <c r="P9" s="15"/>
    </row>
    <row r="10" spans="1:39" ht="15" hidden="1" customHeight="1" x14ac:dyDescent="0.3">
      <c r="A10" s="1036" t="s">
        <v>1299</v>
      </c>
      <c r="B10" s="1205" t="str">
        <f>IFERROR(IF(Performance_Outputs_1!B17&lt;&gt;"",Performance_Outputs_1!B17,""),"")</f>
        <v>Electricity</v>
      </c>
      <c r="C10" s="2965" t="str">
        <f>IFERROR(IF(Performance_Outputs_1!C17&lt;&gt;"",Performance_Outputs_1!C17,""),"")</f>
        <v>kWh</v>
      </c>
      <c r="D10" s="2884" t="str">
        <f>IFERROR(IF(Performance_Outputs_1!D17&lt;&gt;"",Performance_Outputs_1!D17,""),"")</f>
        <v/>
      </c>
      <c r="E10" s="1206" t="str">
        <f>IFERROR(IF(Performance_Outputs_1!E17&lt;&gt;"",Performance_Outputs_1!E17,""),"")</f>
        <v>kW</v>
      </c>
      <c r="F10" s="2965" t="str">
        <f>IFERROR(IF(Performance_Outputs_1!F17&lt;&gt;"",Performance_Outputs_1!F17,""),"")</f>
        <v/>
      </c>
      <c r="G10" s="2884" t="str">
        <f>IFERROR(IF(Performance_Outputs_1!G17&lt;&gt;"",Performance_Outputs_1!G17,""),"")</f>
        <v/>
      </c>
      <c r="H10" s="2912" t="str">
        <f>IFERROR(IF(Performance_Outputs_1!H17&lt;&gt;"",Performance_Outputs_1!H17,""),"")</f>
        <v>Fixed Rates per unit of consumption</v>
      </c>
      <c r="I10" s="2886" t="str">
        <f>IFERROR(IF(Performance_Outputs_1!I17&lt;&gt;"",Performance_Outputs_1!I17,""),"")</f>
        <v/>
      </c>
      <c r="J10" s="2886" t="str">
        <f>IFERROR(IF(Performance_Outputs_1!J17&lt;&gt;"",Performance_Outputs_1!J17,""),"")</f>
        <v/>
      </c>
      <c r="K10" s="2913">
        <f>IFERROR(VLOOKUP("kBtu",EnergyUnitsTable,3,FALSE)/VLOOKUP(PO_SiteUnits,EnergyUnitsTable,3,FALSE)*VLOOKUP($C10,EnergyUnitsTable,3,FALSE),"")</f>
        <v>9.999999999999998E-4</v>
      </c>
      <c r="L10" s="2914"/>
      <c r="M10" s="1194">
        <f>IFERROR(VLOOKUP("kBtu",EnergyUnitsTable,3,FALSE)/VLOOKUP(PO_SourceUnits,EnergyUnitsTable,3,FALSE)*VLOOKUP($C10,EnergyUnitsTable,3,FALSE)*VLOOKUP($B10,FuelTypesTable,2,FALSE),"")</f>
        <v>3.1399999999999996E-3</v>
      </c>
      <c r="N10" s="1040"/>
      <c r="O10" s="1040"/>
      <c r="P10" s="15"/>
    </row>
    <row r="11" spans="1:39" ht="15" hidden="1" customHeight="1" x14ac:dyDescent="0.3">
      <c r="A11" s="1036" t="s">
        <v>1299</v>
      </c>
      <c r="B11" s="1205" t="str">
        <f>IFERROR(IF(Performance_Outputs_1!B18&lt;&gt;"",Performance_Outputs_1!B18,""),"")</f>
        <v>Natural Gas</v>
      </c>
      <c r="C11" s="2965" t="str">
        <f>IFERROR(IF(Performance_Outputs_1!C18&lt;&gt;"",Performance_Outputs_1!C18,""),"")</f>
        <v>therm</v>
      </c>
      <c r="D11" s="2884" t="str">
        <f>IFERROR(IF(Performance_Outputs_1!D18&lt;&gt;"",Performance_Outputs_1!D18,""),"")</f>
        <v/>
      </c>
      <c r="E11" s="1206" t="str">
        <f>IFERROR(IF(Performance_Outputs_1!E18&lt;&gt;"",Performance_Outputs_1!E18,""),"")</f>
        <v>Btuh x 10^6</v>
      </c>
      <c r="F11" s="2965" t="str">
        <f>IFERROR(IF(Performance_Outputs_1!F18&lt;&gt;"",Performance_Outputs_1!F18,""),"")</f>
        <v/>
      </c>
      <c r="G11" s="2884" t="str">
        <f>IFERROR(IF(Performance_Outputs_1!G18&lt;&gt;"",Performance_Outputs_1!G18,""),"")</f>
        <v/>
      </c>
      <c r="H11" s="2912" t="str">
        <f>IFERROR(IF(Performance_Outputs_1!H18&lt;&gt;"",Performance_Outputs_1!H18,""),"")</f>
        <v/>
      </c>
      <c r="I11" s="2886" t="str">
        <f>IFERROR(IF(Performance_Outputs_1!I18&lt;&gt;"",Performance_Outputs_1!I18,""),"")</f>
        <v/>
      </c>
      <c r="J11" s="2886" t="str">
        <f>IFERROR(IF(Performance_Outputs_1!J18&lt;&gt;"",Performance_Outputs_1!J18,""),"")</f>
        <v/>
      </c>
      <c r="K11" s="2913">
        <f>IFERROR(VLOOKUP("kBtu",EnergyUnitsTable,3,FALSE)/VLOOKUP(PO_SiteUnits,EnergyUnitsTable,3,FALSE)*VLOOKUP($C11,EnergyUnitsTable,3,FALSE),"")</f>
        <v>2.9308323563892142E-2</v>
      </c>
      <c r="L11" s="2914"/>
      <c r="M11" s="1194">
        <f>IFERROR(VLOOKUP("kBtu",EnergyUnitsTable,3,FALSE)/VLOOKUP(PO_SourceUnits,EnergyUnitsTable,3,FALSE)*VLOOKUP($C11,EnergyUnitsTable,3,FALSE)*VLOOKUP($B11,FuelTypesTable,2,FALSE),"")</f>
        <v>3.0773739742086751E-2</v>
      </c>
      <c r="N11" s="1040"/>
      <c r="O11" s="1040"/>
      <c r="P11" s="15"/>
    </row>
    <row r="12" spans="1:39" ht="15" hidden="1" customHeight="1" x14ac:dyDescent="0.3">
      <c r="A12" s="1036" t="s">
        <v>1299</v>
      </c>
      <c r="B12" s="1205" t="str">
        <f>IFERROR(IF(Performance_Outputs_1!B19&lt;&gt;"",Performance_Outputs_1!B19,""),"")</f>
        <v>District Cooling</v>
      </c>
      <c r="C12" s="2965" t="str">
        <f>IFERROR(IF(Performance_Outputs_1!C19&lt;&gt;"",Performance_Outputs_1!C19,""),"")</f>
        <v>MWh</v>
      </c>
      <c r="D12" s="2884" t="str">
        <f>IFERROR(IF(Performance_Outputs_1!D19&lt;&gt;"",Performance_Outputs_1!D19,""),"")</f>
        <v/>
      </c>
      <c r="E12" s="1206" t="str">
        <f>IFERROR(IF(Performance_Outputs_1!E19&lt;&gt;"",Performance_Outputs_1!E19,""),"")</f>
        <v>MW</v>
      </c>
      <c r="F12" s="2965" t="str">
        <f>IFERROR(IF(Performance_Outputs_1!F19&lt;&gt;"",Performance_Outputs_1!F19,""),"")</f>
        <v/>
      </c>
      <c r="G12" s="2884" t="str">
        <f>IFERROR(IF(Performance_Outputs_1!G19&lt;&gt;"",Performance_Outputs_1!G19,""),"")</f>
        <v/>
      </c>
      <c r="H12" s="2912" t="str">
        <f>IFERROR(IF(Performance_Outputs_1!H19&lt;&gt;"",Performance_Outputs_1!H19,""),"")</f>
        <v/>
      </c>
      <c r="I12" s="2886" t="str">
        <f>IFERROR(IF(Performance_Outputs_1!I19&lt;&gt;"",Performance_Outputs_1!I19,""),"")</f>
        <v/>
      </c>
      <c r="J12" s="2886" t="str">
        <f>IFERROR(IF(Performance_Outputs_1!J19&lt;&gt;"",Performance_Outputs_1!J19,""),"")</f>
        <v/>
      </c>
      <c r="K12" s="2913">
        <f>IFERROR(VLOOKUP("kBtu",EnergyUnitsTable,3,FALSE)/VLOOKUP(PO_SiteUnits,EnergyUnitsTable,3,FALSE)*VLOOKUP($C12,EnergyUnitsTable,3,FALSE),"")</f>
        <v>0.99999999999999989</v>
      </c>
      <c r="L12" s="2914"/>
      <c r="M12" s="1194">
        <f>IFERROR(VLOOKUP("kBtu",EnergyUnitsTable,3,FALSE)/VLOOKUP(PO_SourceUnits,EnergyUnitsTable,3,FALSE)*VLOOKUP($C12,EnergyUnitsTable,3,FALSE)*VLOOKUP($B12,FuelTypesTable,2,FALSE),"")</f>
        <v>0.99999999999999989</v>
      </c>
      <c r="N12" s="1040"/>
      <c r="O12" s="1040"/>
      <c r="P12" s="15"/>
    </row>
    <row r="13" spans="1:39" ht="21" hidden="1" customHeight="1" x14ac:dyDescent="0.3">
      <c r="A13" s="1036" t="s">
        <v>1299</v>
      </c>
      <c r="B13" s="2728" t="s">
        <v>1115</v>
      </c>
      <c r="C13" s="2729"/>
      <c r="D13" s="2729"/>
      <c r="E13" s="2729"/>
      <c r="F13" s="2729"/>
      <c r="G13" s="2729"/>
      <c r="H13" s="2729"/>
      <c r="I13" s="2729"/>
      <c r="J13" s="2729"/>
      <c r="K13" s="2729"/>
      <c r="L13" s="2912" t="str">
        <f>IFERROR(IF(Performance_Outputs_1!L20&lt;&gt;"",Performance_Outputs_1!L20,""),"")</f>
        <v>MWh</v>
      </c>
      <c r="M13" s="2886" t="str">
        <f>IFERROR(IF(Performance_Outputs_1!M20&lt;&gt;"",Performance_Outputs_1!M20,""),"")</f>
        <v/>
      </c>
      <c r="N13" s="15"/>
      <c r="O13" s="15"/>
      <c r="P13" s="15"/>
    </row>
    <row r="14" spans="1:39" ht="21" hidden="1" customHeight="1" x14ac:dyDescent="0.3">
      <c r="A14" s="1036" t="s">
        <v>1299</v>
      </c>
      <c r="B14" s="2732" t="s">
        <v>1116</v>
      </c>
      <c r="C14" s="2729"/>
      <c r="D14" s="2729"/>
      <c r="E14" s="2729"/>
      <c r="F14" s="2729"/>
      <c r="G14" s="2729"/>
      <c r="H14" s="2729"/>
      <c r="I14" s="2729"/>
      <c r="J14" s="2729"/>
      <c r="K14" s="2729"/>
      <c r="L14" s="2912" t="str">
        <f>IFERROR(IF(Performance_Outputs_1!L21&lt;&gt;"",Performance_Outputs_1!L21,""),"")</f>
        <v>MWh</v>
      </c>
      <c r="M14" s="2886" t="str">
        <f>IFERROR(IF(Performance_Outputs_1!M21&lt;&gt;"",Performance_Outputs_1!M21,""),"")</f>
        <v/>
      </c>
    </row>
    <row r="15" spans="1:39" ht="33.75" hidden="1" customHeight="1" x14ac:dyDescent="0.3">
      <c r="A15" s="1036" t="s">
        <v>1299</v>
      </c>
      <c r="B15" s="564"/>
      <c r="C15" s="544"/>
      <c r="D15" s="526"/>
      <c r="E15" s="526"/>
      <c r="F15" s="526"/>
      <c r="G15" s="526"/>
      <c r="H15" s="526"/>
      <c r="I15" s="526"/>
      <c r="J15" s="526"/>
      <c r="K15" s="526"/>
      <c r="L15" s="527"/>
      <c r="M15" s="527"/>
    </row>
    <row r="16" spans="1:39" ht="21.75" hidden="1" customHeight="1" x14ac:dyDescent="0.3">
      <c r="A16" s="1063" t="s">
        <v>1299</v>
      </c>
      <c r="B16" s="570" t="s">
        <v>1263</v>
      </c>
      <c r="C16" s="571"/>
      <c r="D16" s="571"/>
      <c r="E16" s="571"/>
      <c r="F16" s="571"/>
      <c r="G16" s="571"/>
      <c r="H16" s="571"/>
      <c r="I16" s="571"/>
      <c r="J16" s="571"/>
      <c r="K16" s="571"/>
      <c r="L16" s="571"/>
      <c r="M16" s="571"/>
    </row>
    <row r="17" spans="1:41" ht="15" hidden="1" customHeight="1" x14ac:dyDescent="0.3">
      <c r="A17" s="1063" t="s">
        <v>1299</v>
      </c>
      <c r="B17" s="526"/>
    </row>
    <row r="18" spans="1:41" ht="98.25" hidden="1" customHeight="1" x14ac:dyDescent="0.3">
      <c r="A18" s="1063" t="s">
        <v>1299</v>
      </c>
      <c r="B18" s="2700" t="s">
        <v>457</v>
      </c>
      <c r="C18" s="2699"/>
      <c r="D18" s="1147" t="s">
        <v>456</v>
      </c>
      <c r="E18" s="966" t="s">
        <v>444</v>
      </c>
      <c r="F18" s="966" t="s">
        <v>1264</v>
      </c>
      <c r="G18" s="966" t="s">
        <v>347</v>
      </c>
      <c r="H18" s="966" t="s">
        <v>348</v>
      </c>
      <c r="I18" s="966" t="s">
        <v>1265</v>
      </c>
      <c r="J18" s="966" t="s">
        <v>1266</v>
      </c>
      <c r="K18" s="2700" t="s">
        <v>1276</v>
      </c>
      <c r="L18" s="2700"/>
      <c r="M18" s="966" t="s">
        <v>1267</v>
      </c>
      <c r="W18" s="502" t="s">
        <v>1091</v>
      </c>
      <c r="Y18" s="502" t="s">
        <v>1092</v>
      </c>
      <c r="Z18" s="502" t="s">
        <v>1093</v>
      </c>
      <c r="AG18" s="502" t="s">
        <v>1841</v>
      </c>
    </row>
    <row r="19" spans="1:41" s="526" customFormat="1" ht="14.4" hidden="1" x14ac:dyDescent="0.3">
      <c r="A19" s="1063" t="s">
        <v>1299</v>
      </c>
      <c r="B19" s="1093" t="s">
        <v>1791</v>
      </c>
      <c r="C19" s="1091"/>
      <c r="D19" s="1093" t="s">
        <v>1792</v>
      </c>
      <c r="E19" s="1093" t="s">
        <v>1765</v>
      </c>
      <c r="F19" s="1093" t="s">
        <v>1793</v>
      </c>
      <c r="G19" s="1093" t="s">
        <v>1798</v>
      </c>
      <c r="H19" s="1093" t="s">
        <v>1800</v>
      </c>
      <c r="I19" s="1093" t="s">
        <v>1801</v>
      </c>
      <c r="J19" s="1093" t="s">
        <v>1802</v>
      </c>
      <c r="K19" s="1093" t="s">
        <v>1803</v>
      </c>
      <c r="L19" s="1093"/>
      <c r="M19" s="1093" t="s">
        <v>1804</v>
      </c>
      <c r="Q19" s="1042" t="s">
        <v>1776</v>
      </c>
      <c r="R19" s="1042" t="s">
        <v>1777</v>
      </c>
      <c r="W19" s="526" t="s">
        <v>1091</v>
      </c>
      <c r="Y19" s="526" t="s">
        <v>1092</v>
      </c>
      <c r="Z19" s="526" t="s">
        <v>1093</v>
      </c>
    </row>
    <row r="20" spans="1:41" ht="15.75" hidden="1" customHeight="1" x14ac:dyDescent="0.3">
      <c r="A20" s="1063" t="s">
        <v>1299</v>
      </c>
      <c r="B20" s="2794" t="s">
        <v>482</v>
      </c>
      <c r="C20" s="2795"/>
      <c r="D20" s="2961">
        <v>0</v>
      </c>
      <c r="E20" s="2960" t="s">
        <v>464</v>
      </c>
      <c r="F20" s="1221" t="str">
        <f>IFERROR(IF(ISBLANK(E20),"","Consumption (" &amp; VLOOKUP($E20,PO_Enrgy_1_Table,MATCH($C$9,PO_Enrgy_1_Hdr,0),FALSE) &amp; ")"),"")</f>
        <v>Consumption (kWh)</v>
      </c>
      <c r="G20" s="1222">
        <v>395857.07250000001</v>
      </c>
      <c r="H20" s="1222">
        <v>286843.63</v>
      </c>
      <c r="I20" s="1216">
        <f>IFERROR(1-H20/G20,"")</f>
        <v>0.2753858654375817</v>
      </c>
      <c r="J20" s="2962">
        <f>IFERROR(IF($E$122-$H$122&lt;0,"",($G20-$H20)*VLOOKUP($E20,PO_Enrgy_1_Table,MATCH($K$9,PO_Enrgy_1_Hdr,0),FALSE)/($E$122-$H$122)),"")</f>
        <v>0.17425251999713737</v>
      </c>
      <c r="K20" s="2962">
        <f>IFERROR(IF($G$122-$J$122&lt;0,"",($G20*VLOOKUP($E20,PO_Enrgy_8_Table,MATCH($E$81,PO_Enrgy_8_Hdr,0),FALSE)-($H20*VLOOKUP($E20,PO_Enrgy_8_Table,MATCH($H$81,PO_Enrgy_8_Hdr,0),FALSE)))/($G$122-$J$122)),"")</f>
        <v>0.17425251999713701</v>
      </c>
      <c r="L20" s="2962"/>
      <c r="M20" s="2916">
        <f>IFERROR(H20*VLOOKUP($E20,PO_Enrgy_1_Table,MATCH($K$9,PO_Enrgy_1_Hdr,0))/$H$76,"")</f>
        <v>6.895590117502047E-2</v>
      </c>
      <c r="Q20" s="1043">
        <f t="shared" ref="Q20:Q67" si="0">IFERROR(IF(ISBLANK($E20),"",VLOOKUP($E20,PO_Enrgy_1_Table,MATCH($K$9,PO_Enrgy_1_Hdr,0),FALSE)),"")</f>
        <v>9.999999999999998E-4</v>
      </c>
      <c r="R20" s="1043">
        <f t="shared" ref="R20:R67" si="1">IFERROR(IF(ISBLANK($E20),"",VLOOKUP($E20,PO_Enrgy_1_Table,MATCH($M$9,PO_Enrgy_1_Hdr,0),FALSE)),"")</f>
        <v>3.1399999999999996E-3</v>
      </c>
      <c r="V20" s="535">
        <f t="shared" ref="V20:V67" si="2">IFERROR($AN20*H20,0)</f>
        <v>0</v>
      </c>
      <c r="W20" s="502">
        <f t="shared" ref="W20:W67" si="3">IFERROR(G20*VLOOKUP($AE20,PO_Enrgy_8_Table,4,FALSE),0)</f>
        <v>0</v>
      </c>
      <c r="X20" s="502">
        <f t="shared" ref="X20:X67" si="4">IFERROR(H20*VLOOKUP($AE20,PO_Enrgy_8_Table,7,FALSE),0)</f>
        <v>0</v>
      </c>
      <c r="Y20" s="502" t="b">
        <f>IFERROR(IF(D20="x",IF(OR(G20/H20&gt;1.03,G20/H20&lt;0.97),TRUE,FALSE),FALSE),FALSE)</f>
        <v>0</v>
      </c>
      <c r="Z20" s="502">
        <f>IFERROR(J20*100,)</f>
        <v>17.425251999713737</v>
      </c>
      <c r="AB20" s="502">
        <f>RANK(Z20,$Z$20:$Z$67,0)</f>
        <v>5</v>
      </c>
      <c r="AC20" s="502">
        <f>AB20</f>
        <v>5</v>
      </c>
      <c r="AD20" s="502" t="str">
        <f>B20</f>
        <v>Interior lighting</v>
      </c>
      <c r="AE20" s="15"/>
      <c r="AF20" s="2827" t="str">
        <f>IFERROR(G20/Lighting!$L$43,"")</f>
        <v/>
      </c>
      <c r="AG20" s="2827"/>
      <c r="AH20" s="1066"/>
      <c r="AI20" s="788"/>
      <c r="AJ20" s="788"/>
      <c r="AK20" s="1195"/>
      <c r="AO20" s="535"/>
    </row>
    <row r="21" spans="1:41" ht="16.2" hidden="1" customHeight="1" x14ac:dyDescent="0.3">
      <c r="A21" s="1063" t="s">
        <v>1299</v>
      </c>
      <c r="B21" s="2795"/>
      <c r="C21" s="2795"/>
      <c r="D21" s="2961"/>
      <c r="E21" s="2960"/>
      <c r="F21" s="1221" t="str">
        <f>IFERROR(IF(ISBLANK(E20),"","Demand (" &amp; VLOOKUP($E20,PO_Enrgy_1_Table,MATCH($E$9,PO_Enrgy_1_Hdr,0),FALSE) &amp; ")"),"")</f>
        <v>Demand (kW)</v>
      </c>
      <c r="G21" s="1223">
        <v>139.07124999999999</v>
      </c>
      <c r="H21" s="1223">
        <v>96.13</v>
      </c>
      <c r="I21" s="1224">
        <f t="shared" ref="I21:I67" si="5">IFERROR(1-H21/G21,"")</f>
        <v>0.30877158291163698</v>
      </c>
      <c r="J21" s="2963"/>
      <c r="K21" s="2962"/>
      <c r="L21" s="2962"/>
      <c r="M21" s="2964"/>
      <c r="Q21" s="1043" t="str">
        <f t="shared" si="0"/>
        <v/>
      </c>
      <c r="R21" s="1043" t="str">
        <f t="shared" si="1"/>
        <v/>
      </c>
      <c r="V21" s="535">
        <f t="shared" si="2"/>
        <v>0</v>
      </c>
      <c r="W21" s="502">
        <f t="shared" si="3"/>
        <v>0</v>
      </c>
      <c r="X21" s="502">
        <f t="shared" si="4"/>
        <v>0</v>
      </c>
      <c r="AE21" s="15"/>
      <c r="AF21" s="2827"/>
      <c r="AG21" s="2827"/>
      <c r="AH21" s="1066"/>
      <c r="AI21" s="788"/>
      <c r="AJ21" s="788"/>
      <c r="AK21" s="1196"/>
      <c r="AO21" s="535"/>
    </row>
    <row r="22" spans="1:41" ht="16.2" hidden="1" customHeight="1" x14ac:dyDescent="0.3">
      <c r="A22" s="1063" t="s">
        <v>1299</v>
      </c>
      <c r="B22" s="2794" t="s">
        <v>481</v>
      </c>
      <c r="C22" s="2794"/>
      <c r="D22" s="2961">
        <v>0</v>
      </c>
      <c r="E22" s="2960" t="s">
        <v>464</v>
      </c>
      <c r="F22" s="1221" t="str">
        <f>IFERROR(IF(ISBLANK(E22),"","Consumption (" &amp; VLOOKUP($E22,PO_Enrgy_1_Table,MATCH($C$9,PO_Enrgy_1_Hdr,0),FALSE) &amp; ")"),"")</f>
        <v>Consumption (kWh)</v>
      </c>
      <c r="G22" s="1222">
        <v>271545.75</v>
      </c>
      <c r="H22" s="1222">
        <v>113464.09</v>
      </c>
      <c r="I22" s="1216">
        <f t="shared" si="5"/>
        <v>0.58215479343720167</v>
      </c>
      <c r="J22" s="2962">
        <f>IFERROR(IF($E$122-$H$122&lt;0,"",($G22-$H22)*VLOOKUP($E22,PO_Enrgy_1_Table,MATCH($K$9,PO_Enrgy_1_Hdr,0),FALSE)/($E$122-$H$122)),"")</f>
        <v>0.25268560453295169</v>
      </c>
      <c r="K22" s="2962">
        <f>IFERROR(IF($G$122-$J$122&lt;0,"",($G22*VLOOKUP($E22,PO_Enrgy_8_Table,MATCH($E$81,PO_Enrgy_8_Hdr,0),FALSE)-($H22*VLOOKUP($E22,PO_Enrgy_8_Table,MATCH($H$81,PO_Enrgy_8_Hdr,0),FALSE)))/($G$122-$J$122)),"")</f>
        <v>0.25268560453295119</v>
      </c>
      <c r="L22" s="2962"/>
      <c r="M22" s="2916">
        <f>IFERROR(H22*VLOOKUP($E22,PO_Enrgy_1_Table,MATCH($K$9,PO_Enrgy_1_Hdr,0))/$H$76,"")</f>
        <v>2.727625004938624E-2</v>
      </c>
      <c r="Q22" s="1043">
        <f t="shared" si="0"/>
        <v>9.999999999999998E-4</v>
      </c>
      <c r="R22" s="1043">
        <f t="shared" si="1"/>
        <v>3.1399999999999996E-3</v>
      </c>
      <c r="V22" s="535">
        <f t="shared" si="2"/>
        <v>0</v>
      </c>
      <c r="W22" s="502">
        <f t="shared" si="3"/>
        <v>0</v>
      </c>
      <c r="X22" s="502">
        <f t="shared" si="4"/>
        <v>0</v>
      </c>
      <c r="Y22" s="502" t="b">
        <f>IFERROR(IF(D22="x",IF(OR(G22/H22&gt;1.03,G22/H22&lt;0.97),TRUE,FALSE),FALSE),FALSE)</f>
        <v>0</v>
      </c>
      <c r="Z22" s="502">
        <f>IFERROR(J22*100,)</f>
        <v>25.268560453295169</v>
      </c>
      <c r="AB22" s="502">
        <f>RANK(Z22,$Z$20:$Z$67,0)</f>
        <v>3</v>
      </c>
      <c r="AC22" s="502">
        <f>AB22+COUNTIF($AB$20:$AB21,AB22)</f>
        <v>3</v>
      </c>
      <c r="AD22" s="502" t="str">
        <f>B22</f>
        <v>Exterior lighting</v>
      </c>
      <c r="AE22" s="15"/>
      <c r="AF22" s="2827"/>
      <c r="AG22" s="2827"/>
      <c r="AH22" s="1066"/>
      <c r="AI22" s="788"/>
      <c r="AJ22" s="788"/>
      <c r="AK22" s="1195"/>
      <c r="AO22" s="535"/>
    </row>
    <row r="23" spans="1:41" ht="16.2" hidden="1" customHeight="1" x14ac:dyDescent="0.3">
      <c r="A23" s="1063" t="s">
        <v>1299</v>
      </c>
      <c r="B23" s="2794"/>
      <c r="C23" s="2794"/>
      <c r="D23" s="2961"/>
      <c r="E23" s="2960"/>
      <c r="F23" s="1221" t="str">
        <f>IFERROR(IF(ISBLANK(E22),"","Demand (" &amp; VLOOKUP($E22,PO_Enrgy_1_Table,MATCH($E$9,PO_Enrgy_1_Hdr,0),FALSE) &amp; ")"),"")</f>
        <v>Demand (kW)</v>
      </c>
      <c r="G23" s="1223">
        <v>62.223999999999997</v>
      </c>
      <c r="H23" s="1223">
        <v>26</v>
      </c>
      <c r="I23" s="1224">
        <f t="shared" si="5"/>
        <v>0.58215479557726924</v>
      </c>
      <c r="J23" s="2963"/>
      <c r="K23" s="2962"/>
      <c r="L23" s="2962"/>
      <c r="M23" s="2964"/>
      <c r="Q23" s="1043" t="str">
        <f t="shared" si="0"/>
        <v/>
      </c>
      <c r="R23" s="1043" t="str">
        <f t="shared" si="1"/>
        <v/>
      </c>
      <c r="V23" s="535">
        <f t="shared" si="2"/>
        <v>0</v>
      </c>
      <c r="W23" s="502">
        <f t="shared" si="3"/>
        <v>0</v>
      </c>
      <c r="X23" s="502">
        <f t="shared" si="4"/>
        <v>0</v>
      </c>
      <c r="AE23" s="15"/>
      <c r="AF23" s="2827"/>
      <c r="AG23" s="2827"/>
      <c r="AH23" s="1066"/>
      <c r="AI23" s="788"/>
      <c r="AJ23" s="788"/>
      <c r="AK23" s="1196"/>
      <c r="AO23" s="535"/>
    </row>
    <row r="24" spans="1:41" ht="16.2" hidden="1" customHeight="1" x14ac:dyDescent="0.3">
      <c r="A24" s="1063" t="s">
        <v>1299</v>
      </c>
      <c r="B24" s="2794" t="s">
        <v>480</v>
      </c>
      <c r="C24" s="2794"/>
      <c r="D24" s="2961">
        <v>0</v>
      </c>
      <c r="E24" s="2960" t="s">
        <v>464</v>
      </c>
      <c r="F24" s="1221" t="str">
        <f>IFERROR(IF(ISBLANK(E24),"","Consumption (" &amp; VLOOKUP($E24,PO_Enrgy_1_Table,MATCH($C$9,PO_Enrgy_1_Hdr,0),FALSE) &amp; ")"),"")</f>
        <v>Consumption (kWh)</v>
      </c>
      <c r="G24" s="1222">
        <v>33720.622499999998</v>
      </c>
      <c r="H24" s="1222">
        <v>27193.62</v>
      </c>
      <c r="I24" s="1216">
        <f t="shared" si="5"/>
        <v>0.1935611508951236</v>
      </c>
      <c r="J24" s="2962">
        <f>IFERROR(IF($E$122-$H$122&lt;0,"",($G24-$H24)*VLOOKUP($E24,PO_Enrgy_1_Table,MATCH($K$9,PO_Enrgy_1_Hdr,0),FALSE)/($E$122-$H$122)),"")</f>
        <v>1.0433086118279545E-2</v>
      </c>
      <c r="K24" s="2962">
        <f>IFERROR(IF($G$122-$J$122&lt;0,"",($G24*VLOOKUP($E24,PO_Enrgy_8_Table,MATCH($E$81,PO_Enrgy_8_Hdr,0),FALSE)-($H24*VLOOKUP($E24,PO_Enrgy_8_Table,MATCH($H$81,PO_Enrgy_8_Hdr,0),FALSE)))/($G$122-$J$122)),"")</f>
        <v>1.0433086118279523E-2</v>
      </c>
      <c r="L24" s="2962"/>
      <c r="M24" s="2916">
        <f>IFERROR(H24*VLOOKUP($E24,PO_Enrgy_1_Table,MATCH($K$9,PO_Enrgy_1_Hdr,0))/$H$76,"")</f>
        <v>6.5372222953358249E-3</v>
      </c>
      <c r="Q24" s="1043">
        <f t="shared" si="0"/>
        <v>9.999999999999998E-4</v>
      </c>
      <c r="R24" s="1043">
        <f t="shared" si="1"/>
        <v>3.1399999999999996E-3</v>
      </c>
      <c r="V24" s="535">
        <f t="shared" si="2"/>
        <v>0</v>
      </c>
      <c r="W24" s="502">
        <f t="shared" si="3"/>
        <v>0</v>
      </c>
      <c r="X24" s="502">
        <f t="shared" si="4"/>
        <v>0</v>
      </c>
      <c r="Y24" s="502" t="b">
        <f>IFERROR(IF(D24="x",IF(OR(G24/H24&gt;1.03,G24/H24&lt;0.97),TRUE,FALSE),FALSE),FALSE)</f>
        <v>0</v>
      </c>
      <c r="Z24" s="502">
        <f>IFERROR(J24*100,)</f>
        <v>1.0433086118279544</v>
      </c>
      <c r="AB24" s="502">
        <f>RANK(Z24,$Z$20:$Z$67,0)</f>
        <v>7</v>
      </c>
      <c r="AC24" s="502">
        <f>AB24+COUNTIF($AB$20:$AB23,AB24)</f>
        <v>7</v>
      </c>
      <c r="AD24" s="502" t="str">
        <f>B24</f>
        <v>Space heating</v>
      </c>
      <c r="AE24" s="15"/>
      <c r="AF24" s="2827"/>
      <c r="AG24" s="2827"/>
      <c r="AH24" s="1066"/>
      <c r="AI24" s="788"/>
      <c r="AJ24" s="788"/>
      <c r="AK24" s="1195"/>
      <c r="AO24" s="535"/>
    </row>
    <row r="25" spans="1:41" ht="16.2" hidden="1" customHeight="1" x14ac:dyDescent="0.3">
      <c r="A25" s="1063" t="s">
        <v>1299</v>
      </c>
      <c r="B25" s="2794"/>
      <c r="C25" s="2794"/>
      <c r="D25" s="2961"/>
      <c r="E25" s="2960"/>
      <c r="F25" s="1221" t="str">
        <f>IFERROR(IF(ISBLANK(E24),"","Demand (" &amp; VLOOKUP($E24,PO_Enrgy_1_Table,MATCH($E$9,PO_Enrgy_1_Hdr,0),FALSE) &amp; ")"),"")</f>
        <v>Demand (kW)</v>
      </c>
      <c r="G25" s="1223">
        <v>469.74</v>
      </c>
      <c r="H25" s="1223">
        <v>204.02</v>
      </c>
      <c r="I25" s="1224">
        <f t="shared" si="5"/>
        <v>0.56567462851790351</v>
      </c>
      <c r="J25" s="2963"/>
      <c r="K25" s="2962"/>
      <c r="L25" s="2962"/>
      <c r="M25" s="2964"/>
      <c r="Q25" s="1043" t="str">
        <f t="shared" si="0"/>
        <v/>
      </c>
      <c r="R25" s="1043" t="str">
        <f t="shared" si="1"/>
        <v/>
      </c>
      <c r="V25" s="535">
        <f t="shared" si="2"/>
        <v>0</v>
      </c>
      <c r="W25" s="502">
        <f t="shared" si="3"/>
        <v>0</v>
      </c>
      <c r="X25" s="502">
        <f t="shared" si="4"/>
        <v>0</v>
      </c>
      <c r="AE25" s="15"/>
      <c r="AF25" s="2827"/>
      <c r="AG25" s="2827"/>
      <c r="AH25" s="1066"/>
      <c r="AI25" s="788"/>
      <c r="AJ25" s="788"/>
      <c r="AK25" s="1196"/>
      <c r="AO25" s="535"/>
    </row>
    <row r="26" spans="1:41" ht="16.2" hidden="1" customHeight="1" x14ac:dyDescent="0.3">
      <c r="A26" s="1063" t="s">
        <v>1299</v>
      </c>
      <c r="B26" s="2794" t="s">
        <v>479</v>
      </c>
      <c r="C26" s="2794"/>
      <c r="D26" s="2961">
        <v>0</v>
      </c>
      <c r="E26" s="2960" t="s">
        <v>464</v>
      </c>
      <c r="F26" s="1221" t="str">
        <f>IFERROR(IF(ISBLANK(E26),"","Consumption (" &amp; VLOOKUP($E26,PO_Enrgy_1_Table,MATCH($C$9,PO_Enrgy_1_Hdr,0),FALSE) &amp; ")"),"")</f>
        <v>Consumption (kWh)</v>
      </c>
      <c r="G26" s="1222">
        <v>1041848.1225000001</v>
      </c>
      <c r="H26" s="1222">
        <v>1477235.31</v>
      </c>
      <c r="I26" s="1216">
        <f t="shared" si="5"/>
        <v>-0.4178989030140523</v>
      </c>
      <c r="J26" s="2962">
        <f>IFERROR(IF($E$122-$H$122&lt;0,"",($G26-$H26)*VLOOKUP($E26,PO_Enrgy_1_Table,MATCH($K$9,PO_Enrgy_1_Hdr,0),FALSE)/($E$122-$H$122)),"")</f>
        <v>-0.69594458129639514</v>
      </c>
      <c r="K26" s="2962">
        <f>IFERROR(IF($G$122-$J$122&lt;0,"",($G26*VLOOKUP($E26,PO_Enrgy_8_Table,MATCH($E$81,PO_Enrgy_8_Hdr,0),FALSE)-($H26*VLOOKUP($E26,PO_Enrgy_8_Table,MATCH($H$81,PO_Enrgy_8_Hdr,0),FALSE)))/($G$122-$J$122)),"")</f>
        <v>-0.69594458129639369</v>
      </c>
      <c r="L26" s="2962"/>
      <c r="M26" s="2916">
        <f>IFERROR(H26*VLOOKUP($E26,PO_Enrgy_1_Table,MATCH($K$9,PO_Enrgy_1_Hdr,0))/$H$76,"")</f>
        <v>0.35512063506033142</v>
      </c>
      <c r="Q26" s="1043">
        <f t="shared" si="0"/>
        <v>9.999999999999998E-4</v>
      </c>
      <c r="R26" s="1043">
        <f t="shared" si="1"/>
        <v>3.1399999999999996E-3</v>
      </c>
      <c r="V26" s="535">
        <f t="shared" si="2"/>
        <v>0</v>
      </c>
      <c r="W26" s="502">
        <f t="shared" si="3"/>
        <v>0</v>
      </c>
      <c r="X26" s="502">
        <f t="shared" si="4"/>
        <v>0</v>
      </c>
      <c r="Y26" s="502" t="b">
        <f>IFERROR(IF(D26="x",IF(OR(G26/H26&gt;1.03,G26/H26&lt;0.97),TRUE,FALSE),FALSE),FALSE)</f>
        <v>0</v>
      </c>
      <c r="Z26" s="502">
        <f>IFERROR(J26*100,)</f>
        <v>-69.59445812963952</v>
      </c>
      <c r="AB26" s="502">
        <f>RANK(Z26,$Z$20:$Z$67,0)</f>
        <v>24</v>
      </c>
      <c r="AC26" s="502">
        <f>AB26+COUNTIF($AB$20:$AB25,AB26)</f>
        <v>24</v>
      </c>
      <c r="AD26" s="502" t="str">
        <f>B26</f>
        <v>Space cooling</v>
      </c>
      <c r="AE26" s="15"/>
      <c r="AF26" s="2827"/>
      <c r="AG26" s="2827"/>
      <c r="AH26" s="1066"/>
      <c r="AI26" s="788"/>
      <c r="AJ26" s="788"/>
      <c r="AK26" s="1195"/>
      <c r="AO26" s="535"/>
    </row>
    <row r="27" spans="1:41" ht="16.2" hidden="1" customHeight="1" x14ac:dyDescent="0.3">
      <c r="A27" s="1063" t="s">
        <v>1299</v>
      </c>
      <c r="B27" s="2794"/>
      <c r="C27" s="2794"/>
      <c r="D27" s="2961"/>
      <c r="E27" s="2960"/>
      <c r="F27" s="1221" t="str">
        <f>IFERROR(IF(ISBLANK(E26),"","Demand (" &amp; VLOOKUP($E26,PO_Enrgy_1_Table,MATCH($E$9,PO_Enrgy_1_Hdr,0),FALSE) &amp; ")"),"")</f>
        <v>Demand (kW)</v>
      </c>
      <c r="G27" s="1223">
        <v>675.61250000000007</v>
      </c>
      <c r="H27" s="1223">
        <v>987.85</v>
      </c>
      <c r="I27" s="1224">
        <f t="shared" si="5"/>
        <v>-0.46215471146552201</v>
      </c>
      <c r="J27" s="2963"/>
      <c r="K27" s="2962"/>
      <c r="L27" s="2962"/>
      <c r="M27" s="2964"/>
      <c r="Q27" s="1043" t="str">
        <f t="shared" si="0"/>
        <v/>
      </c>
      <c r="R27" s="1043" t="str">
        <f t="shared" si="1"/>
        <v/>
      </c>
      <c r="V27" s="535">
        <f t="shared" si="2"/>
        <v>0</v>
      </c>
      <c r="W27" s="502">
        <f t="shared" si="3"/>
        <v>0</v>
      </c>
      <c r="X27" s="502">
        <f t="shared" si="4"/>
        <v>0</v>
      </c>
      <c r="AE27" s="15"/>
      <c r="AF27" s="2827"/>
      <c r="AG27" s="2827"/>
      <c r="AH27" s="1066"/>
      <c r="AI27" s="788"/>
      <c r="AJ27" s="788"/>
      <c r="AK27" s="1196"/>
      <c r="AO27" s="535"/>
    </row>
    <row r="28" spans="1:41" ht="16.2" hidden="1" customHeight="1" x14ac:dyDescent="0.3">
      <c r="A28" s="1063" t="s">
        <v>1299</v>
      </c>
      <c r="B28" s="2794" t="s">
        <v>477</v>
      </c>
      <c r="C28" s="2794"/>
      <c r="D28" s="2961">
        <v>0</v>
      </c>
      <c r="E28" s="2960" t="s">
        <v>464</v>
      </c>
      <c r="F28" s="1221" t="str">
        <f>IFERROR(IF(ISBLANK(E28),"","Consumption (" &amp; VLOOKUP($E28,PO_Enrgy_1_Table,MATCH($C$9,PO_Enrgy_1_Hdr,0),FALSE) &amp; ")"),"")</f>
        <v>Consumption (kWh)</v>
      </c>
      <c r="G28" s="1222">
        <v>310779.40999999997</v>
      </c>
      <c r="H28" s="1222">
        <v>233852.26</v>
      </c>
      <c r="I28" s="1216">
        <f t="shared" si="5"/>
        <v>0.24752975108614816</v>
      </c>
      <c r="J28" s="2962">
        <f>IFERROR(IF($E$122-$H$122&lt;0,"",($G28-$H28)*VLOOKUP($E28,PO_Enrgy_1_Table,MATCH($K$9,PO_Enrgy_1_Hdr,0),FALSE)/($E$122-$H$122)),"")</f>
        <v>0.12296419080332942</v>
      </c>
      <c r="K28" s="2962">
        <f>IFERROR(IF($G$122-$J$122&lt;0,"",($G28*VLOOKUP($E28,PO_Enrgy_8_Table,MATCH($E$81,PO_Enrgy_8_Hdr,0),FALSE)-($H28*VLOOKUP($E28,PO_Enrgy_8_Table,MATCH($H$81,PO_Enrgy_8_Hdr,0),FALSE)))/($G$122-$J$122)),"")</f>
        <v>0.1229641908033292</v>
      </c>
      <c r="L28" s="2962"/>
      <c r="M28" s="2916">
        <f>IFERROR(H28*VLOOKUP($E28,PO_Enrgy_1_Table,MATCH($K$9,PO_Enrgy_1_Hdr,0))/$H$76,"")</f>
        <v>5.621701736976064E-2</v>
      </c>
      <c r="Q28" s="1043">
        <f t="shared" si="0"/>
        <v>9.999999999999998E-4</v>
      </c>
      <c r="R28" s="1043">
        <f t="shared" si="1"/>
        <v>3.1399999999999996E-3</v>
      </c>
      <c r="V28" s="535">
        <f t="shared" si="2"/>
        <v>0</v>
      </c>
      <c r="W28" s="502">
        <f t="shared" si="3"/>
        <v>0</v>
      </c>
      <c r="X28" s="502">
        <f t="shared" si="4"/>
        <v>0</v>
      </c>
      <c r="Y28" s="502" t="b">
        <f>IFERROR(IF(D28="x",IF(OR(G28/H28&gt;1.03,G28/H28&lt;0.97),TRUE,FALSE),FALSE),FALSE)</f>
        <v>0</v>
      </c>
      <c r="Z28" s="502">
        <f>IFERROR(J28*100,)</f>
        <v>12.296419080332942</v>
      </c>
      <c r="AB28" s="502">
        <f>RANK(Z28,$Z$20:$Z$67,0)</f>
        <v>6</v>
      </c>
      <c r="AC28" s="502">
        <f>AB28+COUNTIF($AB$20:$AB27,AB28)</f>
        <v>6</v>
      </c>
      <c r="AD28" s="502" t="str">
        <f>B28</f>
        <v>Pumps</v>
      </c>
      <c r="AE28" s="15"/>
      <c r="AF28" s="2827"/>
      <c r="AG28" s="2827"/>
      <c r="AH28" s="1066"/>
      <c r="AI28" s="788"/>
      <c r="AJ28" s="788"/>
      <c r="AK28" s="1195"/>
      <c r="AO28" s="535"/>
    </row>
    <row r="29" spans="1:41" ht="16.2" hidden="1" customHeight="1" x14ac:dyDescent="0.3">
      <c r="A29" s="1063" t="s">
        <v>1299</v>
      </c>
      <c r="B29" s="2794"/>
      <c r="C29" s="2794"/>
      <c r="D29" s="2961"/>
      <c r="E29" s="2960"/>
      <c r="F29" s="1221" t="str">
        <f>IFERROR(IF(ISBLANK(E28),"","Demand (" &amp; VLOOKUP($E28,PO_Enrgy_1_Table,MATCH($E$9,PO_Enrgy_1_Hdr,0),FALSE) &amp; ")"),"")</f>
        <v>Demand (kW)</v>
      </c>
      <c r="G29" s="1223">
        <v>97.290500000000009</v>
      </c>
      <c r="H29" s="1223">
        <v>89.57</v>
      </c>
      <c r="I29" s="1224">
        <f t="shared" si="5"/>
        <v>7.9355127170690043E-2</v>
      </c>
      <c r="J29" s="2963"/>
      <c r="K29" s="2962"/>
      <c r="L29" s="2962"/>
      <c r="M29" s="2964"/>
      <c r="Q29" s="1043" t="str">
        <f t="shared" si="0"/>
        <v/>
      </c>
      <c r="R29" s="1043" t="str">
        <f t="shared" si="1"/>
        <v/>
      </c>
      <c r="V29" s="535">
        <f t="shared" si="2"/>
        <v>0</v>
      </c>
      <c r="W29" s="502">
        <f t="shared" si="3"/>
        <v>0</v>
      </c>
      <c r="X29" s="502">
        <f t="shared" si="4"/>
        <v>0</v>
      </c>
      <c r="AE29" s="15"/>
      <c r="AF29" s="2827"/>
      <c r="AG29" s="2827"/>
      <c r="AH29" s="1066"/>
      <c r="AI29" s="788"/>
      <c r="AJ29" s="788"/>
      <c r="AK29" s="1196"/>
      <c r="AO29" s="535"/>
    </row>
    <row r="30" spans="1:41" ht="16.2" hidden="1" customHeight="1" x14ac:dyDescent="0.3">
      <c r="A30" s="1063" t="s">
        <v>1299</v>
      </c>
      <c r="B30" s="2794" t="s">
        <v>476</v>
      </c>
      <c r="C30" s="2794"/>
      <c r="D30" s="2961">
        <v>0</v>
      </c>
      <c r="E30" s="2960" t="s">
        <v>464</v>
      </c>
      <c r="F30" s="1221" t="str">
        <f>IFERROR(IF(ISBLANK(E30),"","Consumption (" &amp; VLOOKUP($E30,PO_Enrgy_1_Table,MATCH($C$9,PO_Enrgy_1_Hdr,0),FALSE) &amp; ")"),"")</f>
        <v>Consumption (kWh)</v>
      </c>
      <c r="G30" s="1222">
        <v>120408.5675</v>
      </c>
      <c r="H30" s="1222">
        <v>0</v>
      </c>
      <c r="I30" s="1216">
        <f t="shared" si="5"/>
        <v>1</v>
      </c>
      <c r="J30" s="2962">
        <f>IFERROR(IF($E$122-$H$122&lt;0,"",($G30-$H30)*VLOOKUP($E30,PO_Enrgy_1_Table,MATCH($K$9,PO_Enrgy_1_Hdr,0),FALSE)/($E$122-$H$122)),"")</f>
        <v>0.19246705575893006</v>
      </c>
      <c r="K30" s="2962">
        <f>IFERROR(IF($G$122-$J$122&lt;0,"",($G30*VLOOKUP($E30,PO_Enrgy_8_Table,MATCH($E$81,PO_Enrgy_8_Hdr,0),FALSE)-($H30*VLOOKUP($E30,PO_Enrgy_8_Table,MATCH($H$81,PO_Enrgy_8_Hdr,0),FALSE)))/($G$122-$J$122)),"")</f>
        <v>0.19246705575892967</v>
      </c>
      <c r="L30" s="2962"/>
      <c r="M30" s="2916">
        <f>IFERROR(H30*VLOOKUP($E30,PO_Enrgy_1_Table,MATCH($K$9,PO_Enrgy_1_Hdr,0))/$H$76,"")</f>
        <v>0</v>
      </c>
      <c r="Q30" s="1043">
        <f t="shared" si="0"/>
        <v>9.999999999999998E-4</v>
      </c>
      <c r="R30" s="1043">
        <f t="shared" si="1"/>
        <v>3.1399999999999996E-3</v>
      </c>
      <c r="V30" s="535">
        <f t="shared" si="2"/>
        <v>0</v>
      </c>
      <c r="W30" s="502">
        <f t="shared" si="3"/>
        <v>0</v>
      </c>
      <c r="X30" s="502">
        <f t="shared" si="4"/>
        <v>0</v>
      </c>
      <c r="Y30" s="502" t="b">
        <f>IFERROR(IF(D30="x",IF(OR(G30/H30&gt;1.03,G30/H30&lt;0.97),TRUE,FALSE),FALSE),FALSE)</f>
        <v>0</v>
      </c>
      <c r="Z30" s="502">
        <f>IFERROR(J30*100,)</f>
        <v>19.246705575893007</v>
      </c>
      <c r="AB30" s="502">
        <f>RANK(Z30,$Z$20:$Z$67,0)</f>
        <v>4</v>
      </c>
      <c r="AC30" s="502">
        <f>AB30+COUNTIF($AB$20:$AB29,AB30)</f>
        <v>4</v>
      </c>
      <c r="AD30" s="502" t="str">
        <f>B30</f>
        <v>Heat rejection</v>
      </c>
      <c r="AE30" s="15"/>
      <c r="AF30" s="2827"/>
      <c r="AG30" s="2827"/>
      <c r="AH30" s="1066"/>
      <c r="AI30" s="788"/>
      <c r="AJ30" s="788"/>
      <c r="AK30" s="1195"/>
      <c r="AO30" s="535"/>
    </row>
    <row r="31" spans="1:41" ht="16.2" hidden="1" customHeight="1" x14ac:dyDescent="0.3">
      <c r="A31" s="1063" t="s">
        <v>1299</v>
      </c>
      <c r="B31" s="2794"/>
      <c r="C31" s="2794"/>
      <c r="D31" s="2961"/>
      <c r="E31" s="2960"/>
      <c r="F31" s="1221" t="str">
        <f>IFERROR(IF(ISBLANK(E30),"","Demand (" &amp; VLOOKUP($E30,PO_Enrgy_1_Table,MATCH($E$9,PO_Enrgy_1_Hdr,0),FALSE) &amp; ")"),"")</f>
        <v>Demand (kW)</v>
      </c>
      <c r="G31" s="1223">
        <v>52.704999999999998</v>
      </c>
      <c r="H31" s="1223">
        <v>0</v>
      </c>
      <c r="I31" s="1224">
        <f t="shared" si="5"/>
        <v>1</v>
      </c>
      <c r="J31" s="2963"/>
      <c r="K31" s="2962"/>
      <c r="L31" s="2962"/>
      <c r="M31" s="2964"/>
      <c r="Q31" s="1043" t="str">
        <f t="shared" si="0"/>
        <v/>
      </c>
      <c r="R31" s="1043" t="str">
        <f t="shared" si="1"/>
        <v/>
      </c>
      <c r="V31" s="535">
        <f t="shared" si="2"/>
        <v>0</v>
      </c>
      <c r="W31" s="502">
        <f t="shared" si="3"/>
        <v>0</v>
      </c>
      <c r="X31" s="502">
        <f t="shared" si="4"/>
        <v>0</v>
      </c>
      <c r="AE31" s="15"/>
      <c r="AF31" s="2827"/>
      <c r="AG31" s="2827"/>
      <c r="AH31" s="1066"/>
      <c r="AI31" s="788"/>
      <c r="AJ31" s="788"/>
      <c r="AK31" s="1196"/>
      <c r="AO31" s="535"/>
    </row>
    <row r="32" spans="1:41" ht="16.2" hidden="1" customHeight="1" x14ac:dyDescent="0.3">
      <c r="A32" s="1063" t="s">
        <v>1299</v>
      </c>
      <c r="B32" s="2794" t="s">
        <v>475</v>
      </c>
      <c r="C32" s="2794"/>
      <c r="D32" s="2961">
        <v>0</v>
      </c>
      <c r="E32" s="2960" t="s">
        <v>464</v>
      </c>
      <c r="F32" s="1221" t="str">
        <f>IFERROR(IF(ISBLANK(E32),"","Consumption (" &amp; VLOOKUP($E32,PO_Enrgy_1_Table,MATCH($C$9,PO_Enrgy_1_Hdr,0),FALSE) &amp; ")"),"")</f>
        <v>Consumption (kWh)</v>
      </c>
      <c r="G32" s="1222">
        <v>644551.26500000001</v>
      </c>
      <c r="H32" s="1222">
        <v>418903.48</v>
      </c>
      <c r="I32" s="1216">
        <f t="shared" si="5"/>
        <v>0.35008508593959553</v>
      </c>
      <c r="J32" s="2962">
        <f>IFERROR(IF($E$122-$H$122&lt;0,"",($G32-$H32)*VLOOKUP($E32,PO_Enrgy_1_Table,MATCH($K$9,PO_Enrgy_1_Hdr,0),FALSE)/($E$122-$H$122)),"")</f>
        <v>0.36068666639916686</v>
      </c>
      <c r="K32" s="2962">
        <f>IFERROR(IF($G$122-$J$122&lt;0,"",($G32*VLOOKUP($E32,PO_Enrgy_8_Table,MATCH($E$81,PO_Enrgy_8_Hdr,0),FALSE)-($H32*VLOOKUP($E32,PO_Enrgy_8_Table,MATCH($H$81,PO_Enrgy_8_Hdr,0),FALSE)))/($G$122-$J$122)),"")</f>
        <v>0.36068666639916619</v>
      </c>
      <c r="L32" s="2962"/>
      <c r="M32" s="2916">
        <f>IFERROR(H32*VLOOKUP($E32,PO_Enrgy_1_Table,MATCH($K$9,PO_Enrgy_1_Hdr,0))/$H$76,"")</f>
        <v>0.1007024871660987</v>
      </c>
      <c r="Q32" s="1043">
        <f t="shared" si="0"/>
        <v>9.999999999999998E-4</v>
      </c>
      <c r="R32" s="1043">
        <f t="shared" si="1"/>
        <v>3.1399999999999996E-3</v>
      </c>
      <c r="V32" s="535">
        <f t="shared" si="2"/>
        <v>0</v>
      </c>
      <c r="W32" s="502">
        <f t="shared" si="3"/>
        <v>0</v>
      </c>
      <c r="X32" s="502">
        <f t="shared" si="4"/>
        <v>0</v>
      </c>
      <c r="Y32" s="502" t="b">
        <f>IFERROR(IF(D32="x",IF(OR(G32/H32&gt;1.03,G32/H32&lt;0.97),TRUE,FALSE),FALSE),FALSE)</f>
        <v>0</v>
      </c>
      <c r="Z32" s="502">
        <f>IFERROR(J32*100,)</f>
        <v>36.068666639916685</v>
      </c>
      <c r="AB32" s="502">
        <f>RANK(Z32,$Z$20:$Z$67,0)</f>
        <v>2</v>
      </c>
      <c r="AC32" s="502">
        <f>AB32+COUNTIF($AB$20:$AB31,AB32)</f>
        <v>2</v>
      </c>
      <c r="AD32" s="502" t="str">
        <f>B32</f>
        <v>Fans - interior ventilation</v>
      </c>
      <c r="AE32" s="15"/>
      <c r="AF32" s="2827"/>
      <c r="AG32" s="2827"/>
      <c r="AH32" s="1066"/>
      <c r="AI32" s="788"/>
      <c r="AJ32" s="788"/>
      <c r="AK32" s="1195"/>
      <c r="AO32" s="535"/>
    </row>
    <row r="33" spans="1:41" ht="16.2" hidden="1" customHeight="1" x14ac:dyDescent="0.3">
      <c r="A33" s="1063" t="s">
        <v>1299</v>
      </c>
      <c r="B33" s="2794"/>
      <c r="C33" s="2794"/>
      <c r="D33" s="2961"/>
      <c r="E33" s="2960"/>
      <c r="F33" s="1221" t="str">
        <f>IFERROR(IF(ISBLANK(E32),"","Demand (" &amp; VLOOKUP($E32,PO_Enrgy_1_Table,MATCH($E$9,PO_Enrgy_1_Hdr,0),FALSE) &amp; ")"),"")</f>
        <v>Demand (kW)</v>
      </c>
      <c r="G33" s="1223">
        <v>287.37</v>
      </c>
      <c r="H33" s="1223">
        <v>194.97</v>
      </c>
      <c r="I33" s="1224">
        <f t="shared" si="5"/>
        <v>0.32153669485332503</v>
      </c>
      <c r="J33" s="2963"/>
      <c r="K33" s="2962"/>
      <c r="L33" s="2962"/>
      <c r="M33" s="2964"/>
      <c r="Q33" s="1043" t="str">
        <f t="shared" si="0"/>
        <v/>
      </c>
      <c r="R33" s="1043" t="str">
        <f t="shared" si="1"/>
        <v/>
      </c>
      <c r="V33" s="535">
        <f t="shared" si="2"/>
        <v>0</v>
      </c>
      <c r="W33" s="502">
        <f t="shared" si="3"/>
        <v>0</v>
      </c>
      <c r="X33" s="502">
        <f t="shared" si="4"/>
        <v>0</v>
      </c>
      <c r="AE33" s="15"/>
      <c r="AF33" s="2827"/>
      <c r="AG33" s="2827"/>
      <c r="AH33" s="1066"/>
      <c r="AI33" s="788"/>
      <c r="AJ33" s="788"/>
      <c r="AK33" s="1196"/>
      <c r="AO33" s="535"/>
    </row>
    <row r="34" spans="1:41" ht="16.2" hidden="1" customHeight="1" x14ac:dyDescent="0.3">
      <c r="A34" s="1063" t="s">
        <v>1299</v>
      </c>
      <c r="B34" s="2794" t="s">
        <v>474</v>
      </c>
      <c r="C34" s="2794"/>
      <c r="D34" s="2961" t="s">
        <v>465</v>
      </c>
      <c r="E34" s="2960" t="s">
        <v>464</v>
      </c>
      <c r="F34" s="1221" t="str">
        <f>IFERROR(IF(ISBLANK(E34),"","Consumption (" &amp; VLOOKUP($E34,PO_Enrgy_1_Table,MATCH($C$9,PO_Enrgy_1_Hdr,0),FALSE) &amp; ")"),"")</f>
        <v>Consumption (kWh)</v>
      </c>
      <c r="G34" s="1222">
        <v>0</v>
      </c>
      <c r="H34" s="1222">
        <v>0</v>
      </c>
      <c r="I34" s="1216" t="str">
        <f t="shared" si="5"/>
        <v/>
      </c>
      <c r="J34" s="2962">
        <f>IFERROR(IF($E$122-$H$122&lt;0,"",($G34-$H34)*VLOOKUP($E34,PO_Enrgy_1_Table,MATCH($K$9,PO_Enrgy_1_Hdr,0),FALSE)/($E$122-$H$122)),"")</f>
        <v>0</v>
      </c>
      <c r="K34" s="2962">
        <f>IFERROR(IF($G$122-$J$122&lt;0,"",($G34*VLOOKUP($E34,PO_Enrgy_8_Table,MATCH($E$81,PO_Enrgy_8_Hdr,0),FALSE)-($H34*VLOOKUP($E34,PO_Enrgy_8_Table,MATCH($H$81,PO_Enrgy_8_Hdr,0),FALSE)))/($G$122-$J$122)),"")</f>
        <v>0</v>
      </c>
      <c r="L34" s="2962"/>
      <c r="M34" s="2916">
        <f>IFERROR(H34*VLOOKUP($E34,PO_Enrgy_1_Table,MATCH($K$9,PO_Enrgy_1_Hdr,0))/$H$76,"")</f>
        <v>0</v>
      </c>
      <c r="Q34" s="1043">
        <f t="shared" si="0"/>
        <v>9.999999999999998E-4</v>
      </c>
      <c r="R34" s="1043">
        <f t="shared" si="1"/>
        <v>3.1399999999999996E-3</v>
      </c>
      <c r="V34" s="535">
        <f t="shared" si="2"/>
        <v>0</v>
      </c>
      <c r="W34" s="502">
        <f t="shared" si="3"/>
        <v>0</v>
      </c>
      <c r="X34" s="502">
        <f t="shared" si="4"/>
        <v>0</v>
      </c>
      <c r="Y34" s="502" t="b">
        <f>IFERROR(IF(D34="x",IF(OR(G34/H34&gt;1.03,G34/H34&lt;0.97),TRUE,FALSE),FALSE),FALSE)</f>
        <v>0</v>
      </c>
      <c r="Z34" s="502">
        <f>IFERROR(J34*100,)</f>
        <v>0</v>
      </c>
      <c r="AB34" s="502">
        <f>RANK(Z34,$Z$20:$Z$67,0)</f>
        <v>8</v>
      </c>
      <c r="AC34" s="502">
        <f>AB34+COUNTIF($AB$20:$AB33,AB34)</f>
        <v>8</v>
      </c>
      <c r="AD34" s="502" t="str">
        <f>B34</f>
        <v>Fans - parking garage</v>
      </c>
      <c r="AE34" s="15"/>
      <c r="AF34" s="2827"/>
      <c r="AG34" s="2827"/>
      <c r="AH34" s="1066"/>
      <c r="AI34" s="788"/>
      <c r="AJ34" s="788"/>
      <c r="AK34" s="1195"/>
      <c r="AO34" s="535"/>
    </row>
    <row r="35" spans="1:41" ht="16.2" hidden="1" customHeight="1" x14ac:dyDescent="0.3">
      <c r="A35" s="1063" t="s">
        <v>1299</v>
      </c>
      <c r="B35" s="2794"/>
      <c r="C35" s="2794"/>
      <c r="D35" s="2961"/>
      <c r="E35" s="2960"/>
      <c r="F35" s="1221" t="str">
        <f>IFERROR(IF(ISBLANK(E34),"","Demand (" &amp; VLOOKUP($E34,PO_Enrgy_1_Table,MATCH($E$9,PO_Enrgy_1_Hdr,0),FALSE) &amp; ")"),"")</f>
        <v>Demand (kW)</v>
      </c>
      <c r="G35" s="1223">
        <v>0</v>
      </c>
      <c r="H35" s="1223">
        <v>0</v>
      </c>
      <c r="I35" s="1224" t="str">
        <f t="shared" si="5"/>
        <v/>
      </c>
      <c r="J35" s="2963"/>
      <c r="K35" s="2962"/>
      <c r="L35" s="2962"/>
      <c r="M35" s="2964"/>
      <c r="Q35" s="1043" t="str">
        <f t="shared" si="0"/>
        <v/>
      </c>
      <c r="R35" s="1043" t="str">
        <f t="shared" si="1"/>
        <v/>
      </c>
      <c r="V35" s="535">
        <f t="shared" si="2"/>
        <v>0</v>
      </c>
      <c r="W35" s="502">
        <f t="shared" si="3"/>
        <v>0</v>
      </c>
      <c r="X35" s="502">
        <f t="shared" si="4"/>
        <v>0</v>
      </c>
      <c r="AE35" s="15"/>
      <c r="AF35" s="2827"/>
      <c r="AG35" s="2827"/>
      <c r="AH35" s="1066"/>
      <c r="AI35" s="788"/>
      <c r="AJ35" s="788"/>
      <c r="AK35" s="1196"/>
      <c r="AO35" s="535"/>
    </row>
    <row r="36" spans="1:41" ht="16.2" hidden="1" customHeight="1" x14ac:dyDescent="0.3">
      <c r="A36" s="1063" t="s">
        <v>1299</v>
      </c>
      <c r="B36" s="2794" t="s">
        <v>473</v>
      </c>
      <c r="C36" s="2794"/>
      <c r="D36" s="2961">
        <v>0</v>
      </c>
      <c r="E36" s="2960" t="s">
        <v>464</v>
      </c>
      <c r="F36" s="1221" t="str">
        <f>IFERROR(IF(ISBLANK(E36),"","Consumption (" &amp; VLOOKUP($E36,PO_Enrgy_1_Table,MATCH($C$9,PO_Enrgy_1_Hdr,0),FALSE) &amp; ")"),"")</f>
        <v>Consumption (kWh)</v>
      </c>
      <c r="G36" s="1222">
        <v>516643.02750000003</v>
      </c>
      <c r="H36" s="1222">
        <v>250906.32</v>
      </c>
      <c r="I36" s="1216">
        <f t="shared" si="5"/>
        <v>0.51435264458301433</v>
      </c>
      <c r="J36" s="2962">
        <f>IFERROR(IF($E$122-$H$122&lt;0,"",($G36-$H36)*VLOOKUP($E36,PO_Enrgy_1_Table,MATCH($K$9,PO_Enrgy_1_Hdr,0),FALSE)/($E$122-$H$122)),"")</f>
        <v>0.42476679825625357</v>
      </c>
      <c r="K36" s="2962">
        <f>IFERROR(IF($G$122-$J$122&lt;0,"",($G36*VLOOKUP($E36,PO_Enrgy_8_Table,MATCH($E$81,PO_Enrgy_8_Hdr,0),FALSE)-($H36*VLOOKUP($E36,PO_Enrgy_8_Table,MATCH($H$81,PO_Enrgy_8_Hdr,0),FALSE)))/($G$122-$J$122)),"")</f>
        <v>0.42476679825625263</v>
      </c>
      <c r="L36" s="2962"/>
      <c r="M36" s="2916">
        <f>IFERROR(H36*VLOOKUP($E36,PO_Enrgy_1_Table,MATCH($K$9,PO_Enrgy_1_Hdr,0))/$H$76,"")</f>
        <v>6.0316735658756178E-2</v>
      </c>
      <c r="Q36" s="1043">
        <f t="shared" si="0"/>
        <v>9.999999999999998E-4</v>
      </c>
      <c r="R36" s="1043">
        <f t="shared" si="1"/>
        <v>3.1399999999999996E-3</v>
      </c>
      <c r="V36" s="535">
        <f t="shared" si="2"/>
        <v>0</v>
      </c>
      <c r="W36" s="502">
        <f t="shared" si="3"/>
        <v>0</v>
      </c>
      <c r="X36" s="502">
        <f t="shared" si="4"/>
        <v>0</v>
      </c>
      <c r="Y36" s="502" t="b">
        <f>IFERROR(IF(D36="x",IF(OR(G36/H36&gt;1.03,G36/H36&lt;0.97),TRUE,FALSE),FALSE),FALSE)</f>
        <v>0</v>
      </c>
      <c r="Z36" s="502">
        <f>IFERROR(J36*100,)</f>
        <v>42.476679825625361</v>
      </c>
      <c r="AB36" s="502">
        <f>RANK(Z36,$Z$20:$Z$67,0)</f>
        <v>1</v>
      </c>
      <c r="AC36" s="502">
        <f>AB36+COUNTIF($AB$20:$AB35,AB36)</f>
        <v>1</v>
      </c>
      <c r="AD36" s="502" t="str">
        <f>B36</f>
        <v>Service water heating</v>
      </c>
      <c r="AE36" s="15"/>
      <c r="AF36" s="2827"/>
      <c r="AG36" s="2827"/>
      <c r="AH36" s="1066"/>
      <c r="AI36" s="788"/>
      <c r="AJ36" s="788"/>
      <c r="AK36" s="1195"/>
      <c r="AO36" s="535"/>
    </row>
    <row r="37" spans="1:41" ht="16.2" hidden="1" customHeight="1" x14ac:dyDescent="0.3">
      <c r="A37" s="1063" t="s">
        <v>1299</v>
      </c>
      <c r="B37" s="2794"/>
      <c r="C37" s="2794"/>
      <c r="D37" s="2961"/>
      <c r="E37" s="2960"/>
      <c r="F37" s="1221" t="str">
        <f>IFERROR(IF(ISBLANK(E36),"","Demand (" &amp; VLOOKUP($E36,PO_Enrgy_1_Table,MATCH($E$9,PO_Enrgy_1_Hdr,0),FALSE) &amp; ")"),"")</f>
        <v>Demand (kW)</v>
      </c>
      <c r="G37" s="1223">
        <v>187.91</v>
      </c>
      <c r="H37" s="1223">
        <v>104.44</v>
      </c>
      <c r="I37" s="1224">
        <f t="shared" si="5"/>
        <v>0.44420201160129846</v>
      </c>
      <c r="J37" s="2963"/>
      <c r="K37" s="2962"/>
      <c r="L37" s="2962"/>
      <c r="M37" s="2964"/>
      <c r="Q37" s="1043" t="str">
        <f t="shared" si="0"/>
        <v/>
      </c>
      <c r="R37" s="1043" t="str">
        <f t="shared" si="1"/>
        <v/>
      </c>
      <c r="V37" s="535">
        <f t="shared" si="2"/>
        <v>0</v>
      </c>
      <c r="W37" s="502">
        <f t="shared" si="3"/>
        <v>0</v>
      </c>
      <c r="X37" s="502">
        <f t="shared" si="4"/>
        <v>0</v>
      </c>
      <c r="AE37" s="15"/>
      <c r="AF37" s="2827"/>
      <c r="AG37" s="2827"/>
      <c r="AH37" s="1066"/>
      <c r="AI37" s="788"/>
      <c r="AJ37" s="788"/>
      <c r="AK37" s="1196"/>
      <c r="AO37" s="535"/>
    </row>
    <row r="38" spans="1:41" ht="16.2" hidden="1" customHeight="1" x14ac:dyDescent="0.3">
      <c r="A38" s="1063" t="s">
        <v>1299</v>
      </c>
      <c r="B38" s="2794" t="s">
        <v>472</v>
      </c>
      <c r="C38" s="2794"/>
      <c r="D38" s="2961" t="s">
        <v>465</v>
      </c>
      <c r="E38" s="2960" t="s">
        <v>464</v>
      </c>
      <c r="F38" s="1221" t="str">
        <f>IFERROR(IF(ISBLANK(E38),"","Consumption (" &amp; VLOOKUP($E38,PO_Enrgy_1_Table,MATCH($C$9,PO_Enrgy_1_Hdr,0),FALSE) &amp; ")"),"")</f>
        <v>Consumption (kWh)</v>
      </c>
      <c r="G38" s="1222">
        <v>1172039.8700000001</v>
      </c>
      <c r="H38" s="1222">
        <v>1172039.8700000001</v>
      </c>
      <c r="I38" s="1216">
        <f t="shared" si="5"/>
        <v>0</v>
      </c>
      <c r="J38" s="2962">
        <f>IFERROR(IF($E$122-$H$122&lt;0,"",($G38-$H38)*VLOOKUP($E38,PO_Enrgy_1_Table,MATCH($K$9,PO_Enrgy_1_Hdr,0),FALSE)/($E$122-$H$122)),"")</f>
        <v>0</v>
      </c>
      <c r="K38" s="2962">
        <f>IFERROR(IF($G$122-$J$122&lt;0,"",($G38*VLOOKUP($E38,PO_Enrgy_8_Table,MATCH($E$81,PO_Enrgy_8_Hdr,0),FALSE)-($H38*VLOOKUP($E38,PO_Enrgy_8_Table,MATCH($H$81,PO_Enrgy_8_Hdr,0),FALSE)))/($G$122-$J$122)),"")</f>
        <v>0</v>
      </c>
      <c r="L38" s="2962"/>
      <c r="M38" s="2916">
        <f>IFERROR(H38*VLOOKUP($E38,PO_Enrgy_1_Table,MATCH($K$9,PO_Enrgy_1_Hdr,0))/$H$76,"")</f>
        <v>0.28175304241165766</v>
      </c>
      <c r="Q38" s="1043">
        <f t="shared" si="0"/>
        <v>9.999999999999998E-4</v>
      </c>
      <c r="R38" s="1043">
        <f t="shared" si="1"/>
        <v>3.1399999999999996E-3</v>
      </c>
      <c r="V38" s="535">
        <f t="shared" si="2"/>
        <v>0</v>
      </c>
      <c r="W38" s="502">
        <f t="shared" si="3"/>
        <v>0</v>
      </c>
      <c r="X38" s="502">
        <f t="shared" si="4"/>
        <v>0</v>
      </c>
      <c r="Y38" s="502" t="b">
        <f>IFERROR(IF(D38="x",IF(OR(G38/H38&gt;1.03,G38/H38&lt;0.97),TRUE,FALSE),FALSE),FALSE)</f>
        <v>0</v>
      </c>
      <c r="Z38" s="502">
        <f>IFERROR(J38*100,)</f>
        <v>0</v>
      </c>
      <c r="AB38" s="502">
        <f>RANK(Z38,$Z$20:$Z$67,0)</f>
        <v>8</v>
      </c>
      <c r="AC38" s="502">
        <f>AB38+COUNTIF($AB$20:$AB37,AB38)</f>
        <v>9</v>
      </c>
      <c r="AD38" s="502" t="str">
        <f>B38</f>
        <v>Receptacle equipment</v>
      </c>
      <c r="AE38" s="15"/>
      <c r="AF38" s="2827"/>
      <c r="AG38" s="2827"/>
      <c r="AH38" s="1066"/>
      <c r="AI38" s="788"/>
      <c r="AJ38" s="788"/>
      <c r="AK38" s="1195"/>
      <c r="AO38" s="535"/>
    </row>
    <row r="39" spans="1:41" ht="16.2" hidden="1" customHeight="1" x14ac:dyDescent="0.3">
      <c r="A39" s="1063" t="s">
        <v>1299</v>
      </c>
      <c r="B39" s="2794"/>
      <c r="C39" s="2794"/>
      <c r="D39" s="2961"/>
      <c r="E39" s="2960"/>
      <c r="F39" s="1221" t="str">
        <f>IFERROR(IF(ISBLANK(E38),"","Demand (" &amp; VLOOKUP($E38,PO_Enrgy_1_Table,MATCH($E$9,PO_Enrgy_1_Hdr,0),FALSE) &amp; ")"),"")</f>
        <v>Demand (kW)</v>
      </c>
      <c r="G39" s="1223">
        <v>384.28</v>
      </c>
      <c r="H39" s="1223">
        <v>384.29</v>
      </c>
      <c r="I39" s="1224">
        <f t="shared" si="5"/>
        <v>-2.6022691787419561E-5</v>
      </c>
      <c r="J39" s="2963"/>
      <c r="K39" s="2962"/>
      <c r="L39" s="2962"/>
      <c r="M39" s="2964"/>
      <c r="Q39" s="1043" t="str">
        <f t="shared" si="0"/>
        <v/>
      </c>
      <c r="R39" s="1043" t="str">
        <f t="shared" si="1"/>
        <v/>
      </c>
      <c r="V39" s="535">
        <f t="shared" si="2"/>
        <v>0</v>
      </c>
      <c r="W39" s="502">
        <f t="shared" si="3"/>
        <v>0</v>
      </c>
      <c r="X39" s="502">
        <f t="shared" si="4"/>
        <v>0</v>
      </c>
      <c r="AE39" s="15"/>
      <c r="AF39" s="2827"/>
      <c r="AG39" s="2827"/>
      <c r="AH39" s="1066"/>
      <c r="AI39" s="788"/>
      <c r="AJ39" s="788"/>
      <c r="AK39" s="1196"/>
      <c r="AO39" s="535"/>
    </row>
    <row r="40" spans="1:41" ht="16.2" hidden="1" customHeight="1" x14ac:dyDescent="0.3">
      <c r="A40" s="1063" t="s">
        <v>1299</v>
      </c>
      <c r="B40" s="2794" t="s">
        <v>471</v>
      </c>
      <c r="C40" s="2794"/>
      <c r="D40" s="2961" t="s">
        <v>465</v>
      </c>
      <c r="E40" s="2960" t="s">
        <v>464</v>
      </c>
      <c r="F40" s="1221" t="str">
        <f>IFERROR(IF(ISBLANK(E40),"","Consumption (" &amp; VLOOKUP($E40,PO_Enrgy_1_Table,MATCH($C$9,PO_Enrgy_1_Hdr,0),FALSE) &amp; ")"),"")</f>
        <v>Consumption (kWh)</v>
      </c>
      <c r="G40" s="1222">
        <v>0</v>
      </c>
      <c r="H40" s="1222">
        <v>0</v>
      </c>
      <c r="I40" s="1216" t="str">
        <f t="shared" si="5"/>
        <v/>
      </c>
      <c r="J40" s="2962">
        <f>IFERROR(IF($E$122-$H$122&lt;0,"",($G40-$H40)*VLOOKUP($E40,PO_Enrgy_1_Table,MATCH($K$9,PO_Enrgy_1_Hdr,0),FALSE)/($E$122-$H$122)),"")</f>
        <v>0</v>
      </c>
      <c r="K40" s="2962">
        <f>IFERROR(IF($G$122-$J$122&lt;0,"",($G40*VLOOKUP($E40,PO_Enrgy_8_Table,MATCH($E$81,PO_Enrgy_8_Hdr,0),FALSE)-($H40*VLOOKUP($E40,PO_Enrgy_8_Table,MATCH($H$81,PO_Enrgy_8_Hdr,0),FALSE)))/($G$122-$J$122)),"")</f>
        <v>0</v>
      </c>
      <c r="L40" s="2962"/>
      <c r="M40" s="2916">
        <f>IFERROR(H40*VLOOKUP($E40,PO_Enrgy_1_Table,MATCH($K$9,PO_Enrgy_1_Hdr,0))/$H$76,"")</f>
        <v>0</v>
      </c>
      <c r="Q40" s="1043">
        <f t="shared" si="0"/>
        <v>9.999999999999998E-4</v>
      </c>
      <c r="R40" s="1043">
        <f t="shared" si="1"/>
        <v>3.1399999999999996E-3</v>
      </c>
      <c r="V40" s="535">
        <f t="shared" si="2"/>
        <v>0</v>
      </c>
      <c r="W40" s="502">
        <f t="shared" si="3"/>
        <v>0</v>
      </c>
      <c r="X40" s="502">
        <f t="shared" si="4"/>
        <v>0</v>
      </c>
      <c r="Y40" s="502" t="b">
        <f>IFERROR(IF(D40="x",IF(OR(G40/H40&gt;1.03,G40/H40&lt;0.97),TRUE,FALSE),FALSE),FALSE)</f>
        <v>0</v>
      </c>
      <c r="Z40" s="502">
        <f>IFERROR(J40*100,)</f>
        <v>0</v>
      </c>
      <c r="AB40" s="502">
        <f>RANK(Z40,$Z$20:$Z$67,0)</f>
        <v>8</v>
      </c>
      <c r="AC40" s="502">
        <f>AB40+COUNTIF($AB$20:$AB39,AB40)</f>
        <v>10</v>
      </c>
      <c r="AD40" s="502" t="str">
        <f>B40</f>
        <v>IT equipment</v>
      </c>
      <c r="AE40" s="15"/>
      <c r="AF40" s="2827"/>
      <c r="AG40" s="2827"/>
      <c r="AH40" s="1066"/>
      <c r="AI40" s="788"/>
      <c r="AJ40" s="788"/>
      <c r="AK40" s="1195"/>
      <c r="AO40" s="535"/>
    </row>
    <row r="41" spans="1:41" ht="16.2" hidden="1" customHeight="1" x14ac:dyDescent="0.3">
      <c r="A41" s="1063" t="s">
        <v>1299</v>
      </c>
      <c r="B41" s="2794"/>
      <c r="C41" s="2794"/>
      <c r="D41" s="2961"/>
      <c r="E41" s="2960"/>
      <c r="F41" s="1221" t="str">
        <f>IFERROR(IF(ISBLANK(E40),"","Demand (" &amp; VLOOKUP($E40,PO_Enrgy_1_Table,MATCH($E$9,PO_Enrgy_1_Hdr,0),FALSE) &amp; ")"),"")</f>
        <v>Demand (kW)</v>
      </c>
      <c r="G41" s="1223">
        <v>0</v>
      </c>
      <c r="H41" s="1223">
        <v>0</v>
      </c>
      <c r="I41" s="1224" t="str">
        <f t="shared" si="5"/>
        <v/>
      </c>
      <c r="J41" s="2963"/>
      <c r="K41" s="2962"/>
      <c r="L41" s="2962"/>
      <c r="M41" s="2964"/>
      <c r="Q41" s="1043" t="str">
        <f t="shared" si="0"/>
        <v/>
      </c>
      <c r="R41" s="1043" t="str">
        <f t="shared" si="1"/>
        <v/>
      </c>
      <c r="V41" s="535">
        <f t="shared" si="2"/>
        <v>0</v>
      </c>
      <c r="W41" s="502">
        <f t="shared" si="3"/>
        <v>0</v>
      </c>
      <c r="X41" s="502">
        <f t="shared" si="4"/>
        <v>0</v>
      </c>
      <c r="AE41" s="15"/>
      <c r="AF41" s="2827"/>
      <c r="AG41" s="2827"/>
      <c r="AH41" s="1066"/>
      <c r="AI41" s="788"/>
      <c r="AJ41" s="788"/>
      <c r="AK41" s="1196"/>
      <c r="AO41" s="535"/>
    </row>
    <row r="42" spans="1:41" ht="16.2" hidden="1" customHeight="1" x14ac:dyDescent="0.3">
      <c r="A42" s="1063" t="s">
        <v>1299</v>
      </c>
      <c r="B42" s="2794" t="s">
        <v>470</v>
      </c>
      <c r="C42" s="2794"/>
      <c r="D42" s="2961" t="s">
        <v>465</v>
      </c>
      <c r="E42" s="2960" t="s">
        <v>464</v>
      </c>
      <c r="F42" s="1221" t="str">
        <f>IFERROR(IF(ISBLANK(E42),"","Consumption (" &amp; VLOOKUP($E42,PO_Enrgy_1_Table,MATCH($C$9,PO_Enrgy_1_Hdr,0),FALSE) &amp; ")"),"")</f>
        <v>Consumption (kWh)</v>
      </c>
      <c r="G42" s="1222">
        <v>0</v>
      </c>
      <c r="H42" s="1222">
        <v>0</v>
      </c>
      <c r="I42" s="1216" t="str">
        <f t="shared" si="5"/>
        <v/>
      </c>
      <c r="J42" s="2962">
        <f>IFERROR(IF($E$122-$H$122&lt;0,"",($G42-$H42)*VLOOKUP($E42,PO_Enrgy_1_Table,MATCH($K$9,PO_Enrgy_1_Hdr,0),FALSE)/($E$122-$H$122)),"")</f>
        <v>0</v>
      </c>
      <c r="K42" s="2962">
        <f>IFERROR(IF($G$122-$J$122&lt;0,"",($G42*VLOOKUP($E42,PO_Enrgy_8_Table,MATCH($E$81,PO_Enrgy_8_Hdr,0),FALSE)-($H42*VLOOKUP($E42,PO_Enrgy_8_Table,MATCH($H$81,PO_Enrgy_8_Hdr,0),FALSE)))/($G$122-$J$122)),"")</f>
        <v>0</v>
      </c>
      <c r="L42" s="2962"/>
      <c r="M42" s="2916">
        <f>IFERROR(H42*VLOOKUP($E42,PO_Enrgy_1_Table,MATCH($K$9,PO_Enrgy_1_Hdr,0))/$H$76,"")</f>
        <v>0</v>
      </c>
      <c r="Q42" s="1043">
        <f t="shared" si="0"/>
        <v>9.999999999999998E-4</v>
      </c>
      <c r="R42" s="1043">
        <f t="shared" si="1"/>
        <v>3.1399999999999996E-3</v>
      </c>
      <c r="V42" s="535">
        <f t="shared" si="2"/>
        <v>0</v>
      </c>
      <c r="W42" s="502">
        <f t="shared" si="3"/>
        <v>0</v>
      </c>
      <c r="X42" s="502">
        <f t="shared" si="4"/>
        <v>0</v>
      </c>
      <c r="Y42" s="502" t="b">
        <f>IFERROR(IF(D42="x",IF(OR(G42/H42&gt;1.03,G42/H42&lt;0.97),TRUE,FALSE),FALSE),FALSE)</f>
        <v>0</v>
      </c>
      <c r="Z42" s="502">
        <f>IFERROR(J42*100,)</f>
        <v>0</v>
      </c>
      <c r="AB42" s="502">
        <f>RANK(Z42,$Z$20:$Z$67,0)</f>
        <v>8</v>
      </c>
      <c r="AC42" s="502">
        <f>AB42+COUNTIF($AB$20:$AB41,AB42)</f>
        <v>11</v>
      </c>
      <c r="AD42" s="502" t="str">
        <f>B42</f>
        <v>Interior lighting - process</v>
      </c>
      <c r="AE42" s="15"/>
      <c r="AF42" s="2827"/>
      <c r="AG42" s="2827"/>
      <c r="AH42" s="1066"/>
      <c r="AI42" s="788"/>
      <c r="AJ42" s="788"/>
      <c r="AK42" s="1195"/>
      <c r="AO42" s="535"/>
    </row>
    <row r="43" spans="1:41" ht="16.2" hidden="1" customHeight="1" x14ac:dyDescent="0.3">
      <c r="A43" s="1063" t="s">
        <v>1299</v>
      </c>
      <c r="B43" s="2794"/>
      <c r="C43" s="2794"/>
      <c r="D43" s="2961"/>
      <c r="E43" s="2960"/>
      <c r="F43" s="1221" t="str">
        <f>IFERROR(IF(ISBLANK(E42),"","Demand (" &amp; VLOOKUP($E42,PO_Enrgy_1_Table,MATCH($E$9,PO_Enrgy_1_Hdr,0),FALSE) &amp; ")"),"")</f>
        <v>Demand (kW)</v>
      </c>
      <c r="G43" s="1223">
        <v>0</v>
      </c>
      <c r="H43" s="1223">
        <v>0</v>
      </c>
      <c r="I43" s="1224" t="str">
        <f t="shared" si="5"/>
        <v/>
      </c>
      <c r="J43" s="2963"/>
      <c r="K43" s="2962"/>
      <c r="L43" s="2962"/>
      <c r="M43" s="2964"/>
      <c r="Q43" s="1043" t="str">
        <f t="shared" si="0"/>
        <v/>
      </c>
      <c r="R43" s="1043" t="str">
        <f t="shared" si="1"/>
        <v/>
      </c>
      <c r="V43" s="535">
        <f t="shared" si="2"/>
        <v>0</v>
      </c>
      <c r="W43" s="502">
        <f t="shared" si="3"/>
        <v>0</v>
      </c>
      <c r="X43" s="502">
        <f t="shared" si="4"/>
        <v>0</v>
      </c>
      <c r="AE43" s="15"/>
      <c r="AF43" s="2827"/>
      <c r="AG43" s="2827"/>
      <c r="AH43" s="1066"/>
      <c r="AI43" s="788"/>
      <c r="AJ43" s="788"/>
      <c r="AK43" s="1196"/>
      <c r="AO43" s="535"/>
    </row>
    <row r="44" spans="1:41" ht="16.2" hidden="1" customHeight="1" x14ac:dyDescent="0.3">
      <c r="A44" s="1063" t="s">
        <v>1299</v>
      </c>
      <c r="B44" s="2794" t="s">
        <v>427</v>
      </c>
      <c r="C44" s="2794"/>
      <c r="D44" s="2961" t="s">
        <v>465</v>
      </c>
      <c r="E44" s="2960" t="s">
        <v>464</v>
      </c>
      <c r="F44" s="1221" t="str">
        <f>IFERROR(IF(ISBLANK(E44),"","Consumption (" &amp; VLOOKUP($E44,PO_Enrgy_1_Table,MATCH($C$9,PO_Enrgy_1_Hdr,0),FALSE) &amp; ")"),"")</f>
        <v>Consumption (kWh)</v>
      </c>
      <c r="G44" s="1222">
        <v>0</v>
      </c>
      <c r="H44" s="1222">
        <v>0</v>
      </c>
      <c r="I44" s="1216" t="str">
        <f t="shared" si="5"/>
        <v/>
      </c>
      <c r="J44" s="2962">
        <f>IFERROR(IF($E$122-$H$122&lt;0,"",($G44-$H44)*VLOOKUP($E44,PO_Enrgy_1_Table,MATCH($K$9,PO_Enrgy_1_Hdr,0),FALSE)/($E$122-$H$122)),"")</f>
        <v>0</v>
      </c>
      <c r="K44" s="2962">
        <f>IFERROR(IF($G$122-$J$122&lt;0,"",($G44*VLOOKUP($E44,PO_Enrgy_8_Table,MATCH($E$81,PO_Enrgy_8_Hdr,0),FALSE)-($H44*VLOOKUP($E44,PO_Enrgy_8_Table,MATCH($H$81,PO_Enrgy_8_Hdr,0),FALSE)))/($G$122-$J$122)),"")</f>
        <v>0</v>
      </c>
      <c r="L44" s="2962"/>
      <c r="M44" s="2916">
        <f>IFERROR(H44*VLOOKUP($E44,PO_Enrgy_1_Table,MATCH($K$9,PO_Enrgy_1_Hdr,0))/$H$76,"")</f>
        <v>0</v>
      </c>
      <c r="Q44" s="1043">
        <f t="shared" si="0"/>
        <v>9.999999999999998E-4</v>
      </c>
      <c r="R44" s="1043">
        <f t="shared" si="1"/>
        <v>3.1399999999999996E-3</v>
      </c>
      <c r="V44" s="535">
        <f t="shared" si="2"/>
        <v>0</v>
      </c>
      <c r="W44" s="502">
        <f t="shared" si="3"/>
        <v>0</v>
      </c>
      <c r="X44" s="502">
        <f t="shared" si="4"/>
        <v>0</v>
      </c>
      <c r="Y44" s="502" t="b">
        <f>IFERROR(IF(D44="x",IF(OR(G44/H44&gt;1.03,G44/H44&lt;0.97),TRUE,FALSE),FALSE),FALSE)</f>
        <v>0</v>
      </c>
      <c r="Z44" s="502">
        <f>IFERROR(J44*100,)</f>
        <v>0</v>
      </c>
      <c r="AB44" s="502">
        <f>RANK(Z44,$Z$20:$Z$67,0)</f>
        <v>8</v>
      </c>
      <c r="AC44" s="502">
        <f>AB44+COUNTIF($AB$20:$AB43,AB44)</f>
        <v>12</v>
      </c>
      <c r="AD44" s="502" t="str">
        <f>B44</f>
        <v>Refrigeration equipment</v>
      </c>
      <c r="AE44" s="15"/>
      <c r="AF44" s="2827"/>
      <c r="AG44" s="2827"/>
      <c r="AH44" s="1066"/>
      <c r="AI44" s="788"/>
      <c r="AJ44" s="788"/>
      <c r="AK44" s="1195"/>
      <c r="AO44" s="535"/>
    </row>
    <row r="45" spans="1:41" ht="16.2" hidden="1" customHeight="1" x14ac:dyDescent="0.3">
      <c r="A45" s="1063" t="s">
        <v>1299</v>
      </c>
      <c r="B45" s="2794"/>
      <c r="C45" s="2794"/>
      <c r="D45" s="2961"/>
      <c r="E45" s="2960"/>
      <c r="F45" s="1221" t="str">
        <f>IFERROR(IF(ISBLANK(E44),"","Demand (" &amp; VLOOKUP($E44,PO_Enrgy_1_Table,MATCH($E$9,PO_Enrgy_1_Hdr,0),FALSE) &amp; ")"),"")</f>
        <v>Demand (kW)</v>
      </c>
      <c r="G45" s="1223">
        <v>0</v>
      </c>
      <c r="H45" s="1223">
        <v>0</v>
      </c>
      <c r="I45" s="1224" t="str">
        <f t="shared" si="5"/>
        <v/>
      </c>
      <c r="J45" s="2963"/>
      <c r="K45" s="2962"/>
      <c r="L45" s="2962"/>
      <c r="M45" s="2964"/>
      <c r="Q45" s="1043" t="str">
        <f t="shared" si="0"/>
        <v/>
      </c>
      <c r="R45" s="1043" t="str">
        <f t="shared" si="1"/>
        <v/>
      </c>
      <c r="V45" s="535">
        <f t="shared" si="2"/>
        <v>0</v>
      </c>
      <c r="W45" s="502">
        <f t="shared" si="3"/>
        <v>0</v>
      </c>
      <c r="X45" s="502">
        <f t="shared" si="4"/>
        <v>0</v>
      </c>
      <c r="AE45" s="15"/>
      <c r="AF45" s="2827"/>
      <c r="AG45" s="2827"/>
      <c r="AH45" s="1066"/>
      <c r="AI45" s="788"/>
      <c r="AJ45" s="788"/>
      <c r="AK45" s="1196"/>
      <c r="AO45" s="535"/>
    </row>
    <row r="46" spans="1:41" ht="16.2" hidden="1" customHeight="1" x14ac:dyDescent="0.3">
      <c r="A46" s="1063" t="s">
        <v>1299</v>
      </c>
      <c r="B46" s="2794" t="s">
        <v>469</v>
      </c>
      <c r="C46" s="2794"/>
      <c r="D46" s="2961" t="s">
        <v>465</v>
      </c>
      <c r="E46" s="2960" t="s">
        <v>464</v>
      </c>
      <c r="F46" s="1221" t="str">
        <f>IFERROR(IF(ISBLANK(E46),"","Consumption (" &amp; VLOOKUP($E46,PO_Enrgy_1_Table,MATCH($C$9,PO_Enrgy_1_Hdr,0),FALSE) &amp; ")"),"")</f>
        <v>Consumption (kWh)</v>
      </c>
      <c r="G46" s="1222">
        <v>0</v>
      </c>
      <c r="H46" s="1222">
        <v>0</v>
      </c>
      <c r="I46" s="1216" t="str">
        <f t="shared" si="5"/>
        <v/>
      </c>
      <c r="J46" s="2962">
        <f>IFERROR(IF($E$122-$H$122&lt;0,"",($G46-$H46)*VLOOKUP($E46,PO_Enrgy_1_Table,MATCH($K$9,PO_Enrgy_1_Hdr,0),FALSE)/($E$122-$H$122)),"")</f>
        <v>0</v>
      </c>
      <c r="K46" s="2962">
        <f>IFERROR(IF($G$122-$J$122&lt;0,"",($G46*VLOOKUP($E46,PO_Enrgy_8_Table,MATCH($E$81,PO_Enrgy_8_Hdr,0),FALSE)-($H46*VLOOKUP($E46,PO_Enrgy_8_Table,MATCH($H$81,PO_Enrgy_8_Hdr,0),FALSE)))/($G$122-$J$122)),"")</f>
        <v>0</v>
      </c>
      <c r="L46" s="2962"/>
      <c r="M46" s="2916">
        <f>IFERROR(H46*VLOOKUP($E46,PO_Enrgy_1_Table,MATCH($K$9,PO_Enrgy_1_Hdr,0))/$H$76,"")</f>
        <v>0</v>
      </c>
      <c r="Q46" s="1043">
        <f t="shared" si="0"/>
        <v>9.999999999999998E-4</v>
      </c>
      <c r="R46" s="1043">
        <f t="shared" si="1"/>
        <v>3.1399999999999996E-3</v>
      </c>
      <c r="V46" s="535">
        <f t="shared" si="2"/>
        <v>0</v>
      </c>
      <c r="W46" s="502">
        <f t="shared" si="3"/>
        <v>0</v>
      </c>
      <c r="X46" s="502">
        <f t="shared" si="4"/>
        <v>0</v>
      </c>
      <c r="Y46" s="502" t="b">
        <f>IFERROR(IF(D46="x",IF(OR(G46/H46&gt;1.03,G46/H46&lt;0.97),TRUE,FALSE),FALSE),FALSE)</f>
        <v>0</v>
      </c>
      <c r="Z46" s="502">
        <f>IFERROR(J46*100,)</f>
        <v>0</v>
      </c>
      <c r="AB46" s="502">
        <f>RANK(Z46,$Z$20:$Z$67,0)</f>
        <v>8</v>
      </c>
      <c r="AC46" s="502">
        <f>AB46+COUNTIF($AB$20:$AB45,AB46)</f>
        <v>13</v>
      </c>
      <c r="AD46" s="502" t="str">
        <f>B46</f>
        <v>Fans - Kitchen Ventilation</v>
      </c>
      <c r="AE46" s="15"/>
      <c r="AF46" s="2827"/>
      <c r="AG46" s="2827"/>
      <c r="AH46" s="1066"/>
      <c r="AI46" s="788"/>
      <c r="AJ46" s="788"/>
      <c r="AK46" s="1195"/>
      <c r="AO46" s="535"/>
    </row>
    <row r="47" spans="1:41" ht="16.2" hidden="1" customHeight="1" x14ac:dyDescent="0.3">
      <c r="A47" s="1063" t="s">
        <v>1299</v>
      </c>
      <c r="B47" s="2794"/>
      <c r="C47" s="2794"/>
      <c r="D47" s="2961"/>
      <c r="E47" s="2960"/>
      <c r="F47" s="1221" t="str">
        <f>IFERROR(IF(ISBLANK(E46),"","Demand (" &amp; VLOOKUP($E46,PO_Enrgy_1_Table,MATCH($E$9,PO_Enrgy_1_Hdr,0),FALSE) &amp; ")"),"")</f>
        <v>Demand (kW)</v>
      </c>
      <c r="G47" s="1223">
        <v>0</v>
      </c>
      <c r="H47" s="1223">
        <v>0</v>
      </c>
      <c r="I47" s="1224" t="str">
        <f t="shared" si="5"/>
        <v/>
      </c>
      <c r="J47" s="2963"/>
      <c r="K47" s="2962"/>
      <c r="L47" s="2962"/>
      <c r="M47" s="2964"/>
      <c r="Q47" s="1043" t="str">
        <f t="shared" si="0"/>
        <v/>
      </c>
      <c r="R47" s="1043" t="str">
        <f t="shared" si="1"/>
        <v/>
      </c>
      <c r="V47" s="535">
        <f t="shared" si="2"/>
        <v>0</v>
      </c>
      <c r="W47" s="502">
        <f t="shared" si="3"/>
        <v>0</v>
      </c>
      <c r="X47" s="502">
        <f t="shared" si="4"/>
        <v>0</v>
      </c>
      <c r="AE47" s="15"/>
      <c r="AF47" s="2827"/>
      <c r="AG47" s="2827"/>
      <c r="AH47" s="1066"/>
      <c r="AI47" s="788"/>
      <c r="AJ47" s="788"/>
      <c r="AK47" s="1196"/>
      <c r="AO47" s="535"/>
    </row>
    <row r="48" spans="1:41" ht="16.2" hidden="1" customHeight="1" x14ac:dyDescent="0.3">
      <c r="A48" s="1063" t="s">
        <v>1299</v>
      </c>
      <c r="B48" s="2794" t="s">
        <v>468</v>
      </c>
      <c r="C48" s="2794"/>
      <c r="D48" s="2961" t="s">
        <v>465</v>
      </c>
      <c r="E48" s="2960" t="s">
        <v>464</v>
      </c>
      <c r="F48" s="1221" t="str">
        <f>IFERROR(IF(ISBLANK(E48),"","Consumption (" &amp; VLOOKUP($E48,PO_Enrgy_1_Table,MATCH($C$9,PO_Enrgy_1_Hdr,0),FALSE) &amp; ")"),"")</f>
        <v>Consumption (kWh)</v>
      </c>
      <c r="G48" s="1222">
        <v>0</v>
      </c>
      <c r="H48" s="1222">
        <v>0</v>
      </c>
      <c r="I48" s="1216" t="str">
        <f t="shared" si="5"/>
        <v/>
      </c>
      <c r="J48" s="2962">
        <f>IFERROR(IF($E$122-$H$122&lt;0,"",($G48-$H48)*VLOOKUP($E48,PO_Enrgy_1_Table,MATCH($K$9,PO_Enrgy_1_Hdr,0),FALSE)/($E$122-$H$122)),"")</f>
        <v>0</v>
      </c>
      <c r="K48" s="2962">
        <f>IFERROR(IF($G$122-$J$122&lt;0,"",($G48*VLOOKUP($E48,PO_Enrgy_8_Table,MATCH($E$81,PO_Enrgy_8_Hdr,0),FALSE)-($H48*VLOOKUP($E48,PO_Enrgy_8_Table,MATCH($H$81,PO_Enrgy_8_Hdr,0),FALSE)))/($G$122-$J$122)),"")</f>
        <v>0</v>
      </c>
      <c r="L48" s="2962"/>
      <c r="M48" s="2916">
        <f>IFERROR(H48*VLOOKUP($E48,PO_Enrgy_1_Table,MATCH($K$9,PO_Enrgy_1_Hdr,0))/$H$76,"")</f>
        <v>0</v>
      </c>
      <c r="Q48" s="1043">
        <f t="shared" si="0"/>
        <v>9.999999999999998E-4</v>
      </c>
      <c r="R48" s="1043">
        <f t="shared" si="1"/>
        <v>3.1399999999999996E-3</v>
      </c>
      <c r="V48" s="535">
        <f t="shared" si="2"/>
        <v>0</v>
      </c>
      <c r="W48" s="502">
        <f t="shared" si="3"/>
        <v>0</v>
      </c>
      <c r="X48" s="502">
        <f t="shared" si="4"/>
        <v>0</v>
      </c>
      <c r="Y48" s="502" t="b">
        <f>IFERROR(IF(D48="x",IF(OR(G48/H48&gt;1.03,G48/H48&lt;0.97),TRUE,FALSE),FALSE),FALSE)</f>
        <v>0</v>
      </c>
      <c r="Z48" s="502">
        <f>IFERROR(J48*100,)</f>
        <v>0</v>
      </c>
      <c r="AB48" s="502">
        <f>RANK(Z48,$Z$20:$Z$67,0)</f>
        <v>8</v>
      </c>
      <c r="AC48" s="502">
        <f>AB48+COUNTIF($AB$20:$AB47,AB48)</f>
        <v>14</v>
      </c>
      <c r="AD48" s="502" t="str">
        <f>B48</f>
        <v>Cooking</v>
      </c>
      <c r="AE48" s="15"/>
      <c r="AF48" s="2827"/>
      <c r="AG48" s="2827"/>
      <c r="AH48" s="1066"/>
      <c r="AI48" s="788"/>
      <c r="AJ48" s="788"/>
      <c r="AK48" s="1195"/>
      <c r="AO48" s="535"/>
    </row>
    <row r="49" spans="1:41" ht="16.2" hidden="1" customHeight="1" x14ac:dyDescent="0.3">
      <c r="A49" s="1063" t="s">
        <v>1299</v>
      </c>
      <c r="B49" s="2794"/>
      <c r="C49" s="2794"/>
      <c r="D49" s="2961"/>
      <c r="E49" s="2960"/>
      <c r="F49" s="1221" t="str">
        <f>IFERROR(IF(ISBLANK(E48),"","Demand (" &amp; VLOOKUP($E48,PO_Enrgy_1_Table,MATCH($E$9,PO_Enrgy_1_Hdr,0),FALSE) &amp; ")"),"")</f>
        <v>Demand (kW)</v>
      </c>
      <c r="G49" s="1223">
        <v>0</v>
      </c>
      <c r="H49" s="1223">
        <v>0</v>
      </c>
      <c r="I49" s="1224" t="str">
        <f t="shared" si="5"/>
        <v/>
      </c>
      <c r="J49" s="2963"/>
      <c r="K49" s="2962"/>
      <c r="L49" s="2962"/>
      <c r="M49" s="2964"/>
      <c r="Q49" s="1043" t="str">
        <f t="shared" si="0"/>
        <v/>
      </c>
      <c r="R49" s="1043" t="str">
        <f t="shared" si="1"/>
        <v/>
      </c>
      <c r="V49" s="535">
        <f t="shared" si="2"/>
        <v>0</v>
      </c>
      <c r="W49" s="502">
        <f t="shared" si="3"/>
        <v>0</v>
      </c>
      <c r="X49" s="502">
        <f t="shared" si="4"/>
        <v>0</v>
      </c>
      <c r="AE49" s="15"/>
      <c r="AF49" s="2827"/>
      <c r="AG49" s="2827"/>
      <c r="AH49" s="1066"/>
      <c r="AI49" s="788"/>
      <c r="AJ49" s="788"/>
      <c r="AK49" s="1196"/>
      <c r="AO49" s="535"/>
    </row>
    <row r="50" spans="1:41" ht="16.2" hidden="1" customHeight="1" x14ac:dyDescent="0.3">
      <c r="A50" s="1063" t="s">
        <v>1299</v>
      </c>
      <c r="B50" s="2794" t="s">
        <v>467</v>
      </c>
      <c r="C50" s="2794"/>
      <c r="D50" s="2961" t="s">
        <v>465</v>
      </c>
      <c r="E50" s="2960" t="s">
        <v>464</v>
      </c>
      <c r="F50" s="1221" t="str">
        <f>IFERROR(IF(ISBLANK(E50),"","Consumption (" &amp; VLOOKUP($E50,PO_Enrgy_1_Table,MATCH($C$9,PO_Enrgy_1_Hdr,0),FALSE) &amp; ")"),"")</f>
        <v>Consumption (kWh)</v>
      </c>
      <c r="G50" s="1222">
        <v>0</v>
      </c>
      <c r="H50" s="1222">
        <v>0</v>
      </c>
      <c r="I50" s="1216" t="str">
        <f t="shared" si="5"/>
        <v/>
      </c>
      <c r="J50" s="2962">
        <f>IFERROR(IF($E$122-$H$122&lt;0,"",($G50-$H50)*VLOOKUP($E50,PO_Enrgy_1_Table,MATCH($K$9,PO_Enrgy_1_Hdr,0),FALSE)/($E$122-$H$122)),"")</f>
        <v>0</v>
      </c>
      <c r="K50" s="2962">
        <f>IFERROR(IF($G$122-$J$122&lt;0,"",($G50*VLOOKUP($E50,PO_Enrgy_8_Table,MATCH($E$81,PO_Enrgy_8_Hdr,0),FALSE)-($H50*VLOOKUP($E50,PO_Enrgy_8_Table,MATCH($H$81,PO_Enrgy_8_Hdr,0),FALSE)))/($G$122-$J$122)),"")</f>
        <v>0</v>
      </c>
      <c r="L50" s="2962"/>
      <c r="M50" s="2916">
        <f>IFERROR(H50*VLOOKUP($E50,PO_Enrgy_1_Table,MATCH($K$9,PO_Enrgy_1_Hdr,0))/$H$76,"")</f>
        <v>0</v>
      </c>
      <c r="Q50" s="1043">
        <f t="shared" si="0"/>
        <v>9.999999999999998E-4</v>
      </c>
      <c r="R50" s="1043">
        <f t="shared" si="1"/>
        <v>3.1399999999999996E-3</v>
      </c>
      <c r="V50" s="535">
        <f t="shared" si="2"/>
        <v>0</v>
      </c>
      <c r="W50" s="502">
        <f t="shared" si="3"/>
        <v>0</v>
      </c>
      <c r="X50" s="502">
        <f t="shared" si="4"/>
        <v>0</v>
      </c>
      <c r="Y50" s="502" t="b">
        <f>IFERROR(IF(D50="x",IF(OR(G50/H50&gt;1.03,G50/H50&lt;0.97),TRUE,FALSE),FALSE),FALSE)</f>
        <v>0</v>
      </c>
      <c r="Z50" s="502">
        <f>IFERROR(J50*100,)</f>
        <v>0</v>
      </c>
      <c r="AB50" s="502">
        <f>RANK(Z50,$Z$20:$Z$67,0)</f>
        <v>8</v>
      </c>
      <c r="AC50" s="502">
        <f>AB50+COUNTIF($AB$20:$AB49,AB50)</f>
        <v>15</v>
      </c>
      <c r="AD50" s="502" t="str">
        <f>B50</f>
        <v>Industrial Process</v>
      </c>
      <c r="AE50" s="15"/>
      <c r="AF50" s="2827"/>
      <c r="AG50" s="2827"/>
      <c r="AH50" s="1066"/>
      <c r="AI50" s="788"/>
      <c r="AJ50" s="788"/>
      <c r="AK50" s="1195"/>
      <c r="AO50" s="535"/>
    </row>
    <row r="51" spans="1:41" ht="16.2" hidden="1" customHeight="1" x14ac:dyDescent="0.3">
      <c r="A51" s="1063" t="s">
        <v>1299</v>
      </c>
      <c r="B51" s="2794"/>
      <c r="C51" s="2794"/>
      <c r="D51" s="2961"/>
      <c r="E51" s="2960"/>
      <c r="F51" s="1221" t="str">
        <f>IFERROR(IF(ISBLANK(E50),"","Demand (" &amp; VLOOKUP($E50,PO_Enrgy_1_Table,MATCH($E$9,PO_Enrgy_1_Hdr,0),FALSE) &amp; ")"),"")</f>
        <v>Demand (kW)</v>
      </c>
      <c r="G51" s="1223">
        <v>0</v>
      </c>
      <c r="H51" s="1223">
        <v>0</v>
      </c>
      <c r="I51" s="1224" t="str">
        <f t="shared" si="5"/>
        <v/>
      </c>
      <c r="J51" s="2963"/>
      <c r="K51" s="2962"/>
      <c r="L51" s="2962"/>
      <c r="M51" s="2964"/>
      <c r="Q51" s="1043" t="str">
        <f t="shared" si="0"/>
        <v/>
      </c>
      <c r="R51" s="1043" t="str">
        <f t="shared" si="1"/>
        <v/>
      </c>
      <c r="V51" s="535">
        <f t="shared" si="2"/>
        <v>0</v>
      </c>
      <c r="W51" s="502">
        <f t="shared" si="3"/>
        <v>0</v>
      </c>
      <c r="X51" s="502">
        <f t="shared" si="4"/>
        <v>0</v>
      </c>
      <c r="AE51" s="15"/>
      <c r="AF51" s="2827"/>
      <c r="AG51" s="2827"/>
      <c r="AH51" s="1066"/>
      <c r="AI51" s="788"/>
      <c r="AJ51" s="788"/>
      <c r="AK51" s="1196"/>
      <c r="AO51" s="535"/>
    </row>
    <row r="52" spans="1:41" ht="16.2" hidden="1" customHeight="1" x14ac:dyDescent="0.3">
      <c r="A52" s="1063" t="s">
        <v>1299</v>
      </c>
      <c r="B52" s="2794" t="s">
        <v>466</v>
      </c>
      <c r="C52" s="2794"/>
      <c r="D52" s="2961" t="s">
        <v>465</v>
      </c>
      <c r="E52" s="2960" t="s">
        <v>464</v>
      </c>
      <c r="F52" s="1221" t="str">
        <f>IFERROR(IF(ISBLANK(E52),"","Consumption (" &amp; VLOOKUP($E52,PO_Enrgy_1_Table,MATCH($C$9,PO_Enrgy_1_Hdr,0),FALSE) &amp; ")"),"")</f>
        <v>Consumption (kWh)</v>
      </c>
      <c r="G52" s="1222">
        <v>77806.14</v>
      </c>
      <c r="H52" s="1222">
        <v>77806.14</v>
      </c>
      <c r="I52" s="1216">
        <f t="shared" si="5"/>
        <v>0</v>
      </c>
      <c r="J52" s="2962">
        <f>IFERROR(IF($E$122-$H$122&lt;0,"",($G52-$H52)*VLOOKUP($E52,PO_Enrgy_1_Table,MATCH($K$9,PO_Enrgy_1_Hdr,0),FALSE)/($E$122-$H$122)),"")</f>
        <v>0</v>
      </c>
      <c r="K52" s="2962">
        <f>IFERROR(IF($G$122-$J$122&lt;0,"",($G52*VLOOKUP($E52,PO_Enrgy_8_Table,MATCH($E$81,PO_Enrgy_8_Hdr,0),FALSE)-($H52*VLOOKUP($E52,PO_Enrgy_8_Table,MATCH($H$81,PO_Enrgy_8_Hdr,0),FALSE)))/($G$122-$J$122)),"")</f>
        <v>0</v>
      </c>
      <c r="L52" s="2962"/>
      <c r="M52" s="2916">
        <f>IFERROR(H52*VLOOKUP($E52,PO_Enrgy_1_Table,MATCH($K$9,PO_Enrgy_1_Hdr,0))/$H$76,"")</f>
        <v>1.870424140375649E-2</v>
      </c>
      <c r="Q52" s="1043">
        <f t="shared" si="0"/>
        <v>9.999999999999998E-4</v>
      </c>
      <c r="R52" s="1043">
        <f t="shared" si="1"/>
        <v>3.1399999999999996E-3</v>
      </c>
      <c r="V52" s="535">
        <f t="shared" si="2"/>
        <v>0</v>
      </c>
      <c r="W52" s="502">
        <f t="shared" si="3"/>
        <v>0</v>
      </c>
      <c r="X52" s="502">
        <f t="shared" si="4"/>
        <v>0</v>
      </c>
      <c r="Y52" s="502" t="b">
        <f>IFERROR(IF(D52="x",IF(OR(G52/H52&gt;1.03,G52/H52&lt;0.97),TRUE,FALSE),FALSE),FALSE)</f>
        <v>0</v>
      </c>
      <c r="Z52" s="502">
        <f>IFERROR(J52*100,)</f>
        <v>0</v>
      </c>
      <c r="AB52" s="502">
        <f>RANK(Z52,$Z$20:$Z$67,0)</f>
        <v>8</v>
      </c>
      <c r="AC52" s="502">
        <f>AB52+COUNTIF($AB$20:$AB51,AB52)</f>
        <v>16</v>
      </c>
      <c r="AD52" s="502" t="str">
        <f>B52</f>
        <v>Elevators and escalators</v>
      </c>
      <c r="AE52" s="15"/>
      <c r="AF52" s="2827"/>
      <c r="AG52" s="2827"/>
      <c r="AH52" s="1066"/>
      <c r="AI52" s="788"/>
      <c r="AJ52" s="788"/>
      <c r="AK52" s="1195"/>
      <c r="AO52" s="535"/>
    </row>
    <row r="53" spans="1:41" ht="16.2" hidden="1" customHeight="1" x14ac:dyDescent="0.3">
      <c r="A53" s="1063" t="s">
        <v>1299</v>
      </c>
      <c r="B53" s="2794"/>
      <c r="C53" s="2794"/>
      <c r="D53" s="2961"/>
      <c r="E53" s="2960"/>
      <c r="F53" s="1221" t="str">
        <f>IFERROR(IF(ISBLANK(E52),"","Demand (" &amp; VLOOKUP($E52,PO_Enrgy_1_Table,MATCH($E$9,PO_Enrgy_1_Hdr,0),FALSE) &amp; ")"),"")</f>
        <v>Demand (kW)</v>
      </c>
      <c r="G53" s="1223">
        <v>38.682000000000002</v>
      </c>
      <c r="H53" s="1223">
        <v>38.700000000000003</v>
      </c>
      <c r="I53" s="1224">
        <f t="shared" si="5"/>
        <v>-4.6533271288984324E-4</v>
      </c>
      <c r="J53" s="2963"/>
      <c r="K53" s="2962"/>
      <c r="L53" s="2962"/>
      <c r="M53" s="2964"/>
      <c r="Q53" s="1043" t="str">
        <f t="shared" si="0"/>
        <v/>
      </c>
      <c r="R53" s="1043" t="str">
        <f t="shared" si="1"/>
        <v/>
      </c>
      <c r="V53" s="535">
        <f t="shared" si="2"/>
        <v>0</v>
      </c>
      <c r="W53" s="502">
        <f t="shared" si="3"/>
        <v>0</v>
      </c>
      <c r="X53" s="502">
        <f t="shared" si="4"/>
        <v>0</v>
      </c>
      <c r="AE53" s="15"/>
      <c r="AF53" s="2827"/>
      <c r="AG53" s="2827"/>
      <c r="AH53" s="1066"/>
      <c r="AI53" s="788"/>
      <c r="AJ53" s="788"/>
      <c r="AK53" s="1196"/>
      <c r="AO53" s="535"/>
    </row>
    <row r="54" spans="1:41" ht="16.2" hidden="1" customHeight="1" x14ac:dyDescent="0.3">
      <c r="A54" s="1063" t="s">
        <v>1299</v>
      </c>
      <c r="B54" s="2794" t="s">
        <v>1090</v>
      </c>
      <c r="C54" s="2794"/>
      <c r="D54" s="2961">
        <v>0</v>
      </c>
      <c r="E54" s="2960" t="s">
        <v>464</v>
      </c>
      <c r="F54" s="1221" t="str">
        <f>IFERROR(IF(ISBLANK(E54),"","Consumption (" &amp; VLOOKUP($E54,PO_Enrgy_1_Table,MATCH($C$9,PO_Enrgy_1_Hdr,0),FALSE) &amp; ")"),"")</f>
        <v>Consumption (kWh)</v>
      </c>
      <c r="G54" s="1222">
        <v>0</v>
      </c>
      <c r="H54" s="1222">
        <v>0</v>
      </c>
      <c r="I54" s="1216" t="str">
        <f t="shared" si="5"/>
        <v/>
      </c>
      <c r="J54" s="2962">
        <f>IFERROR(IF($E$122-$H$122&lt;0,"",($G54-$H54)*VLOOKUP($E54,PO_Enrgy_1_Table,MATCH($K$9,PO_Enrgy_1_Hdr,0),FALSE)/($E$122-$H$122)),"")</f>
        <v>0</v>
      </c>
      <c r="K54" s="2962">
        <f>IFERROR(IF($G$122-$J$122&lt;0,"",($G54*VLOOKUP($E54,PO_Enrgy_8_Table,MATCH($E$81,PO_Enrgy_8_Hdr,0),FALSE)-($H54*VLOOKUP($E54,PO_Enrgy_8_Table,MATCH($H$81,PO_Enrgy_8_Hdr,0),FALSE)))/($G$122-$J$122)),"")</f>
        <v>0</v>
      </c>
      <c r="L54" s="2962"/>
      <c r="M54" s="2916">
        <f>IFERROR(H54*VLOOKUP($E54,PO_Enrgy_1_Table,MATCH($K$9,PO_Enrgy_1_Hdr,0))/$H$76,"")</f>
        <v>0</v>
      </c>
      <c r="Q54" s="1043">
        <f t="shared" si="0"/>
        <v>9.999999999999998E-4</v>
      </c>
      <c r="R54" s="1043">
        <f t="shared" si="1"/>
        <v>3.1399999999999996E-3</v>
      </c>
      <c r="V54" s="535">
        <f t="shared" si="2"/>
        <v>0</v>
      </c>
      <c r="W54" s="502">
        <f t="shared" si="3"/>
        <v>0</v>
      </c>
      <c r="X54" s="502">
        <f t="shared" si="4"/>
        <v>0</v>
      </c>
      <c r="Y54" s="502" t="b">
        <f>IFERROR(IF(D54="x",IF(OR(G54/H54&gt;1.03,G54/H54&lt;0.97),TRUE,FALSE),FALSE),FALSE)</f>
        <v>0</v>
      </c>
      <c r="Z54" s="502">
        <f>IFERROR(J54*100,)</f>
        <v>0</v>
      </c>
      <c r="AB54" s="502">
        <f>RANK(Z54,$Z$20:$Z$67,0)</f>
        <v>8</v>
      </c>
      <c r="AC54" s="502">
        <f>AB54+COUNTIF($AB$20:$AB53,AB54)</f>
        <v>17</v>
      </c>
      <c r="AD54" s="502" t="str">
        <f>B54</f>
        <v>Heat Pump Supplementary</v>
      </c>
      <c r="AE54" s="15"/>
      <c r="AF54" s="2827"/>
      <c r="AG54" s="2827"/>
      <c r="AH54" s="1066"/>
      <c r="AI54" s="788"/>
      <c r="AJ54" s="788"/>
      <c r="AK54" s="1195"/>
      <c r="AO54" s="535"/>
    </row>
    <row r="55" spans="1:41" ht="16.2" hidden="1" customHeight="1" x14ac:dyDescent="0.3">
      <c r="A55" s="1063" t="s">
        <v>1299</v>
      </c>
      <c r="B55" s="2794"/>
      <c r="C55" s="2794"/>
      <c r="D55" s="2961"/>
      <c r="E55" s="2960"/>
      <c r="F55" s="1221" t="str">
        <f>IFERROR(IF(ISBLANK(E54),"","Demand (" &amp; VLOOKUP($E54,PO_Enrgy_1_Table,MATCH($E$9,PO_Enrgy_1_Hdr,0),FALSE) &amp; ")"),"")</f>
        <v>Demand (kW)</v>
      </c>
      <c r="G55" s="1223">
        <v>0</v>
      </c>
      <c r="H55" s="1223">
        <v>0</v>
      </c>
      <c r="I55" s="1224" t="str">
        <f t="shared" si="5"/>
        <v/>
      </c>
      <c r="J55" s="2963"/>
      <c r="K55" s="2962"/>
      <c r="L55" s="2962"/>
      <c r="M55" s="2964"/>
      <c r="Q55" s="1043" t="str">
        <f t="shared" si="0"/>
        <v/>
      </c>
      <c r="R55" s="1043" t="str">
        <f t="shared" si="1"/>
        <v/>
      </c>
      <c r="V55" s="535">
        <f t="shared" si="2"/>
        <v>0</v>
      </c>
      <c r="W55" s="502">
        <f t="shared" si="3"/>
        <v>0</v>
      </c>
      <c r="X55" s="502">
        <f t="shared" si="4"/>
        <v>0</v>
      </c>
      <c r="AE55" s="15"/>
      <c r="AF55" s="2827"/>
      <c r="AG55" s="2827"/>
      <c r="AH55" s="1066"/>
      <c r="AI55" s="788"/>
      <c r="AJ55" s="788"/>
      <c r="AK55" s="1196"/>
      <c r="AO55" s="535"/>
    </row>
    <row r="56" spans="1:41" ht="16.2" hidden="1" customHeight="1" x14ac:dyDescent="0.3">
      <c r="A56" s="1063" t="s">
        <v>1299</v>
      </c>
      <c r="B56" s="2960" t="s">
        <v>2256</v>
      </c>
      <c r="C56" s="2960"/>
      <c r="D56" s="2961" t="s">
        <v>465</v>
      </c>
      <c r="E56" s="2960" t="s">
        <v>464</v>
      </c>
      <c r="F56" s="1221" t="str">
        <f>IFERROR(IF(ISBLANK(E56),"","Consumption (" &amp; VLOOKUP($E56,PO_Enrgy_1_Table,MATCH($C$9,PO_Enrgy_1_Hdr,0),FALSE) &amp; ")"),"")</f>
        <v>Consumption (kWh)</v>
      </c>
      <c r="G56" s="1222">
        <v>94371.92</v>
      </c>
      <c r="H56" s="1222">
        <v>94371.92</v>
      </c>
      <c r="I56" s="1216">
        <f t="shared" si="5"/>
        <v>0</v>
      </c>
      <c r="J56" s="2962">
        <f>IFERROR(IF($E$122-$H$122&lt;0,"",($G56-$H56)*VLOOKUP($E56,PO_Enrgy_1_Table,MATCH($K$9,PO_Enrgy_1_Hdr,0),FALSE)/($E$122-$H$122)),"")</f>
        <v>0</v>
      </c>
      <c r="K56" s="2962">
        <f>IFERROR(IF($G$122-$J$122&lt;0,"",($G56*VLOOKUP($E56,PO_Enrgy_8_Table,MATCH($E$81,PO_Enrgy_8_Hdr,0),FALSE)-($H56*VLOOKUP($E56,PO_Enrgy_8_Table,MATCH($H$81,PO_Enrgy_8_Hdr,0),FALSE)))/($G$122-$J$122)),"")</f>
        <v>0</v>
      </c>
      <c r="L56" s="2962"/>
      <c r="M56" s="2916">
        <f>IFERROR(H56*VLOOKUP($E56,PO_Enrgy_1_Table,MATCH($K$9,PO_Enrgy_1_Hdr,0))/$H$76,"")</f>
        <v>2.2686579406406681E-2</v>
      </c>
      <c r="Q56" s="1043">
        <f t="shared" si="0"/>
        <v>9.999999999999998E-4</v>
      </c>
      <c r="R56" s="1043">
        <f t="shared" si="1"/>
        <v>3.1399999999999996E-3</v>
      </c>
      <c r="V56" s="535">
        <f t="shared" si="2"/>
        <v>0</v>
      </c>
      <c r="W56" s="502">
        <f t="shared" si="3"/>
        <v>0</v>
      </c>
      <c r="X56" s="502">
        <f t="shared" si="4"/>
        <v>0</v>
      </c>
      <c r="Y56" s="502" t="b">
        <f>IFERROR(IF(D56="x",IF(OR(G56/H56&gt;1.03,G56/H56&lt;0.97),TRUE,FALSE),FALSE),FALSE)</f>
        <v>0</v>
      </c>
      <c r="Z56" s="502">
        <f>IFERROR(J56*100,)</f>
        <v>0</v>
      </c>
      <c r="AB56" s="502">
        <f>RANK(Z56,$Z$20:$Z$67,0)</f>
        <v>8</v>
      </c>
      <c r="AC56" s="502">
        <f>AB56+COUNTIF($AB$20:$AB55,AB56)</f>
        <v>18</v>
      </c>
      <c r="AD56" s="502" t="str">
        <f>B56</f>
        <v>Exhaust Fans</v>
      </c>
      <c r="AE56" s="15"/>
      <c r="AF56" s="2827"/>
      <c r="AG56" s="2827"/>
      <c r="AH56" s="1066"/>
      <c r="AI56" s="788"/>
      <c r="AJ56" s="788"/>
      <c r="AK56" s="1195"/>
      <c r="AO56" s="535"/>
    </row>
    <row r="57" spans="1:41" ht="16.2" hidden="1" customHeight="1" x14ac:dyDescent="0.3">
      <c r="A57" s="1063" t="s">
        <v>1299</v>
      </c>
      <c r="B57" s="2960"/>
      <c r="C57" s="2960"/>
      <c r="D57" s="2961"/>
      <c r="E57" s="2960"/>
      <c r="F57" s="1221" t="str">
        <f>IFERROR(IF(ISBLANK(E56),"","Demand (" &amp; VLOOKUP($E56,PO_Enrgy_1_Table,MATCH($E$9,PO_Enrgy_1_Hdr,0),FALSE) &amp; ")"),"")</f>
        <v>Demand (kW)</v>
      </c>
      <c r="G57" s="1223">
        <v>23.04</v>
      </c>
      <c r="H57" s="1223">
        <v>23.04</v>
      </c>
      <c r="I57" s="1224">
        <f t="shared" si="5"/>
        <v>0</v>
      </c>
      <c r="J57" s="2963"/>
      <c r="K57" s="2962"/>
      <c r="L57" s="2962"/>
      <c r="M57" s="2964"/>
      <c r="Q57" s="1043" t="str">
        <f t="shared" si="0"/>
        <v/>
      </c>
      <c r="R57" s="1043" t="str">
        <f t="shared" si="1"/>
        <v/>
      </c>
      <c r="V57" s="535">
        <f t="shared" si="2"/>
        <v>0</v>
      </c>
      <c r="W57" s="502">
        <f t="shared" si="3"/>
        <v>0</v>
      </c>
      <c r="X57" s="502">
        <f t="shared" si="4"/>
        <v>0</v>
      </c>
      <c r="AE57" s="15"/>
      <c r="AF57" s="2827"/>
      <c r="AG57" s="2827"/>
      <c r="AH57" s="1066"/>
      <c r="AI57" s="788"/>
      <c r="AJ57" s="788"/>
      <c r="AK57" s="1196"/>
      <c r="AO57" s="535"/>
    </row>
    <row r="58" spans="1:41" ht="16.2" hidden="1" customHeight="1" x14ac:dyDescent="0.3">
      <c r="A58" s="1063" t="s">
        <v>1299</v>
      </c>
      <c r="B58" s="2960" t="s">
        <v>2327</v>
      </c>
      <c r="C58" s="2960"/>
      <c r="D58" s="2961">
        <v>0</v>
      </c>
      <c r="E58" s="2960" t="s">
        <v>464</v>
      </c>
      <c r="F58" s="1221" t="str">
        <f>IFERROR(IF(ISBLANK(E58),"","Consumption (" &amp; VLOOKUP($E58,PO_Enrgy_1_Table,MATCH($C$9,PO_Enrgy_1_Hdr,0),FALSE) &amp; ")"),"")</f>
        <v>Consumption (kWh)</v>
      </c>
      <c r="G58" s="1222">
        <v>0</v>
      </c>
      <c r="H58" s="1222">
        <v>7196.01</v>
      </c>
      <c r="I58" s="1216" t="str">
        <f t="shared" si="5"/>
        <v/>
      </c>
      <c r="J58" s="2962">
        <f>IFERROR(IF($E$122-$H$122&lt;0,"",($G58-$H58)*VLOOKUP($E58,PO_Enrgy_1_Table,MATCH($K$9,PO_Enrgy_1_Hdr,0),FALSE)/($E$122-$H$122)),"")</f>
        <v>-1.1502461051302003E-2</v>
      </c>
      <c r="K58" s="2962">
        <f>IFERROR(IF($G$122-$J$122&lt;0,"",($G58*VLOOKUP($E58,PO_Enrgy_8_Table,MATCH($E$81,PO_Enrgy_8_Hdr,0),FALSE)-($H58*VLOOKUP($E58,PO_Enrgy_8_Table,MATCH($H$81,PO_Enrgy_8_Hdr,0),FALSE)))/($G$122-$J$122)),"")</f>
        <v>-1.150246105130198E-2</v>
      </c>
      <c r="L58" s="2962"/>
      <c r="M58" s="2916">
        <f>IFERROR(H58*VLOOKUP($E58,PO_Enrgy_1_Table,MATCH($K$9,PO_Enrgy_1_Hdr,0))/$H$76,"")</f>
        <v>1.7298880034897727E-3</v>
      </c>
      <c r="Q58" s="1043">
        <f t="shared" si="0"/>
        <v>9.999999999999998E-4</v>
      </c>
      <c r="R58" s="1043">
        <f t="shared" si="1"/>
        <v>3.1399999999999996E-3</v>
      </c>
      <c r="V58" s="535">
        <f t="shared" si="2"/>
        <v>0</v>
      </c>
      <c r="W58" s="502">
        <f t="shared" si="3"/>
        <v>0</v>
      </c>
      <c r="X58" s="502">
        <f t="shared" si="4"/>
        <v>0</v>
      </c>
      <c r="Y58" s="502" t="b">
        <f>IFERROR(IF(D58="x",IF(OR(G58/H58&gt;1.03,G58/H58&lt;0.97),TRUE,FALSE),FALSE),FALSE)</f>
        <v>0</v>
      </c>
      <c r="Z58" s="502">
        <f>IFERROR(J58*100,)</f>
        <v>-1.1502461051302002</v>
      </c>
      <c r="AB58" s="502">
        <f>RANK(Z58,$Z$20:$Z$67,0)</f>
        <v>23</v>
      </c>
      <c r="AC58" s="502">
        <f>AB58+COUNTIF($AB$20:$AB57,AB58)</f>
        <v>23</v>
      </c>
      <c r="AD58" s="502" t="str">
        <f>B58</f>
        <v>Heat Recovery</v>
      </c>
      <c r="AE58" s="15"/>
      <c r="AF58" s="2827"/>
      <c r="AG58" s="2827"/>
      <c r="AH58" s="1066"/>
      <c r="AI58" s="788"/>
      <c r="AJ58" s="788"/>
      <c r="AK58" s="1195"/>
      <c r="AO58" s="535"/>
    </row>
    <row r="59" spans="1:41" ht="15.75" hidden="1" customHeight="1" x14ac:dyDescent="0.3">
      <c r="A59" s="1063" t="s">
        <v>1299</v>
      </c>
      <c r="B59" s="2960"/>
      <c r="C59" s="2960"/>
      <c r="D59" s="2961"/>
      <c r="E59" s="2960"/>
      <c r="F59" s="1221" t="str">
        <f>IFERROR(IF(ISBLANK(E58),"","Demand (" &amp; VLOOKUP($E58,PO_Enrgy_1_Table,MATCH($E$9,PO_Enrgy_1_Hdr,0),FALSE) &amp; ")"),"")</f>
        <v>Demand (kW)</v>
      </c>
      <c r="G59" s="1223">
        <v>0</v>
      </c>
      <c r="H59" s="1223">
        <v>1.5</v>
      </c>
      <c r="I59" s="1224" t="str">
        <f t="shared" si="5"/>
        <v/>
      </c>
      <c r="J59" s="2963"/>
      <c r="K59" s="2962"/>
      <c r="L59" s="2962"/>
      <c r="M59" s="2964"/>
      <c r="Q59" s="1043" t="str">
        <f t="shared" si="0"/>
        <v/>
      </c>
      <c r="R59" s="1043" t="str">
        <f t="shared" si="1"/>
        <v/>
      </c>
      <c r="V59" s="535">
        <f t="shared" si="2"/>
        <v>0</v>
      </c>
      <c r="W59" s="502">
        <f t="shared" si="3"/>
        <v>0</v>
      </c>
      <c r="X59" s="502">
        <f t="shared" si="4"/>
        <v>0</v>
      </c>
      <c r="AE59" s="15"/>
      <c r="AF59" s="2827"/>
      <c r="AG59" s="2827"/>
      <c r="AH59" s="1066"/>
      <c r="AI59" s="788"/>
      <c r="AJ59" s="788"/>
      <c r="AK59" s="1196"/>
      <c r="AO59" s="535"/>
    </row>
    <row r="60" spans="1:41" ht="16.2" hidden="1" customHeight="1" x14ac:dyDescent="0.3">
      <c r="A60" s="1063" t="s">
        <v>1299</v>
      </c>
      <c r="B60" s="2960">
        <v>0</v>
      </c>
      <c r="C60" s="2960"/>
      <c r="D60" s="2961">
        <v>0</v>
      </c>
      <c r="E60" s="2960">
        <v>0</v>
      </c>
      <c r="F60" s="1221" t="str">
        <f>IFERROR(IF(ISBLANK(E60),"","Consumption (" &amp; VLOOKUP($E60,PO_Enrgy_1_Table,MATCH($C$9,PO_Enrgy_1_Hdr,0),FALSE) &amp; ")"),"")</f>
        <v/>
      </c>
      <c r="G60" s="1222">
        <v>0</v>
      </c>
      <c r="H60" s="1222">
        <v>0</v>
      </c>
      <c r="I60" s="1216" t="str">
        <f t="shared" si="5"/>
        <v/>
      </c>
      <c r="J60" s="2962" t="str">
        <f>IFERROR(IF($E$122-$H$122&lt;0,"",($G60-$H60)*VLOOKUP($E60,PO_Enrgy_1_Table,MATCH($K$9,PO_Enrgy_1_Hdr,0),FALSE)/($E$122-$H$122)),"")</f>
        <v/>
      </c>
      <c r="K60" s="2962" t="str">
        <f>IFERROR(IF($G$122-$J$122&lt;0,"",($G60*VLOOKUP($E60,PO_Enrgy_8_Table,MATCH($E$81,PO_Enrgy_8_Hdr,0),FALSE)-($H60*VLOOKUP($E60,PO_Enrgy_8_Table,MATCH($H$81,PO_Enrgy_8_Hdr,0),FALSE)))/($G$122-$J$122)),"")</f>
        <v/>
      </c>
      <c r="L60" s="2962"/>
      <c r="M60" s="2916" t="str">
        <f>IFERROR(H60*VLOOKUP($E60,PO_Enrgy_1_Table,MATCH($K$9,PO_Enrgy_1_Hdr,0))/$H$76,"")</f>
        <v/>
      </c>
      <c r="Q60" s="1043" t="str">
        <f t="shared" si="0"/>
        <v/>
      </c>
      <c r="R60" s="1043" t="str">
        <f t="shared" si="1"/>
        <v/>
      </c>
      <c r="V60" s="535">
        <f t="shared" si="2"/>
        <v>0</v>
      </c>
      <c r="W60" s="502">
        <f t="shared" si="3"/>
        <v>0</v>
      </c>
      <c r="X60" s="502">
        <f t="shared" si="4"/>
        <v>0</v>
      </c>
      <c r="Y60" s="502" t="b">
        <f>IFERROR(IF(D60="x",IF(OR(G60/H60&gt;1.03,G60/H60&lt;0.97),TRUE,FALSE),FALSE),FALSE)</f>
        <v>0</v>
      </c>
      <c r="Z60" s="502">
        <f>IFERROR(J60*100,)</f>
        <v>0</v>
      </c>
      <c r="AB60" s="502">
        <f>RANK(Z60,$Z$20:$Z$67,0)</f>
        <v>8</v>
      </c>
      <c r="AC60" s="502">
        <f>AB60+COUNTIF($AB$20:$AB59,AB60)</f>
        <v>19</v>
      </c>
      <c r="AD60" s="502">
        <f>B60</f>
        <v>0</v>
      </c>
      <c r="AE60" s="15"/>
      <c r="AF60" s="2827"/>
      <c r="AG60" s="2827"/>
      <c r="AH60" s="1066"/>
      <c r="AI60" s="788"/>
      <c r="AJ60" s="788"/>
      <c r="AK60" s="1195"/>
      <c r="AO60" s="535"/>
    </row>
    <row r="61" spans="1:41" ht="16.5" hidden="1" customHeight="1" x14ac:dyDescent="0.3">
      <c r="A61" s="1063" t="s">
        <v>1299</v>
      </c>
      <c r="B61" s="2960"/>
      <c r="C61" s="2960"/>
      <c r="D61" s="2961"/>
      <c r="E61" s="2960"/>
      <c r="F61" s="1221" t="str">
        <f>IFERROR(IF(ISBLANK(E60),"","Demand (" &amp; VLOOKUP($E60,PO_Enrgy_1_Table,MATCH($E$9,PO_Enrgy_1_Hdr,0),FALSE) &amp; ")"),"")</f>
        <v/>
      </c>
      <c r="G61" s="1223">
        <v>0</v>
      </c>
      <c r="H61" s="1223">
        <v>0</v>
      </c>
      <c r="I61" s="1224" t="str">
        <f t="shared" si="5"/>
        <v/>
      </c>
      <c r="J61" s="2963"/>
      <c r="K61" s="2962"/>
      <c r="L61" s="2962"/>
      <c r="M61" s="2964"/>
      <c r="Q61" s="1043" t="str">
        <f t="shared" si="0"/>
        <v/>
      </c>
      <c r="R61" s="1043" t="str">
        <f t="shared" si="1"/>
        <v/>
      </c>
      <c r="V61" s="535">
        <f t="shared" si="2"/>
        <v>0</v>
      </c>
      <c r="W61" s="502">
        <f t="shared" si="3"/>
        <v>0</v>
      </c>
      <c r="X61" s="502">
        <f t="shared" si="4"/>
        <v>0</v>
      </c>
      <c r="AE61" s="15"/>
      <c r="AF61" s="2827"/>
      <c r="AG61" s="2827"/>
      <c r="AH61" s="1066"/>
      <c r="AI61" s="788"/>
      <c r="AJ61" s="788"/>
      <c r="AK61" s="1196"/>
      <c r="AO61" s="535"/>
    </row>
    <row r="62" spans="1:41" ht="16.2" hidden="1" customHeight="1" x14ac:dyDescent="0.3">
      <c r="A62" s="1063" t="s">
        <v>1299</v>
      </c>
      <c r="B62" s="2960">
        <v>0</v>
      </c>
      <c r="C62" s="2960"/>
      <c r="D62" s="2961">
        <v>0</v>
      </c>
      <c r="E62" s="2960">
        <v>0</v>
      </c>
      <c r="F62" s="1221" t="str">
        <f>IFERROR(IF(ISBLANK(E62),"","Consumption (" &amp; VLOOKUP($E62,PO_Enrgy_1_Table,MATCH($C$9,PO_Enrgy_1_Hdr,0),FALSE) &amp; ")"),"")</f>
        <v/>
      </c>
      <c r="G62" s="1222">
        <v>0</v>
      </c>
      <c r="H62" s="1222">
        <v>0</v>
      </c>
      <c r="I62" s="1216" t="str">
        <f t="shared" si="5"/>
        <v/>
      </c>
      <c r="J62" s="2962" t="str">
        <f>IFERROR(IF($E$122-$H$122&lt;0,"",($G62-$H62)*VLOOKUP($E62,PO_Enrgy_1_Table,MATCH($K$9,PO_Enrgy_1_Hdr,0),FALSE)/($E$122-$H$122)),"")</f>
        <v/>
      </c>
      <c r="K62" s="2962" t="str">
        <f>IFERROR(IF($G$122-$J$122&lt;0,"",($G62*VLOOKUP($E62,PO_Enrgy_8_Table,MATCH($E$81,PO_Enrgy_8_Hdr,0),FALSE)-($H62*VLOOKUP($E62,PO_Enrgy_8_Table,MATCH($H$81,PO_Enrgy_8_Hdr,0),FALSE)))/($G$122-$J$122)),"")</f>
        <v/>
      </c>
      <c r="L62" s="2962"/>
      <c r="M62" s="2916" t="str">
        <f>IFERROR(H62*VLOOKUP($E62,PO_Enrgy_1_Table,MATCH($K$9,PO_Enrgy_1_Hdr,0))/$H$76,"")</f>
        <v/>
      </c>
      <c r="Q62" s="1043" t="str">
        <f t="shared" si="0"/>
        <v/>
      </c>
      <c r="R62" s="1043" t="str">
        <f t="shared" si="1"/>
        <v/>
      </c>
      <c r="V62" s="535">
        <f t="shared" si="2"/>
        <v>0</v>
      </c>
      <c r="W62" s="502">
        <f t="shared" si="3"/>
        <v>0</v>
      </c>
      <c r="X62" s="502">
        <f t="shared" si="4"/>
        <v>0</v>
      </c>
      <c r="Y62" s="502" t="b">
        <f>IFERROR(IF(D62="x",IF(OR(G62/H62&gt;1.03,G62/H62&lt;0.97),TRUE,FALSE),FALSE),FALSE)</f>
        <v>0</v>
      </c>
      <c r="Z62" s="502">
        <f>IFERROR(J62*100,)</f>
        <v>0</v>
      </c>
      <c r="AB62" s="502">
        <f>RANK(Z62,$Z$20:$Z$67,0)</f>
        <v>8</v>
      </c>
      <c r="AC62" s="502">
        <f>AB62+COUNTIF($AB$20:$AB61,AB62)</f>
        <v>20</v>
      </c>
      <c r="AD62" s="502">
        <f>B62</f>
        <v>0</v>
      </c>
      <c r="AE62" s="15"/>
      <c r="AF62" s="2827"/>
      <c r="AG62" s="2827"/>
      <c r="AH62" s="1066"/>
      <c r="AI62" s="788"/>
      <c r="AJ62" s="788"/>
      <c r="AK62" s="1195"/>
      <c r="AO62" s="535"/>
    </row>
    <row r="63" spans="1:41" ht="15.75" hidden="1" customHeight="1" x14ac:dyDescent="0.3">
      <c r="A63" s="1063" t="s">
        <v>1299</v>
      </c>
      <c r="B63" s="2960"/>
      <c r="C63" s="2960"/>
      <c r="D63" s="2961"/>
      <c r="E63" s="2960"/>
      <c r="F63" s="1221" t="str">
        <f>IFERROR(IF(ISBLANK(E62),"","Demand (" &amp; VLOOKUP($E62,PO_Enrgy_1_Table,MATCH($E$9,PO_Enrgy_1_Hdr,0),FALSE) &amp; ")"),"")</f>
        <v/>
      </c>
      <c r="G63" s="1223">
        <v>0</v>
      </c>
      <c r="H63" s="1223">
        <v>0</v>
      </c>
      <c r="I63" s="1224" t="str">
        <f t="shared" si="5"/>
        <v/>
      </c>
      <c r="J63" s="2963"/>
      <c r="K63" s="2962"/>
      <c r="L63" s="2962"/>
      <c r="M63" s="2964"/>
      <c r="Q63" s="1043" t="str">
        <f t="shared" si="0"/>
        <v/>
      </c>
      <c r="R63" s="1043" t="str">
        <f t="shared" si="1"/>
        <v/>
      </c>
      <c r="V63" s="535">
        <f t="shared" si="2"/>
        <v>0</v>
      </c>
      <c r="W63" s="502">
        <f t="shared" si="3"/>
        <v>0</v>
      </c>
      <c r="X63" s="502">
        <f t="shared" si="4"/>
        <v>0</v>
      </c>
      <c r="AE63" s="15"/>
      <c r="AF63" s="2827"/>
      <c r="AG63" s="2827"/>
      <c r="AH63" s="1066"/>
      <c r="AI63" s="788"/>
      <c r="AJ63" s="788"/>
      <c r="AK63" s="1196"/>
      <c r="AO63" s="535"/>
    </row>
    <row r="64" spans="1:41" ht="16.2" hidden="1" customHeight="1" x14ac:dyDescent="0.3">
      <c r="A64" s="1063" t="s">
        <v>1299</v>
      </c>
      <c r="B64" s="2960">
        <v>0</v>
      </c>
      <c r="C64" s="2960"/>
      <c r="D64" s="2961">
        <v>0</v>
      </c>
      <c r="E64" s="2960">
        <v>0</v>
      </c>
      <c r="F64" s="1221" t="str">
        <f>IFERROR(IF(ISBLANK(E64),"","Consumption (" &amp; VLOOKUP($E64,PO_Enrgy_1_Table,MATCH($C$9,PO_Enrgy_1_Hdr,0),FALSE) &amp; ")"),"")</f>
        <v/>
      </c>
      <c r="G64" s="1222">
        <v>0</v>
      </c>
      <c r="H64" s="1222">
        <v>0</v>
      </c>
      <c r="I64" s="1216" t="str">
        <f t="shared" si="5"/>
        <v/>
      </c>
      <c r="J64" s="2962" t="str">
        <f>IFERROR(IF($E$122-$H$122&lt;0,"",($G64-$H64)*VLOOKUP($E64,PO_Enrgy_1_Table,MATCH($K$9,PO_Enrgy_1_Hdr,0),FALSE)/($E$122-$H$122)),"")</f>
        <v/>
      </c>
      <c r="K64" s="2962" t="str">
        <f>IFERROR(IF($G$122-$J$122&lt;0,"",($G64*VLOOKUP($E64,PO_Enrgy_8_Table,MATCH($E$81,PO_Enrgy_8_Hdr,0),FALSE)-($H64*VLOOKUP($E64,PO_Enrgy_8_Table,MATCH($H$81,PO_Enrgy_8_Hdr,0),FALSE)))/($G$122-$J$122)),"")</f>
        <v/>
      </c>
      <c r="L64" s="2962"/>
      <c r="M64" s="2916" t="str">
        <f>IFERROR(H64*VLOOKUP($E64,PO_Enrgy_1_Table,MATCH($K$9,PO_Enrgy_1_Hdr,0))/$H$76,"")</f>
        <v/>
      </c>
      <c r="Q64" s="1043" t="str">
        <f t="shared" si="0"/>
        <v/>
      </c>
      <c r="R64" s="1043" t="str">
        <f t="shared" si="1"/>
        <v/>
      </c>
      <c r="V64" s="535">
        <f t="shared" si="2"/>
        <v>0</v>
      </c>
      <c r="W64" s="502">
        <f t="shared" si="3"/>
        <v>0</v>
      </c>
      <c r="X64" s="502">
        <f t="shared" si="4"/>
        <v>0</v>
      </c>
      <c r="Y64" s="502" t="b">
        <f>IFERROR(IF(D64="x",IF(OR(G64/H64&gt;1.03,G64/H64&lt;0.97),TRUE,FALSE),FALSE),FALSE)</f>
        <v>0</v>
      </c>
      <c r="Z64" s="502">
        <f>IFERROR(J64*100,)</f>
        <v>0</v>
      </c>
      <c r="AB64" s="502">
        <f>RANK(Z64,$Z$20:$Z$67,0)</f>
        <v>8</v>
      </c>
      <c r="AC64" s="502">
        <f>AB64+COUNTIF($AB$20:$AB63,AB64)</f>
        <v>21</v>
      </c>
      <c r="AD64" s="502">
        <f>B64</f>
        <v>0</v>
      </c>
      <c r="AE64" s="15"/>
      <c r="AF64" s="2827"/>
      <c r="AG64" s="2827"/>
      <c r="AH64" s="1066"/>
      <c r="AI64" s="788"/>
      <c r="AJ64" s="788"/>
      <c r="AK64" s="1195"/>
      <c r="AO64" s="535"/>
    </row>
    <row r="65" spans="1:55" ht="16.5" hidden="1" customHeight="1" x14ac:dyDescent="0.3">
      <c r="A65" s="1063" t="s">
        <v>1299</v>
      </c>
      <c r="B65" s="2960"/>
      <c r="C65" s="2960"/>
      <c r="D65" s="2961"/>
      <c r="E65" s="2960"/>
      <c r="F65" s="1221" t="str">
        <f>IFERROR(IF(ISBLANK(E64),"","Demand (" &amp; VLOOKUP($E64,PO_Enrgy_1_Table,MATCH($E$9,PO_Enrgy_1_Hdr,0),FALSE) &amp; ")"),"")</f>
        <v/>
      </c>
      <c r="G65" s="1223">
        <v>0</v>
      </c>
      <c r="H65" s="1223">
        <v>0</v>
      </c>
      <c r="I65" s="1224" t="str">
        <f t="shared" si="5"/>
        <v/>
      </c>
      <c r="J65" s="2963"/>
      <c r="K65" s="2962"/>
      <c r="L65" s="2962"/>
      <c r="M65" s="2964"/>
      <c r="Q65" s="1043" t="str">
        <f t="shared" si="0"/>
        <v/>
      </c>
      <c r="R65" s="1043" t="str">
        <f t="shared" si="1"/>
        <v/>
      </c>
      <c r="V65" s="535">
        <f t="shared" si="2"/>
        <v>0</v>
      </c>
      <c r="W65" s="502">
        <f t="shared" si="3"/>
        <v>0</v>
      </c>
      <c r="X65" s="502">
        <f t="shared" si="4"/>
        <v>0</v>
      </c>
      <c r="AE65" s="15"/>
      <c r="AF65" s="2827"/>
      <c r="AG65" s="2827"/>
      <c r="AH65" s="1066"/>
      <c r="AI65" s="788"/>
      <c r="AJ65" s="788"/>
      <c r="AK65" s="1196"/>
      <c r="AO65" s="535"/>
    </row>
    <row r="66" spans="1:55" ht="16.2" hidden="1" customHeight="1" x14ac:dyDescent="0.3">
      <c r="A66" s="1063" t="s">
        <v>1299</v>
      </c>
      <c r="B66" s="2960">
        <v>0</v>
      </c>
      <c r="C66" s="2960"/>
      <c r="D66" s="2961">
        <v>0</v>
      </c>
      <c r="E66" s="2960">
        <v>0</v>
      </c>
      <c r="F66" s="1221" t="str">
        <f>IFERROR(IF(ISBLANK(E66),"","Consumption (" &amp; VLOOKUP($E66,PO_Enrgy_1_Table,MATCH($C$9,PO_Enrgy_1_Hdr,0),FALSE) &amp; ")"),"")</f>
        <v/>
      </c>
      <c r="G66" s="1222">
        <v>0</v>
      </c>
      <c r="H66" s="1222">
        <v>0</v>
      </c>
      <c r="I66" s="1216" t="str">
        <f t="shared" si="5"/>
        <v/>
      </c>
      <c r="J66" s="2962" t="str">
        <f>IFERROR(IF($E$122-$H$122&lt;0,"",($G66-$H66)*VLOOKUP($E66,PO_Enrgy_1_Table,MATCH($K$9,PO_Enrgy_1_Hdr,0),FALSE)/($E$122-$H$122)),"")</f>
        <v/>
      </c>
      <c r="K66" s="2962" t="str">
        <f>IFERROR(IF($G$122-$J$122&lt;0,"",($G66*VLOOKUP($E66,PO_Enrgy_8_Table,MATCH($E$81,PO_Enrgy_8_Hdr,0),FALSE)-($H66*VLOOKUP($E66,PO_Enrgy_8_Table,MATCH($H$81,PO_Enrgy_8_Hdr,0),FALSE)))/($G$122-$J$122)),"")</f>
        <v/>
      </c>
      <c r="L66" s="2962"/>
      <c r="M66" s="2916" t="str">
        <f>IFERROR(H66*VLOOKUP($E66,PO_Enrgy_1_Table,MATCH($K$9,PO_Enrgy_1_Hdr,0))/$H$76,"")</f>
        <v/>
      </c>
      <c r="Q66" s="1043" t="str">
        <f t="shared" si="0"/>
        <v/>
      </c>
      <c r="R66" s="1043" t="str">
        <f t="shared" si="1"/>
        <v/>
      </c>
      <c r="V66" s="535">
        <f t="shared" si="2"/>
        <v>0</v>
      </c>
      <c r="W66" s="502">
        <f t="shared" si="3"/>
        <v>0</v>
      </c>
      <c r="X66" s="502">
        <f t="shared" si="4"/>
        <v>0</v>
      </c>
      <c r="Y66" s="502" t="b">
        <f>IFERROR(IF(D66="x",IF(OR(G66/H66&gt;1.03,G66/H66&lt;0.97),TRUE,FALSE),FALSE),FALSE)</f>
        <v>0</v>
      </c>
      <c r="Z66" s="502">
        <f>IFERROR(J66*100,)</f>
        <v>0</v>
      </c>
      <c r="AB66" s="502">
        <f>RANK(Z66,$Z$20:$Z$67,0)</f>
        <v>8</v>
      </c>
      <c r="AC66" s="502">
        <f>AB66+COUNTIF($AB$20:$AB65,AB66)</f>
        <v>22</v>
      </c>
      <c r="AD66" s="502">
        <f>B66</f>
        <v>0</v>
      </c>
      <c r="AE66" s="15"/>
      <c r="AF66" s="2827"/>
      <c r="AG66" s="2827"/>
      <c r="AH66" s="1066"/>
      <c r="AI66" s="788"/>
      <c r="AJ66" s="788"/>
      <c r="AK66" s="1195"/>
      <c r="AO66" s="535"/>
    </row>
    <row r="67" spans="1:55" ht="15.75" hidden="1" customHeight="1" x14ac:dyDescent="0.3">
      <c r="A67" s="1063" t="s">
        <v>1299</v>
      </c>
      <c r="B67" s="2960"/>
      <c r="C67" s="2960"/>
      <c r="D67" s="2961"/>
      <c r="E67" s="2960"/>
      <c r="F67" s="1221" t="str">
        <f>IFERROR(IF(ISBLANK(E66),"","Demand (" &amp; VLOOKUP($E66,PO_Enrgy_1_Table,MATCH($E$9,PO_Enrgy_1_Hdr,0),FALSE) &amp; ")"),"")</f>
        <v/>
      </c>
      <c r="G67" s="1223">
        <v>0</v>
      </c>
      <c r="H67" s="1223">
        <v>0</v>
      </c>
      <c r="I67" s="1224" t="str">
        <f t="shared" si="5"/>
        <v/>
      </c>
      <c r="J67" s="2963"/>
      <c r="K67" s="2962"/>
      <c r="L67" s="2962"/>
      <c r="M67" s="2964"/>
      <c r="Q67" s="1043" t="str">
        <f t="shared" si="0"/>
        <v/>
      </c>
      <c r="R67" s="1043" t="str">
        <f t="shared" si="1"/>
        <v/>
      </c>
      <c r="V67" s="535">
        <f t="shared" si="2"/>
        <v>0</v>
      </c>
      <c r="W67" s="502">
        <f t="shared" si="3"/>
        <v>0</v>
      </c>
      <c r="X67" s="502">
        <f t="shared" si="4"/>
        <v>0</v>
      </c>
      <c r="AE67" s="15"/>
      <c r="AF67" s="2827"/>
      <c r="AG67" s="2827"/>
      <c r="AH67" s="1066"/>
      <c r="AI67" s="788"/>
      <c r="AJ67" s="788"/>
      <c r="AK67" s="1196"/>
      <c r="AO67" s="535"/>
    </row>
    <row r="68" spans="1:55" ht="21" customHeight="1" x14ac:dyDescent="0.3">
      <c r="A68" s="1063" t="s">
        <v>1299</v>
      </c>
      <c r="B68" s="526"/>
      <c r="C68" s="526"/>
      <c r="D68" s="960"/>
      <c r="E68" s="548"/>
      <c r="F68" s="526"/>
      <c r="G68" s="560"/>
      <c r="H68" s="560"/>
      <c r="I68" s="561"/>
      <c r="J68" s="560"/>
      <c r="K68" s="560"/>
      <c r="L68" s="562"/>
      <c r="M68" s="562"/>
    </row>
    <row r="69" spans="1:55" ht="24" customHeight="1" x14ac:dyDescent="0.3">
      <c r="A69" s="1063" t="s">
        <v>1299</v>
      </c>
      <c r="B69" s="570" t="s">
        <v>1268</v>
      </c>
      <c r="C69" s="571"/>
      <c r="D69" s="571"/>
      <c r="E69" s="571"/>
      <c r="F69" s="571"/>
      <c r="G69" s="571"/>
      <c r="H69" s="571"/>
      <c r="I69" s="571"/>
      <c r="J69" s="571"/>
      <c r="K69" s="571"/>
      <c r="L69" s="571"/>
      <c r="M69" s="571"/>
      <c r="BC69" s="502" t="s">
        <v>2090</v>
      </c>
    </row>
    <row r="70" spans="1:55" ht="21.75" customHeight="1" x14ac:dyDescent="0.3">
      <c r="A70" s="1063" t="s">
        <v>1299</v>
      </c>
      <c r="B70" s="2698" t="s">
        <v>444</v>
      </c>
      <c r="C70" s="2402" t="s">
        <v>1805</v>
      </c>
      <c r="D70" s="2699"/>
      <c r="E70" s="2700" t="s">
        <v>347</v>
      </c>
      <c r="F70" s="2698"/>
      <c r="G70" s="2698"/>
      <c r="H70" s="2700" t="s">
        <v>348</v>
      </c>
      <c r="I70" s="2698"/>
      <c r="J70" s="2698"/>
      <c r="K70" s="2700" t="s">
        <v>448</v>
      </c>
      <c r="L70" s="2698"/>
      <c r="M70" s="2463"/>
      <c r="N70" s="579"/>
    </row>
    <row r="71" spans="1:55" ht="63.75" customHeight="1" x14ac:dyDescent="0.3">
      <c r="A71" s="1063" t="s">
        <v>1299</v>
      </c>
      <c r="B71" s="2699"/>
      <c r="C71" s="2699"/>
      <c r="D71" s="2699"/>
      <c r="E71" s="966" t="s">
        <v>1117</v>
      </c>
      <c r="F71" s="1115" t="str">
        <f>"Source Energy Use 
("  &amp; PO_SourceUnits &amp; ")"</f>
        <v>Source Energy Use 
(MWh)</v>
      </c>
      <c r="G71" s="966" t="s">
        <v>446</v>
      </c>
      <c r="H71" s="966" t="s">
        <v>1117</v>
      </c>
      <c r="I71" s="1115" t="str">
        <f>"Source Energy Use 
("  &amp; PO_SourceUnits &amp; ")"</f>
        <v>Source Energy Use 
(MWh)</v>
      </c>
      <c r="J71" s="966" t="s">
        <v>446</v>
      </c>
      <c r="K71" s="2700" t="s">
        <v>447</v>
      </c>
      <c r="L71" s="2829"/>
      <c r="M71" s="966" t="s">
        <v>446</v>
      </c>
      <c r="AD71" s="15"/>
      <c r="AE71" s="15"/>
      <c r="AF71" s="15"/>
      <c r="AG71" s="15"/>
      <c r="AH71" s="15"/>
      <c r="AI71" s="15"/>
      <c r="AJ71" s="15"/>
      <c r="AK71" s="15"/>
      <c r="AL71" s="15"/>
      <c r="AM71" s="15"/>
      <c r="AN71" s="15"/>
      <c r="AO71" s="15"/>
    </row>
    <row r="72" spans="1:55" s="1076" customFormat="1" ht="21.75" hidden="1" customHeight="1" x14ac:dyDescent="0.3">
      <c r="A72" s="1063" t="s">
        <v>1299</v>
      </c>
      <c r="B72" s="1092" t="s">
        <v>1765</v>
      </c>
      <c r="C72" s="1092" t="s">
        <v>1793</v>
      </c>
      <c r="D72" s="1092"/>
      <c r="E72" s="1093" t="s">
        <v>1821</v>
      </c>
      <c r="F72" s="1092" t="s">
        <v>1822</v>
      </c>
      <c r="G72" s="1092" t="s">
        <v>1823</v>
      </c>
      <c r="H72" s="1093" t="s">
        <v>1806</v>
      </c>
      <c r="I72" s="1092" t="s">
        <v>1807</v>
      </c>
      <c r="J72" s="1092" t="s">
        <v>1808</v>
      </c>
      <c r="K72" s="1093" t="s">
        <v>1809</v>
      </c>
      <c r="L72" s="1092"/>
      <c r="M72" s="1093" t="s">
        <v>1810</v>
      </c>
      <c r="N72" s="1075"/>
      <c r="Q72" s="1297" t="s">
        <v>1776</v>
      </c>
      <c r="R72" s="1297" t="s">
        <v>1777</v>
      </c>
      <c r="AD72" s="1077"/>
      <c r="AE72" s="1077"/>
      <c r="AF72" s="1077"/>
      <c r="AG72" s="1077"/>
      <c r="AH72" s="1077"/>
      <c r="AI72" s="1077"/>
      <c r="AJ72" s="1077"/>
      <c r="AK72" s="1077"/>
      <c r="AL72" s="1077"/>
      <c r="AM72" s="1077"/>
      <c r="AN72" s="1077"/>
      <c r="AO72" s="1077"/>
    </row>
    <row r="73" spans="1:55" ht="18" customHeight="1" x14ac:dyDescent="0.3">
      <c r="A73" s="1063" t="s">
        <v>1299</v>
      </c>
      <c r="B73" s="1214" t="str">
        <f>IFERROR(IF(ISBLANK(B10),"",B10),"")</f>
        <v>Electricity</v>
      </c>
      <c r="C73" s="2780" t="str">
        <f>IFERROR(IF(ISBLANK($B73),"",VLOOKUP($B73,PO_Enrgy_1_Table,MATCH($C$9,PO_Enrgy_1_Hdr,0),FALSE) ),"")</f>
        <v>kWh</v>
      </c>
      <c r="D73" s="2915" t="e">
        <f>IF(C73="","",VLOOKUP(C73,ProjectEnergyTypeTable,3,FALSE))</f>
        <v>#NAME?</v>
      </c>
      <c r="E73" s="1215">
        <v>4679571.7674999991</v>
      </c>
      <c r="F73" s="1215">
        <v>14693.855349949996</v>
      </c>
      <c r="G73" s="1225">
        <v>149746.29655999999</v>
      </c>
      <c r="H73" s="1215">
        <v>4159812.65</v>
      </c>
      <c r="I73" s="1215">
        <v>13061.811720999998</v>
      </c>
      <c r="J73" s="1226">
        <v>133114.0048</v>
      </c>
      <c r="K73" s="2916">
        <f>IFERROR(1-H73/E73,"")</f>
        <v>0.11106980367514996</v>
      </c>
      <c r="L73" s="2917"/>
      <c r="M73" s="1187">
        <f>IFERROR(1-J73/G73,"")</f>
        <v>0.11106980367515007</v>
      </c>
      <c r="Q73" s="1296">
        <f>IFERROR(IF(ISBLANK($B73),"",VLOOKUP($B73,PO_Enrgy_1_Table,MATCH($K$9,PO_Enrgy_1_Hdr,0),FALSE)),"")</f>
        <v>9.999999999999998E-4</v>
      </c>
      <c r="R73" s="1296">
        <f>IFERROR(IF(ISBLANK($B73),"",VLOOKUP($B73,PO_Enrgy_1_Table,MATCH($M$9,PO_Enrgy_1_Hdr,0),FALSE)),"")</f>
        <v>3.1399999999999996E-3</v>
      </c>
      <c r="AD73" s="1079"/>
      <c r="AE73" s="1079"/>
      <c r="AF73" s="536"/>
      <c r="AG73" s="536"/>
      <c r="AH73" s="1080"/>
      <c r="AI73" s="1081"/>
      <c r="AJ73" s="15"/>
      <c r="AK73" s="15"/>
      <c r="AL73" s="15"/>
      <c r="AM73" s="15"/>
      <c r="AN73" s="15"/>
      <c r="AO73" s="15"/>
      <c r="BC73" s="1906"/>
    </row>
    <row r="74" spans="1:55" ht="18" customHeight="1" x14ac:dyDescent="0.3">
      <c r="A74" s="1063" t="s">
        <v>1299</v>
      </c>
      <c r="B74" s="1214" t="str">
        <f>IFERROR(IF(ISBLANK(B11),"",B11),"")</f>
        <v>Natural Gas</v>
      </c>
      <c r="C74" s="2780" t="str">
        <f>IFERROR(IF(ISBLANK($B74),"",VLOOKUP($B74,PO_Enrgy_1_Table,MATCH($C$9,PO_Enrgy_1_Hdr,0),FALSE) ),"")</f>
        <v>therm</v>
      </c>
      <c r="D74" s="2915" t="e">
        <f>IF(C74="","",VLOOKUP(C74,ProjectEnergyTypeTable,3,FALSE))</f>
        <v>#NAME?</v>
      </c>
      <c r="E74" s="1215">
        <v>0</v>
      </c>
      <c r="F74" s="1215">
        <v>0</v>
      </c>
      <c r="G74" s="1225">
        <v>0</v>
      </c>
      <c r="H74" s="1215">
        <v>0</v>
      </c>
      <c r="I74" s="1215">
        <v>0</v>
      </c>
      <c r="J74" s="1226">
        <v>0</v>
      </c>
      <c r="K74" s="2916" t="str">
        <f>IFERROR(1-H74/E74,"")</f>
        <v/>
      </c>
      <c r="L74" s="2917"/>
      <c r="M74" s="1187" t="str">
        <f>IFERROR(1-J74/G74,"")</f>
        <v/>
      </c>
      <c r="Q74" s="1296">
        <f>IFERROR(IF(ISBLANK($B74),"",VLOOKUP($B74,PO_Enrgy_1_Table,MATCH($K$9,PO_Enrgy_1_Hdr,0),FALSE)),"")</f>
        <v>2.9308323563892142E-2</v>
      </c>
      <c r="R74" s="1296">
        <f>IFERROR(IF(ISBLANK($B74),"",VLOOKUP($B74,PO_Enrgy_1_Table,MATCH($M$9,PO_Enrgy_1_Hdr,0),FALSE)),"")</f>
        <v>3.0773739742086751E-2</v>
      </c>
      <c r="AD74" s="1079"/>
      <c r="AE74" s="1079"/>
      <c r="AF74" s="536"/>
      <c r="AG74" s="536"/>
      <c r="AH74" s="1080"/>
      <c r="AI74" s="1081"/>
      <c r="AJ74" s="15"/>
      <c r="AK74" s="15"/>
      <c r="AL74" s="15"/>
      <c r="AM74" s="15"/>
      <c r="AN74" s="15"/>
      <c r="AO74" s="15"/>
      <c r="BC74" s="1906"/>
    </row>
    <row r="75" spans="1:55" ht="18" customHeight="1" x14ac:dyDescent="0.3">
      <c r="A75" s="1063" t="s">
        <v>1299</v>
      </c>
      <c r="B75" s="1214" t="str">
        <f>IFERROR(IF(ISBLANK(B12),"",B12),"")</f>
        <v>District Cooling</v>
      </c>
      <c r="C75" s="2780" t="str">
        <f>IFERROR(IF(ISBLANK($B75),"",VLOOKUP($B75,PO_Enrgy_1_Table,MATCH($C$9,PO_Enrgy_1_Hdr,0),FALSE) ),"")</f>
        <v>MWh</v>
      </c>
      <c r="D75" s="2915" t="e">
        <f>IF(C75="","",VLOOKUP(C75,ProjectEnergyTypeTable,3,FALSE))</f>
        <v>#NAME?</v>
      </c>
      <c r="E75" s="1215">
        <v>0</v>
      </c>
      <c r="F75" s="1215">
        <v>0</v>
      </c>
      <c r="G75" s="1225">
        <v>0</v>
      </c>
      <c r="H75" s="1215">
        <v>0</v>
      </c>
      <c r="I75" s="1215">
        <v>0</v>
      </c>
      <c r="J75" s="1226">
        <v>0</v>
      </c>
      <c r="K75" s="2916" t="str">
        <f>IFERROR(1-H75/E75,"")</f>
        <v/>
      </c>
      <c r="L75" s="2917"/>
      <c r="M75" s="1187" t="str">
        <f>IFERROR(1-J75/G75,"")</f>
        <v/>
      </c>
      <c r="Q75" s="1296">
        <f>IFERROR(IF(ISBLANK($B75),"",VLOOKUP($B75,PO_Enrgy_1_Table,MATCH($K$9,PO_Enrgy_1_Hdr,0),FALSE)),"")</f>
        <v>0.99999999999999989</v>
      </c>
      <c r="R75" s="1296">
        <f>IFERROR(IF(ISBLANK($B75),"",VLOOKUP($B75,PO_Enrgy_1_Table,MATCH($M$9,PO_Enrgy_1_Hdr,0),FALSE)),"")</f>
        <v>0.99999999999999989</v>
      </c>
      <c r="AD75" s="1079"/>
      <c r="AE75" s="1079"/>
      <c r="AF75" s="536"/>
      <c r="AG75" s="536"/>
      <c r="AH75" s="1080"/>
      <c r="AI75" s="1081"/>
      <c r="AJ75" s="15"/>
      <c r="AK75" s="15"/>
      <c r="AL75" s="15"/>
      <c r="AM75" s="15"/>
      <c r="AN75" s="15"/>
      <c r="AO75" s="15"/>
      <c r="BC75" s="1906"/>
    </row>
    <row r="76" spans="1:55" s="528" customFormat="1" ht="21" customHeight="1" x14ac:dyDescent="0.3">
      <c r="A76" s="1063" t="s">
        <v>1299</v>
      </c>
      <c r="B76" s="2693" t="str">
        <f>"Energy model subtotal (" &amp; PO_SiteUnits &amp; ")"</f>
        <v>Energy model subtotal (MWh)</v>
      </c>
      <c r="C76" s="2693"/>
      <c r="D76" s="2693"/>
      <c r="E76" s="1161">
        <f>IFERROR(SUMPRODUCT(INDEX(PO_Enrgy_7_Table,0,MATCH(E$72,PO_Enrgy_7_Hdr,0)),INDEX(PO_Enrgy_7_Table,0,MATCH($Q$72,PO_Enrgy_7_Hdr,0))),"")</f>
        <v>4679.5717674999978</v>
      </c>
      <c r="F76" s="1161">
        <f>IFERROR(SUM(INDEX(PO_Enrgy_7_Table,0,MATCH(F$72,PO_Enrgy_7_Hdr,0))),"")</f>
        <v>14693.855349949996</v>
      </c>
      <c r="G76" s="1164">
        <f>IFERROR(SUM(INDEX(PO_Enrgy_7_Table,0,MATCH(G$72,PO_Enrgy_7_Hdr,0))),"")</f>
        <v>149746.29655999999</v>
      </c>
      <c r="H76" s="1161">
        <f>IFERROR(SUMPRODUCT(INDEX(PO_Enrgy_7_Table,0,MATCH(H$72,PO_Enrgy_7_Hdr,0)),INDEX(PO_Enrgy_7_Table,0,MATCH($Q$72,PO_Enrgy_7_Hdr,0))),"")</f>
        <v>4159.8126499999989</v>
      </c>
      <c r="I76" s="1161">
        <f>IFERROR(SUM(INDEX(PO_Enrgy_7_Table,0,MATCH(I$72,PO_Enrgy_7_Hdr,0))),"")</f>
        <v>13061.811720999998</v>
      </c>
      <c r="J76" s="1164">
        <f>IFERROR(SUM(INDEX(PO_Enrgy_7_Table,0,MATCH(J$72,PO_Enrgy_7_Hdr,0))),"")</f>
        <v>133114.0048</v>
      </c>
      <c r="K76" s="2690">
        <f>IFERROR(1-H76/E76,"")</f>
        <v>0.11106980367514985</v>
      </c>
      <c r="L76" s="2691"/>
      <c r="M76" s="1163">
        <f>IFERROR(1-J76/G76,"")</f>
        <v>0.11106980367515007</v>
      </c>
      <c r="N76" s="502"/>
      <c r="O76" s="502"/>
      <c r="P76" s="502"/>
      <c r="AD76" s="15"/>
      <c r="AE76" s="15"/>
      <c r="AF76" s="15"/>
      <c r="AG76" s="15"/>
      <c r="AH76" s="1080"/>
      <c r="AI76" s="1081"/>
      <c r="AJ76" s="15"/>
      <c r="AK76" s="15"/>
      <c r="AL76" s="15"/>
      <c r="AM76" s="15"/>
      <c r="AN76" s="15"/>
      <c r="AO76" s="15"/>
      <c r="BC76" s="1906"/>
    </row>
    <row r="77" spans="1:55" s="528" customFormat="1" ht="5.25" customHeight="1" x14ac:dyDescent="0.3">
      <c r="A77" s="1063" t="s">
        <v>1299</v>
      </c>
      <c r="B77" s="532"/>
      <c r="C77" s="532"/>
      <c r="D77" s="532"/>
      <c r="E77" s="533"/>
      <c r="F77" s="533"/>
      <c r="G77" s="577"/>
      <c r="H77" s="533"/>
      <c r="I77" s="533"/>
      <c r="J77" s="577"/>
      <c r="K77" s="720"/>
      <c r="L77" s="720"/>
      <c r="M77" s="720"/>
      <c r="N77" s="502"/>
      <c r="O77" s="502"/>
      <c r="P77" s="502"/>
      <c r="AD77" s="15"/>
      <c r="AE77" s="15"/>
      <c r="AF77" s="15"/>
      <c r="AG77" s="15"/>
      <c r="AH77" s="1080"/>
      <c r="AI77" s="1081"/>
      <c r="AJ77" s="15"/>
      <c r="AK77" s="15"/>
      <c r="AL77" s="15"/>
      <c r="AM77" s="15"/>
      <c r="AN77" s="15"/>
      <c r="AO77" s="15"/>
    </row>
    <row r="78" spans="1:55" s="528" customFormat="1" ht="33" customHeight="1" x14ac:dyDescent="0.3">
      <c r="A78" s="1063" t="s">
        <v>1299</v>
      </c>
      <c r="B78" s="532"/>
      <c r="C78" s="532"/>
      <c r="D78" s="532"/>
      <c r="E78" s="533"/>
      <c r="F78" s="533"/>
      <c r="G78" s="577"/>
      <c r="H78" s="533"/>
      <c r="I78" s="533"/>
      <c r="J78" s="577"/>
      <c r="K78" s="720"/>
      <c r="L78" s="720"/>
      <c r="M78" s="720"/>
      <c r="N78" s="502"/>
      <c r="O78" s="502"/>
      <c r="P78" s="502"/>
      <c r="AD78" s="15"/>
      <c r="AE78" s="15"/>
      <c r="AF78" s="15"/>
      <c r="AG78" s="15"/>
      <c r="AH78" s="1080"/>
      <c r="AI78" s="1081"/>
      <c r="AJ78" s="15"/>
      <c r="AK78" s="15"/>
      <c r="AL78" s="15"/>
      <c r="AM78" s="15"/>
      <c r="AN78" s="15"/>
      <c r="AO78" s="15"/>
    </row>
    <row r="79" spans="1:55" s="528" customFormat="1" ht="21" customHeight="1" x14ac:dyDescent="0.3">
      <c r="A79" s="1063" t="s">
        <v>1299</v>
      </c>
      <c r="B79" s="2694" t="s">
        <v>1269</v>
      </c>
      <c r="C79" s="2695"/>
      <c r="D79" s="2695"/>
      <c r="E79" s="2695"/>
      <c r="F79" s="2695"/>
      <c r="G79" s="2695"/>
      <c r="H79" s="2695"/>
      <c r="I79" s="2695"/>
      <c r="J79" s="2695"/>
      <c r="K79" s="2695"/>
      <c r="L79" s="2695"/>
      <c r="M79" s="720"/>
      <c r="Z79" s="550"/>
      <c r="AA79" s="551"/>
      <c r="AD79" s="15"/>
      <c r="AE79" s="15"/>
      <c r="AF79" s="15"/>
      <c r="AG79" s="15"/>
      <c r="AH79" s="15"/>
      <c r="AI79" s="15"/>
      <c r="AJ79" s="15"/>
      <c r="AK79" s="15"/>
      <c r="AL79" s="15"/>
      <c r="AM79" s="15"/>
      <c r="AN79" s="15"/>
      <c r="AO79" s="15"/>
    </row>
    <row r="80" spans="1:55" ht="33.75" customHeight="1" x14ac:dyDescent="0.3">
      <c r="A80" s="1063" t="s">
        <v>1299</v>
      </c>
      <c r="B80" s="2698" t="s">
        <v>444</v>
      </c>
      <c r="C80" s="2451"/>
      <c r="D80" s="2451"/>
      <c r="E80" s="2700" t="s">
        <v>347</v>
      </c>
      <c r="F80" s="2698"/>
      <c r="G80" s="2698"/>
      <c r="H80" s="2700" t="s">
        <v>348</v>
      </c>
      <c r="I80" s="2698"/>
      <c r="J80" s="2698"/>
      <c r="K80" s="2700" t="s">
        <v>455</v>
      </c>
      <c r="L80" s="2698"/>
      <c r="M80" s="2451"/>
      <c r="AD80" s="15"/>
      <c r="AE80" s="15"/>
      <c r="AF80" s="15"/>
      <c r="AG80" s="15"/>
      <c r="AH80" s="15"/>
      <c r="AI80" s="15"/>
      <c r="AJ80" s="15"/>
      <c r="AK80" s="15"/>
      <c r="AL80" s="15"/>
      <c r="AM80" s="15"/>
      <c r="AN80" s="15"/>
      <c r="AO80" s="15"/>
    </row>
    <row r="81" spans="1:55" s="1076" customFormat="1" ht="14.4" hidden="1" x14ac:dyDescent="0.3">
      <c r="A81" s="1063" t="s">
        <v>1299</v>
      </c>
      <c r="B81" s="1092" t="s">
        <v>1765</v>
      </c>
      <c r="C81" s="1165" t="s">
        <v>173</v>
      </c>
      <c r="D81" s="1165"/>
      <c r="E81" s="1093" t="s">
        <v>1811</v>
      </c>
      <c r="F81" s="1092"/>
      <c r="G81" s="1092"/>
      <c r="H81" s="1093" t="s">
        <v>1812</v>
      </c>
      <c r="I81" s="1092"/>
      <c r="J81" s="1092"/>
      <c r="K81" s="1093" t="s">
        <v>1813</v>
      </c>
      <c r="L81" s="1092"/>
      <c r="M81" s="1165"/>
      <c r="Q81" s="1297" t="s">
        <v>1776</v>
      </c>
      <c r="R81" s="1297" t="s">
        <v>1777</v>
      </c>
      <c r="AD81" s="1077"/>
      <c r="AE81" s="1077"/>
      <c r="AF81" s="1077"/>
      <c r="AG81" s="1077"/>
      <c r="AH81" s="1077"/>
      <c r="AI81" s="1077"/>
      <c r="AJ81" s="1077"/>
      <c r="AK81" s="1077"/>
      <c r="AL81" s="1077"/>
      <c r="AM81" s="1077"/>
      <c r="AN81" s="1077"/>
      <c r="AO81" s="1077"/>
    </row>
    <row r="82" spans="1:55" ht="18" customHeight="1" x14ac:dyDescent="0.3">
      <c r="A82" s="1063" t="s">
        <v>1299</v>
      </c>
      <c r="B82" s="1082" t="str">
        <f>IFERROR(IF(ISBLANK(B10),"",B10),"")</f>
        <v>Electricity</v>
      </c>
      <c r="C82" s="2688" t="str">
        <f>IFERROR(CONCATENATE("$ / ",VLOOKUP($B82,PO_Enrgy_1_Table,MATCH($C$9,PO_Enrgy_1_Hdr,0),FALSE)),"")</f>
        <v>$ / kWh</v>
      </c>
      <c r="D82" s="2689" t="e">
        <f>IF(C82="","",VLOOKUP(C82,ProjectEnergyTypeTable,3,FALSE))</f>
        <v>#NAME?</v>
      </c>
      <c r="E82" s="2830">
        <f>IFERROR(IF(AND(DESPath=3,OR($B82="District Cooling",$B82="District Steam",$B82="District Hot Water")),IF($B82="District Cooling",#REF!,#REF!),VLOOKUP($B82,PO_Enrgy_7_Table,MATCH($G$72,PO_Enrgy_7_Hdr,0),FALSE)/VLOOKUP($B82,PO_Enrgy_7_Table,MATCH($E$72,PO_Enrgy_7_Hdr,0),FALSE)),"")</f>
        <v>3.2000000000000001E-2</v>
      </c>
      <c r="F82" s="2831"/>
      <c r="G82" s="2831"/>
      <c r="H82" s="2830">
        <f>IFERROR(IF(AND(DESPath=3,OR($B82="District Cooling",$B82="District Steam",$B82="District Hot Water")),IF($B82="District Cooling",#REF!,#REF!),VLOOKUP($B82,PO_Enrgy_7_Table,MATCH($J$72,PO_Enrgy_7_Hdr,0),FALSE)/VLOOKUP($B82,PO_Enrgy_7_Table,MATCH($H$72,PO_Enrgy_7_Hdr,0),FALSE)),"")</f>
        <v>3.2000000000000001E-2</v>
      </c>
      <c r="I82" s="2831"/>
      <c r="J82" s="2831"/>
      <c r="K82" s="2692">
        <f>IFERROR(ABS(1-H82/E82),"")</f>
        <v>0</v>
      </c>
      <c r="L82" s="2825"/>
      <c r="M82" s="2721"/>
      <c r="Q82" s="1296">
        <f>IFERROR(IF(ISBLANK($B82),"",VLOOKUP($B82,PO_Enrgy_1_Table,MATCH($K$9,PO_Enrgy_1_Hdr,0),FALSE)),"")</f>
        <v>9.999999999999998E-4</v>
      </c>
      <c r="R82" s="1296">
        <f>IFERROR(IF(ISBLANK($B82),"",VLOOKUP($B82,PO_Enrgy_1_Table,MATCH($M$9,PO_Enrgy_1_Hdr,0),FALSE)),"")</f>
        <v>3.1399999999999996E-3</v>
      </c>
      <c r="AD82" s="1079"/>
      <c r="AE82" s="1079"/>
      <c r="AF82" s="536"/>
      <c r="AG82" s="15"/>
      <c r="AH82" s="1080"/>
      <c r="AI82" s="1081"/>
      <c r="AJ82" s="1083"/>
      <c r="AK82" s="15"/>
      <c r="AL82" s="15"/>
      <c r="AM82" s="15"/>
      <c r="AN82" s="15"/>
      <c r="AO82" s="15"/>
      <c r="BC82" s="1906"/>
    </row>
    <row r="83" spans="1:55" ht="18" customHeight="1" x14ac:dyDescent="0.3">
      <c r="A83" s="1063" t="s">
        <v>1299</v>
      </c>
      <c r="B83" s="1082" t="str">
        <f>IFERROR(IF(ISBLANK(B11),"",B11),"")</f>
        <v>Natural Gas</v>
      </c>
      <c r="C83" s="2688" t="str">
        <f>IFERROR(CONCATENATE("$ / ",VLOOKUP($B83,PO_Enrgy_1_Table,MATCH($C$9,PO_Enrgy_1_Hdr,0),FALSE)),"")</f>
        <v>$ / therm</v>
      </c>
      <c r="D83" s="2689" t="e">
        <f>IF(C83="","",VLOOKUP(C83,ProjectEnergyTypeTable,3,FALSE))</f>
        <v>#NAME?</v>
      </c>
      <c r="E83" s="2830" t="str">
        <f>IFERROR(IF(AND(DESPath=3,OR($B83="District Cooling",$B83="District Steam",$B83="District Hot Water")),IF($B83="District Cooling",#REF!,#REF!),VLOOKUP($B83,PO_Enrgy_7_Table,MATCH($G$72,PO_Enrgy_7_Hdr,0),FALSE)/VLOOKUP($B83,PO_Enrgy_7_Table,MATCH($E$72,PO_Enrgy_7_Hdr,0),FALSE)),"")</f>
        <v/>
      </c>
      <c r="F83" s="2831"/>
      <c r="G83" s="2831"/>
      <c r="H83" s="2830" t="str">
        <f>IFERROR(IF(AND(DESPath=3,OR($B83="District Cooling",$B83="District Steam",$B83="District Hot Water")),IF($B83="District Cooling",#REF!,#REF!),VLOOKUP($B83,PO_Enrgy_7_Table,MATCH($J$72,PO_Enrgy_7_Hdr,0),FALSE)/VLOOKUP($B83,PO_Enrgy_7_Table,MATCH($H$72,PO_Enrgy_7_Hdr,0),FALSE)),"")</f>
        <v/>
      </c>
      <c r="I83" s="2831"/>
      <c r="J83" s="2831"/>
      <c r="K83" s="2692" t="str">
        <f>IFERROR(ABS(1-H83/E83),"")</f>
        <v/>
      </c>
      <c r="L83" s="2825"/>
      <c r="M83" s="2721"/>
      <c r="Q83" s="1296">
        <f>IFERROR(IF(ISBLANK($B83),"",VLOOKUP($B83,PO_Enrgy_1_Table,MATCH($K$9,PO_Enrgy_1_Hdr,0),FALSE)),"")</f>
        <v>2.9308323563892142E-2</v>
      </c>
      <c r="R83" s="1296">
        <f>IFERROR(IF(ISBLANK($B83),"",VLOOKUP($B83,PO_Enrgy_1_Table,MATCH($M$9,PO_Enrgy_1_Hdr,0),FALSE)),"")</f>
        <v>3.0773739742086751E-2</v>
      </c>
      <c r="AD83" s="1079"/>
      <c r="AE83" s="1079"/>
      <c r="AF83" s="536"/>
      <c r="AG83" s="15"/>
      <c r="AH83" s="1080"/>
      <c r="AI83" s="1081"/>
      <c r="AJ83" s="1083"/>
      <c r="AK83" s="15"/>
      <c r="AL83" s="15"/>
      <c r="AM83" s="15"/>
      <c r="AN83" s="15"/>
      <c r="AO83" s="15"/>
      <c r="BC83" s="1906"/>
    </row>
    <row r="84" spans="1:55" ht="18" customHeight="1" x14ac:dyDescent="0.3">
      <c r="A84" s="1063" t="s">
        <v>1299</v>
      </c>
      <c r="B84" s="1082" t="str">
        <f>IFERROR(IF(ISBLANK(B12),"",B12),"")</f>
        <v>District Cooling</v>
      </c>
      <c r="C84" s="2688" t="str">
        <f>IFERROR(CONCATENATE("$ / ",VLOOKUP($B84,PO_Enrgy_1_Table,MATCH($C$9,PO_Enrgy_1_Hdr,0),FALSE)),"")</f>
        <v>$ / MWh</v>
      </c>
      <c r="D84" s="2689" t="e">
        <f>IF(C84="","",VLOOKUP(C84,ProjectEnergyTypeTable,3,FALSE))</f>
        <v>#NAME?</v>
      </c>
      <c r="E84" s="2830" t="str">
        <f>IFERROR(IF(AND(DESPath=3,OR($B84="District Cooling",$B84="District Steam",$B84="District Hot Water")),IF($B84="District Cooling",#REF!,#REF!),VLOOKUP($B84,PO_Enrgy_7_Table,MATCH($G$72,PO_Enrgy_7_Hdr,0),FALSE)/VLOOKUP($B84,PO_Enrgy_7_Table,MATCH($E$72,PO_Enrgy_7_Hdr,0),FALSE)),"")</f>
        <v/>
      </c>
      <c r="F84" s="2831"/>
      <c r="G84" s="2831"/>
      <c r="H84" s="2830" t="str">
        <f>IFERROR(IF(AND(DESPath=3,OR($B84="District Cooling",$B84="District Steam",$B84="District Hot Water")),IF($B84="District Cooling",#REF!,#REF!),VLOOKUP($B84,PO_Enrgy_7_Table,MATCH($J$72,PO_Enrgy_7_Hdr,0),FALSE)/VLOOKUP($B84,PO_Enrgy_7_Table,MATCH($H$72,PO_Enrgy_7_Hdr,0),FALSE)),"")</f>
        <v/>
      </c>
      <c r="I84" s="2831"/>
      <c r="J84" s="2831"/>
      <c r="K84" s="2692" t="str">
        <f>IFERROR(ABS(1-H84/E84),"")</f>
        <v/>
      </c>
      <c r="L84" s="2825"/>
      <c r="M84" s="2721"/>
      <c r="Q84" s="1296">
        <f>IFERROR(IF(ISBLANK($B84),"",VLOOKUP($B84,PO_Enrgy_1_Table,MATCH($K$9,PO_Enrgy_1_Hdr,0),FALSE)),"")</f>
        <v>0.99999999999999989</v>
      </c>
      <c r="R84" s="1296">
        <f>IFERROR(IF(ISBLANK($B84),"",VLOOKUP($B84,PO_Enrgy_1_Table,MATCH($M$9,PO_Enrgy_1_Hdr,0),FALSE)),"")</f>
        <v>0.99999999999999989</v>
      </c>
      <c r="AD84" s="1079"/>
      <c r="AE84" s="1079"/>
      <c r="AF84" s="536"/>
      <c r="AG84" s="15"/>
      <c r="AH84" s="1080"/>
      <c r="AI84" s="1081"/>
      <c r="AJ84" s="1083"/>
      <c r="AK84" s="15"/>
      <c r="AL84" s="15"/>
      <c r="AM84" s="15"/>
      <c r="AN84" s="15"/>
      <c r="AO84" s="15"/>
      <c r="BC84" s="1906"/>
    </row>
    <row r="85" spans="1:55" s="528" customFormat="1" ht="31.5" customHeight="1" x14ac:dyDescent="0.3">
      <c r="A85" s="1063" t="s">
        <v>1299</v>
      </c>
      <c r="B85" s="532"/>
      <c r="C85" s="532"/>
      <c r="D85" s="532"/>
      <c r="E85" s="533"/>
      <c r="F85" s="533"/>
      <c r="G85" s="577"/>
      <c r="H85" s="533"/>
      <c r="I85" s="533"/>
      <c r="J85" s="577"/>
      <c r="K85" s="729"/>
      <c r="L85" s="720"/>
      <c r="M85" s="720"/>
      <c r="N85" s="502"/>
      <c r="O85" s="502"/>
      <c r="P85" s="502"/>
      <c r="AD85" s="15"/>
      <c r="AE85" s="15"/>
      <c r="AF85" s="15"/>
      <c r="AG85" s="15"/>
      <c r="AH85" s="1080"/>
      <c r="AI85" s="1081"/>
      <c r="AJ85" s="15"/>
      <c r="AK85" s="15"/>
      <c r="AL85" s="15"/>
      <c r="AM85" s="15"/>
      <c r="AN85" s="15"/>
      <c r="AO85" s="15"/>
    </row>
    <row r="86" spans="1:55" ht="21" customHeight="1" x14ac:dyDescent="0.3">
      <c r="A86" s="1063" t="s">
        <v>1299</v>
      </c>
      <c r="B86" s="2694" t="s">
        <v>1270</v>
      </c>
      <c r="C86" s="2695"/>
      <c r="D86" s="2695"/>
      <c r="E86" s="2695"/>
      <c r="F86" s="2695"/>
      <c r="G86" s="2695"/>
      <c r="H86" s="2695"/>
      <c r="I86" s="2695"/>
      <c r="J86" s="2695"/>
      <c r="K86" s="2695"/>
      <c r="L86" s="2695"/>
      <c r="Z86" s="550"/>
      <c r="AA86" s="551"/>
      <c r="AD86" s="15"/>
      <c r="AE86" s="15"/>
      <c r="AF86" s="15"/>
      <c r="AG86" s="15"/>
      <c r="AH86" s="15"/>
      <c r="AI86" s="15"/>
      <c r="AJ86" s="15"/>
      <c r="AK86" s="15"/>
      <c r="AL86" s="15"/>
      <c r="AM86" s="15"/>
      <c r="AN86" s="15"/>
      <c r="AO86" s="15"/>
    </row>
    <row r="87" spans="1:55" ht="41.25" customHeight="1" x14ac:dyDescent="0.3">
      <c r="A87" s="1063" t="s">
        <v>1299</v>
      </c>
      <c r="B87" s="2698" t="s">
        <v>444</v>
      </c>
      <c r="C87" s="2402" t="s">
        <v>1805</v>
      </c>
      <c r="D87" s="2699"/>
      <c r="E87" s="2767" t="s">
        <v>1271</v>
      </c>
      <c r="F87" s="2767"/>
      <c r="G87" s="2767"/>
      <c r="H87" s="2722" t="s">
        <v>1172</v>
      </c>
      <c r="I87" s="2722"/>
      <c r="J87" s="2722"/>
      <c r="K87" s="2833" t="s">
        <v>448</v>
      </c>
      <c r="L87" s="2818"/>
      <c r="M87" s="2834"/>
      <c r="N87" s="2832"/>
      <c r="O87" s="2832"/>
      <c r="P87" s="2832"/>
      <c r="AD87" s="15"/>
      <c r="AE87" s="15"/>
      <c r="AF87" s="15"/>
      <c r="AG87" s="15"/>
      <c r="AH87" s="1080"/>
      <c r="AI87" s="1081"/>
      <c r="AJ87" s="15"/>
      <c r="AK87" s="15"/>
      <c r="AL87" s="15"/>
      <c r="AM87" s="15"/>
      <c r="AN87" s="15"/>
      <c r="AO87" s="15"/>
    </row>
    <row r="88" spans="1:55" ht="63" customHeight="1" x14ac:dyDescent="0.3">
      <c r="A88" s="1063" t="s">
        <v>1299</v>
      </c>
      <c r="B88" s="2699"/>
      <c r="C88" s="2699"/>
      <c r="D88" s="2699"/>
      <c r="E88" s="1048" t="s">
        <v>1117</v>
      </c>
      <c r="F88" s="1049" t="str">
        <f>"Source Energy Use 
("  &amp; PO_SourceUnits &amp; ")"</f>
        <v>Source Energy Use 
(MWh)</v>
      </c>
      <c r="G88" s="1048" t="s">
        <v>446</v>
      </c>
      <c r="H88" s="1048" t="s">
        <v>1117</v>
      </c>
      <c r="I88" s="1049" t="str">
        <f>"Source Energy Use 
("  &amp; PO_SourceUnits &amp; ")"</f>
        <v>Source Energy Use 
(MWh)</v>
      </c>
      <c r="J88" s="1048" t="s">
        <v>446</v>
      </c>
      <c r="K88" s="2833" t="s">
        <v>447</v>
      </c>
      <c r="L88" s="2834"/>
      <c r="M88" s="1048" t="s">
        <v>446</v>
      </c>
      <c r="N88" s="578"/>
      <c r="O88" s="578"/>
      <c r="P88" s="578"/>
      <c r="AD88" s="15"/>
      <c r="AE88" s="15"/>
      <c r="AF88" s="15"/>
      <c r="AG88" s="15"/>
      <c r="AH88" s="15"/>
      <c r="AI88" s="15"/>
      <c r="AJ88" s="15"/>
      <c r="AK88" s="15"/>
      <c r="AL88" s="15"/>
      <c r="AM88" s="15"/>
      <c r="AN88" s="15"/>
      <c r="AO88" s="15"/>
    </row>
    <row r="89" spans="1:55" s="1076" customFormat="1" ht="21.75" hidden="1" customHeight="1" x14ac:dyDescent="0.3">
      <c r="A89" s="1063" t="s">
        <v>1299</v>
      </c>
      <c r="B89" s="1092" t="s">
        <v>1765</v>
      </c>
      <c r="C89" s="1092" t="s">
        <v>1793</v>
      </c>
      <c r="D89" s="1092"/>
      <c r="E89" s="1093" t="s">
        <v>1821</v>
      </c>
      <c r="F89" s="1092" t="s">
        <v>1822</v>
      </c>
      <c r="G89" s="1092" t="s">
        <v>1823</v>
      </c>
      <c r="H89" s="1093" t="s">
        <v>1806</v>
      </c>
      <c r="I89" s="1092" t="s">
        <v>1807</v>
      </c>
      <c r="J89" s="1092" t="s">
        <v>1808</v>
      </c>
      <c r="K89" s="1093" t="s">
        <v>1809</v>
      </c>
      <c r="L89" s="1092"/>
      <c r="M89" s="1093" t="s">
        <v>1810</v>
      </c>
      <c r="N89" s="1075"/>
      <c r="Q89" s="1297" t="s">
        <v>1776</v>
      </c>
      <c r="R89" s="1297" t="s">
        <v>1777</v>
      </c>
      <c r="AD89" s="1077"/>
      <c r="AE89" s="1077"/>
      <c r="AF89" s="1077"/>
      <c r="AG89" s="1077"/>
      <c r="AH89" s="1077"/>
      <c r="AI89" s="1077"/>
      <c r="AJ89" s="1077"/>
      <c r="AK89" s="1077"/>
      <c r="AL89" s="1077"/>
      <c r="AM89" s="1077"/>
      <c r="AN89" s="1077"/>
      <c r="AO89" s="1077"/>
    </row>
    <row r="90" spans="1:55" ht="15" customHeight="1" x14ac:dyDescent="0.3">
      <c r="A90" s="1063" t="s">
        <v>1299</v>
      </c>
      <c r="B90" s="1082" t="str">
        <f>IFERROR(IF(ISBLANK(B10),"",B10),"")</f>
        <v>Electricity</v>
      </c>
      <c r="C90" s="2688" t="str">
        <f>IFERROR(IF(ISBLANK($B90),"",VLOOKUP($B90,PO_Enrgy_1_Table,MATCH($C$9,PO_Enrgy_1_Hdr,0),FALSE) ),"")</f>
        <v>kWh</v>
      </c>
      <c r="D90" s="2689" t="e">
        <f>IF(C90="","",VLOOKUP(C90,ProjectEnergyTypeTable,3,FALSE))</f>
        <v>#NAME?</v>
      </c>
      <c r="E90" s="1161">
        <v>4679571.7674999991</v>
      </c>
      <c r="F90" s="1161">
        <v>14693.855349949996</v>
      </c>
      <c r="G90" s="1164">
        <v>149746.29655999999</v>
      </c>
      <c r="H90" s="1161">
        <v>4159812.65</v>
      </c>
      <c r="I90" s="1161">
        <v>13061.811720999998</v>
      </c>
      <c r="J90" s="1164">
        <v>133114.0048</v>
      </c>
      <c r="K90" s="2690">
        <f>IFERROR(1-H90/E90,"")</f>
        <v>0.11106980367514996</v>
      </c>
      <c r="L90" s="2691"/>
      <c r="M90" s="1163">
        <f>IFERROR(1-J90/G90,"")</f>
        <v>0.11106980367515007</v>
      </c>
      <c r="Q90" s="1296">
        <f>IFERROR(IF(ISBLANK($B90),"",VLOOKUP($B90,PO_Enrgy_1_Table,MATCH($K$9,PO_Enrgy_1_Hdr,0),FALSE)),"")</f>
        <v>9.999999999999998E-4</v>
      </c>
      <c r="R90" s="1296">
        <f>IFERROR(IF(ISBLANK($B90),"",VLOOKUP($B90,PO_Enrgy_1_Table,MATCH($M$9,PO_Enrgy_1_Hdr,0),FALSE)),"")</f>
        <v>3.1399999999999996E-3</v>
      </c>
      <c r="AD90" s="1079"/>
      <c r="AE90" s="1079"/>
      <c r="AF90" s="15"/>
      <c r="AG90" s="15"/>
      <c r="AH90" s="1084"/>
      <c r="AI90" s="1084"/>
      <c r="AJ90" s="1085"/>
      <c r="AK90" s="1085"/>
      <c r="AL90" s="15"/>
      <c r="AM90" s="1086"/>
      <c r="AN90" s="15"/>
      <c r="AO90" s="15"/>
      <c r="AP90" s="580"/>
      <c r="AQ90" s="580"/>
      <c r="BC90" s="1906"/>
    </row>
    <row r="91" spans="1:55" ht="15" customHeight="1" x14ac:dyDescent="0.3">
      <c r="A91" s="1063" t="s">
        <v>1299</v>
      </c>
      <c r="B91" s="1082" t="str">
        <f>IFERROR(IF(ISBLANK(B11),"",B11),"")</f>
        <v>Natural Gas</v>
      </c>
      <c r="C91" s="2688" t="str">
        <f>IFERROR(IF(ISBLANK($B91),"",VLOOKUP($B91,PO_Enrgy_1_Table,MATCH($C$9,PO_Enrgy_1_Hdr,0),FALSE) ),"")</f>
        <v>therm</v>
      </c>
      <c r="D91" s="2689" t="e">
        <f>IF(C91="","",VLOOKUP(C91,ProjectEnergyTypeTable,3,FALSE))</f>
        <v>#NAME?</v>
      </c>
      <c r="E91" s="1161">
        <v>0</v>
      </c>
      <c r="F91" s="1161">
        <v>0</v>
      </c>
      <c r="G91" s="1164">
        <v>0</v>
      </c>
      <c r="H91" s="1161">
        <v>0</v>
      </c>
      <c r="I91" s="1161">
        <v>0</v>
      </c>
      <c r="J91" s="1164">
        <v>0</v>
      </c>
      <c r="K91" s="2690" t="str">
        <f>IFERROR(1-H91/E91,"")</f>
        <v/>
      </c>
      <c r="L91" s="2691"/>
      <c r="M91" s="1163" t="str">
        <f>IFERROR(1-J91/G91,"")</f>
        <v/>
      </c>
      <c r="Q91" s="1296">
        <f>IFERROR(IF(ISBLANK($B91),"",VLOOKUP($B91,PO_Enrgy_1_Table,MATCH($K$9,PO_Enrgy_1_Hdr,0),FALSE)),"")</f>
        <v>2.9308323563892142E-2</v>
      </c>
      <c r="R91" s="1296">
        <f>IFERROR(IF(ISBLANK($B91),"",VLOOKUP($B91,PO_Enrgy_1_Table,MATCH($M$9,PO_Enrgy_1_Hdr,0),FALSE)),"")</f>
        <v>3.0773739742086751E-2</v>
      </c>
      <c r="AD91" s="1079"/>
      <c r="AE91" s="1079"/>
      <c r="AF91" s="15"/>
      <c r="AG91" s="15"/>
      <c r="AH91" s="1084"/>
      <c r="AI91" s="1084"/>
      <c r="AJ91" s="1085"/>
      <c r="AK91" s="1085"/>
      <c r="AL91" s="15"/>
      <c r="AM91" s="1086"/>
      <c r="AN91" s="15"/>
      <c r="AO91" s="15"/>
      <c r="AP91" s="580"/>
      <c r="AQ91" s="580"/>
      <c r="BC91" s="1906"/>
    </row>
    <row r="92" spans="1:55" ht="15" customHeight="1" x14ac:dyDescent="0.3">
      <c r="A92" s="1063" t="s">
        <v>1299</v>
      </c>
      <c r="B92" s="1082" t="str">
        <f>IFERROR(IF(ISBLANK(B12),"",B12),"")</f>
        <v>District Cooling</v>
      </c>
      <c r="C92" s="2688" t="str">
        <f>IFERROR(IF(ISBLANK($B92),"",VLOOKUP($B92,PO_Enrgy_1_Table,MATCH($C$9,PO_Enrgy_1_Hdr,0),FALSE) ),"")</f>
        <v>MWh</v>
      </c>
      <c r="D92" s="2689" t="e">
        <f>IF(C92="","",VLOOKUP(C92,ProjectEnergyTypeTable,3,FALSE))</f>
        <v>#NAME?</v>
      </c>
      <c r="E92" s="1161">
        <v>0</v>
      </c>
      <c r="F92" s="1161">
        <v>0</v>
      </c>
      <c r="G92" s="1164">
        <v>0</v>
      </c>
      <c r="H92" s="1161">
        <v>0</v>
      </c>
      <c r="I92" s="1161">
        <v>0</v>
      </c>
      <c r="J92" s="1164">
        <v>0</v>
      </c>
      <c r="K92" s="2690" t="str">
        <f>IFERROR(1-H92/E92,"")</f>
        <v/>
      </c>
      <c r="L92" s="2691"/>
      <c r="M92" s="1163" t="str">
        <f>IFERROR(1-J92/G92,"")</f>
        <v/>
      </c>
      <c r="Q92" s="1296">
        <f>IFERROR(IF(ISBLANK($B92),"",VLOOKUP($B92,PO_Enrgy_1_Table,MATCH($K$9,PO_Enrgy_1_Hdr,0),FALSE)),"")</f>
        <v>0.99999999999999989</v>
      </c>
      <c r="R92" s="1296">
        <f>IFERROR(IF(ISBLANK($B92),"",VLOOKUP($B92,PO_Enrgy_1_Table,MATCH($M$9,PO_Enrgy_1_Hdr,0),FALSE)),"")</f>
        <v>0.99999999999999989</v>
      </c>
      <c r="AD92" s="1079"/>
      <c r="AE92" s="1079"/>
      <c r="AF92" s="15"/>
      <c r="AG92" s="15"/>
      <c r="AH92" s="1084"/>
      <c r="AI92" s="1084"/>
      <c r="AJ92" s="1085"/>
      <c r="AK92" s="1085"/>
      <c r="AL92" s="15"/>
      <c r="AM92" s="1086"/>
      <c r="AN92" s="15"/>
      <c r="AO92" s="15"/>
      <c r="AP92" s="580"/>
      <c r="AQ92" s="580"/>
      <c r="BC92" s="1906"/>
    </row>
    <row r="93" spans="1:55" s="528" customFormat="1" ht="21" customHeight="1" x14ac:dyDescent="0.3">
      <c r="A93" s="1063" t="s">
        <v>1299</v>
      </c>
      <c r="B93" s="2693" t="str">
        <f>"Energy model subtotal (" &amp; PO_SiteUnits &amp; ")"</f>
        <v>Energy model subtotal (MWh)</v>
      </c>
      <c r="C93" s="2693"/>
      <c r="D93" s="2693"/>
      <c r="E93" s="1161">
        <f>IFERROR(SUMPRODUCT(INDEX(PO_Enrgy_9_Table,0,MATCH(E$89,PO_Enrgy_9_Hdr,0)),INDEX(PO_Enrgy_9_Table,0,MATCH($Q$89,PO_Enrgy_9_Hdr,0))),"")</f>
        <v>4679.5717674999978</v>
      </c>
      <c r="F93" s="1161">
        <f>IFERROR(SUM(INDEX(PO_Enrgy_9_Table,0,MATCH(F$89,PO_Enrgy_9_Hdr,0))),"")</f>
        <v>14693.855349949996</v>
      </c>
      <c r="G93" s="1164">
        <f>IFERROR(SUM(INDEX(PO_Enrgy_9_Table,0,MATCH(G$89,PO_Enrgy_9_Hdr,0))),"")</f>
        <v>149746.29655999999</v>
      </c>
      <c r="H93" s="1161">
        <f>IFERROR(SUMPRODUCT(INDEX(PO_Enrgy_9_Table,0,MATCH(H$89,PO_Enrgy_9_Hdr,0)),INDEX(PO_Enrgy_9_Table,0,MATCH($Q$89,PO_Enrgy_9_Hdr,0))),"")</f>
        <v>4159.8126499999989</v>
      </c>
      <c r="I93" s="1161">
        <f>IFERROR(SUM(INDEX(PO_Enrgy_9_Table,0,MATCH(I$89,PO_Enrgy_9_Hdr,0))),"")</f>
        <v>13061.811720999998</v>
      </c>
      <c r="J93" s="1164">
        <f>IFERROR(SUM(INDEX(PO_Enrgy_9_Table,0,MATCH(J$89,PO_Enrgy_9_Hdr,0))),"")</f>
        <v>133114.0048</v>
      </c>
      <c r="K93" s="2690">
        <f>IFERROR(1-H93/E93,"")</f>
        <v>0.11106980367514985</v>
      </c>
      <c r="L93" s="2691"/>
      <c r="M93" s="1163">
        <f>IFERROR(1-J93/G93,"")</f>
        <v>0.11106980367515007</v>
      </c>
      <c r="N93" s="502"/>
      <c r="O93" s="502"/>
      <c r="P93" s="502"/>
      <c r="AD93" s="15"/>
      <c r="AE93" s="15"/>
      <c r="AF93" s="15"/>
      <c r="AG93" s="15"/>
      <c r="AH93" s="1080"/>
      <c r="AI93" s="1081"/>
      <c r="AJ93" s="15"/>
      <c r="AK93" s="15"/>
      <c r="AL93" s="15"/>
      <c r="AM93" s="15"/>
      <c r="AN93" s="15"/>
      <c r="AO93" s="15"/>
      <c r="BC93" s="1906"/>
    </row>
    <row r="94" spans="1:55" s="528" customFormat="1" ht="21.75" customHeight="1" x14ac:dyDescent="0.3">
      <c r="A94" s="1063" t="s">
        <v>1299</v>
      </c>
      <c r="B94" s="2946"/>
      <c r="C94" s="2946"/>
      <c r="D94" s="2946"/>
      <c r="E94" s="2946"/>
      <c r="F94" s="2946"/>
      <c r="G94" s="2946"/>
      <c r="H94" s="2946"/>
      <c r="I94" s="2946"/>
      <c r="J94" s="2946"/>
      <c r="K94" s="2946"/>
      <c r="L94" s="2946"/>
      <c r="M94" s="720"/>
      <c r="N94" s="502"/>
      <c r="O94" s="502"/>
      <c r="P94" s="502"/>
      <c r="AL94" s="553"/>
      <c r="AM94" s="554"/>
    </row>
    <row r="95" spans="1:55" ht="21.75" hidden="1" customHeight="1" x14ac:dyDescent="0.3">
      <c r="A95" s="1063" t="s">
        <v>1299</v>
      </c>
      <c r="B95" s="957" t="s">
        <v>1852</v>
      </c>
      <c r="AL95" s="572"/>
      <c r="AM95" s="573"/>
    </row>
    <row r="96" spans="1:55" ht="32.25" hidden="1" customHeight="1" x14ac:dyDescent="0.3">
      <c r="A96" s="1063" t="s">
        <v>1299</v>
      </c>
      <c r="B96" s="2947" t="s">
        <v>444</v>
      </c>
      <c r="C96" s="2949" t="s">
        <v>1805</v>
      </c>
      <c r="D96" s="2950"/>
      <c r="E96" s="2953" t="s">
        <v>1307</v>
      </c>
      <c r="F96" s="2954"/>
      <c r="G96" s="2955"/>
      <c r="H96" s="2956" t="s">
        <v>454</v>
      </c>
      <c r="I96" s="2957"/>
      <c r="J96" s="2958"/>
      <c r="K96" s="2956" t="s">
        <v>448</v>
      </c>
      <c r="L96" s="2957"/>
      <c r="M96" s="2959"/>
      <c r="N96" s="2940"/>
      <c r="O96" s="2832"/>
      <c r="P96" s="2832"/>
      <c r="AJ96" s="15"/>
      <c r="AL96" s="550"/>
      <c r="AM96" s="551"/>
    </row>
    <row r="97" spans="1:55" ht="48" hidden="1" customHeight="1" x14ac:dyDescent="0.3">
      <c r="A97" s="1063" t="s">
        <v>1299</v>
      </c>
      <c r="B97" s="2948"/>
      <c r="C97" s="2951"/>
      <c r="D97" s="2952"/>
      <c r="E97" s="1048" t="s">
        <v>1117</v>
      </c>
      <c r="F97" s="1049" t="str">
        <f>"Source Energy Use ("  &amp; PO_SourceUnits &amp; ")"</f>
        <v>Source Energy Use (MWh)</v>
      </c>
      <c r="G97" s="1048" t="s">
        <v>446</v>
      </c>
      <c r="H97" s="1048" t="s">
        <v>1117</v>
      </c>
      <c r="I97" s="1049" t="str">
        <f>"Source Energy Use ("  &amp; PO_SourceUnits &amp; ")"</f>
        <v>Source Energy Use (MWh)</v>
      </c>
      <c r="J97" s="1048" t="s">
        <v>446</v>
      </c>
      <c r="K97" s="2941" t="s">
        <v>447</v>
      </c>
      <c r="L97" s="2942"/>
      <c r="M97" s="1182" t="s">
        <v>446</v>
      </c>
      <c r="N97" s="578"/>
      <c r="O97" s="578"/>
      <c r="P97" s="578"/>
      <c r="AJ97" s="15"/>
    </row>
    <row r="98" spans="1:55" s="1076" customFormat="1" ht="14.4" hidden="1" x14ac:dyDescent="0.3">
      <c r="A98" s="1063" t="s">
        <v>1299</v>
      </c>
      <c r="B98" s="1098" t="s">
        <v>1765</v>
      </c>
      <c r="C98" s="1091" t="s">
        <v>1793</v>
      </c>
      <c r="D98" s="1099"/>
      <c r="E98" s="1100" t="s">
        <v>1821</v>
      </c>
      <c r="F98" s="1099" t="s">
        <v>1822</v>
      </c>
      <c r="G98" s="1100" t="s">
        <v>1823</v>
      </c>
      <c r="H98" s="1100" t="s">
        <v>1806</v>
      </c>
      <c r="I98" s="1099" t="s">
        <v>1807</v>
      </c>
      <c r="J98" s="1100" t="s">
        <v>1808</v>
      </c>
      <c r="K98" s="1100" t="s">
        <v>1824</v>
      </c>
      <c r="L98" s="1091"/>
      <c r="M98" s="1101" t="s">
        <v>1810</v>
      </c>
      <c r="N98" s="1094"/>
      <c r="O98" s="1094"/>
      <c r="P98" s="1094"/>
      <c r="Q98" s="1042" t="s">
        <v>1776</v>
      </c>
      <c r="R98" s="1042" t="s">
        <v>1777</v>
      </c>
      <c r="AJ98" s="1077"/>
    </row>
    <row r="99" spans="1:55" ht="15" hidden="1" customHeight="1" x14ac:dyDescent="0.3">
      <c r="A99" s="1063" t="s">
        <v>1299</v>
      </c>
      <c r="B99" s="1972" t="str">
        <f>IFERROR(IF(ISBLANK(B10),"",B10),"")</f>
        <v>Electricity</v>
      </c>
      <c r="C99" s="2840" t="str">
        <f>IFERROR(IF(ISBLANK($B99),"",VLOOKUP($B99,PO_Enrgy_1_Table,MATCH($C$9,PO_Enrgy_1_Hdr,0),FALSE) ),"")</f>
        <v>kWh</v>
      </c>
      <c r="D99" s="2945"/>
      <c r="E99" s="1200">
        <v>4679571.7674999991</v>
      </c>
      <c r="F99" s="1200">
        <v>14693.855349949996</v>
      </c>
      <c r="G99" s="1164">
        <v>149746.29655999999</v>
      </c>
      <c r="H99" s="1200">
        <v>4159812.65</v>
      </c>
      <c r="I99" s="1200">
        <v>13061.811720999998</v>
      </c>
      <c r="J99" s="1164">
        <v>133114.0048</v>
      </c>
      <c r="K99" s="2943">
        <f>IFERROR(1-H99/E99,"")</f>
        <v>0.11106980367514996</v>
      </c>
      <c r="L99" s="2944"/>
      <c r="M99" s="1201">
        <f>IFERROR(1-J99/G99,"")</f>
        <v>0.11106980367515007</v>
      </c>
      <c r="Q99" s="1043">
        <f>IFERROR(IF(ISBLANK($B99),"",VLOOKUP($B99,PO_Enrgy_1_Table,MATCH($K$9,PO_Enrgy_1_Hdr,0),FALSE)),"")</f>
        <v>9.999999999999998E-4</v>
      </c>
      <c r="R99" s="1043">
        <f>IFERROR(IF(ISBLANK($B99),"",VLOOKUP($B99,PO_Enrgy_1_Table,MATCH($M$9,PO_Enrgy_1_Hdr,0),FALSE)),"")</f>
        <v>3.1399999999999996E-3</v>
      </c>
      <c r="AH99" s="546"/>
      <c r="AI99" s="546"/>
      <c r="AJ99" s="15"/>
      <c r="AL99" s="550"/>
      <c r="AM99" s="551"/>
      <c r="AN99" s="552"/>
      <c r="BC99" s="1906"/>
    </row>
    <row r="100" spans="1:55" ht="15" hidden="1" customHeight="1" x14ac:dyDescent="0.3">
      <c r="A100" s="1063" t="s">
        <v>1299</v>
      </c>
      <c r="B100" s="1972" t="str">
        <f>IFERROR(IF(ISBLANK(B11),"",B11),"")</f>
        <v>Natural Gas</v>
      </c>
      <c r="C100" s="2840" t="str">
        <f>IFERROR(IF(ISBLANK($B100),"",VLOOKUP($B100,PO_Enrgy_1_Table,MATCH($C$9,PO_Enrgy_1_Hdr,0),FALSE) ),"")</f>
        <v>therm</v>
      </c>
      <c r="D100" s="2841" t="e">
        <f>IF(C100="","",VLOOKUP(C100,ProjectEnergyTypeTable,3,FALSE))</f>
        <v>#NAME?</v>
      </c>
      <c r="E100" s="1200">
        <v>0</v>
      </c>
      <c r="F100" s="1200">
        <v>0</v>
      </c>
      <c r="G100" s="1164">
        <v>0</v>
      </c>
      <c r="H100" s="1200">
        <v>0</v>
      </c>
      <c r="I100" s="1200">
        <v>0</v>
      </c>
      <c r="J100" s="1164">
        <v>0</v>
      </c>
      <c r="K100" s="2943" t="str">
        <f>IFERROR(1-H100/E100,"")</f>
        <v/>
      </c>
      <c r="L100" s="2944"/>
      <c r="M100" s="1201" t="str">
        <f>IFERROR(1-J100/G100,"")</f>
        <v/>
      </c>
      <c r="Q100" s="1043">
        <f>IFERROR(IF(ISBLANK($B100),"",VLOOKUP($B100,PO_Enrgy_1_Table,MATCH($K$9,PO_Enrgy_1_Hdr,0),FALSE)),"")</f>
        <v>2.9308323563892142E-2</v>
      </c>
      <c r="R100" s="1043">
        <f>IFERROR(IF(ISBLANK($B100),"",VLOOKUP($B100,PO_Enrgy_1_Table,MATCH($M$9,PO_Enrgy_1_Hdr,0),FALSE)),"")</f>
        <v>3.0773739742086751E-2</v>
      </c>
      <c r="AH100" s="546"/>
      <c r="AI100" s="546"/>
      <c r="AJ100" s="15"/>
      <c r="AL100" s="550"/>
      <c r="AM100" s="551"/>
      <c r="AN100" s="552"/>
      <c r="BC100" s="1906"/>
    </row>
    <row r="101" spans="1:55" ht="15" hidden="1" customHeight="1" x14ac:dyDescent="0.3">
      <c r="A101" s="1063" t="s">
        <v>1299</v>
      </c>
      <c r="B101" s="1972" t="str">
        <f>IFERROR(IF(ISBLANK(B12),"",B12),"")</f>
        <v>District Cooling</v>
      </c>
      <c r="C101" s="2840" t="str">
        <f>IFERROR(IF(ISBLANK($B101),"",VLOOKUP($B101,PO_Enrgy_1_Table,MATCH($C$9,PO_Enrgy_1_Hdr,0),FALSE) ),"")</f>
        <v>MWh</v>
      </c>
      <c r="D101" s="2841" t="e">
        <f>IF(C101="","",VLOOKUP(C101,ProjectEnergyTypeTable,3,FALSE))</f>
        <v>#NAME?</v>
      </c>
      <c r="E101" s="1200">
        <v>0</v>
      </c>
      <c r="F101" s="1200">
        <v>0</v>
      </c>
      <c r="G101" s="1164">
        <v>0</v>
      </c>
      <c r="H101" s="1200">
        <v>0</v>
      </c>
      <c r="I101" s="1200">
        <v>0</v>
      </c>
      <c r="J101" s="1164">
        <v>0</v>
      </c>
      <c r="K101" s="2943" t="str">
        <f>IFERROR(1-H101/E101,"")</f>
        <v/>
      </c>
      <c r="L101" s="2944"/>
      <c r="M101" s="1201" t="str">
        <f>IFERROR(1-J101/G101,"")</f>
        <v/>
      </c>
      <c r="Q101" s="1043">
        <f>IFERROR(IF(ISBLANK($B101),"",VLOOKUP($B101,PO_Enrgy_1_Table,MATCH($K$9,PO_Enrgy_1_Hdr,0),FALSE)),"")</f>
        <v>0.99999999999999989</v>
      </c>
      <c r="R101" s="1043">
        <f>IFERROR(IF(ISBLANK($B101),"",VLOOKUP($B101,PO_Enrgy_1_Table,MATCH($M$9,PO_Enrgy_1_Hdr,0),FALSE)),"")</f>
        <v>0.99999999999999989</v>
      </c>
      <c r="AH101" s="546"/>
      <c r="AI101" s="546"/>
      <c r="AJ101" s="15"/>
      <c r="AL101" s="550"/>
      <c r="AM101" s="551"/>
      <c r="AN101" s="552"/>
      <c r="BC101" s="1906"/>
    </row>
    <row r="102" spans="1:55" s="528" customFormat="1" ht="21" hidden="1" customHeight="1" x14ac:dyDescent="0.3">
      <c r="A102" s="1063" t="s">
        <v>1299</v>
      </c>
      <c r="B102" s="2921" t="str">
        <f>"Energy Model Subtotal (" &amp; PO_SiteUnits &amp; ")"</f>
        <v>Energy Model Subtotal (MWh)</v>
      </c>
      <c r="C102" s="2922"/>
      <c r="D102" s="2923"/>
      <c r="E102" s="1183">
        <f>IFERROR(SUMPRODUCT(INDEX(PO_Enrgy_13_Table,0,MATCH(E$98,PO_Enrgy_13_Hdr,0)),INDEX(PO_Enrgy_13_Table,0,MATCH($Q$98,PO_Enrgy_13_Hdr,0))),"")</f>
        <v>4679.5717674999978</v>
      </c>
      <c r="F102" s="1184">
        <f>IFERROR(SUM(INDEX(PO_Enrgy_13_Table,0,MATCH(F$98,PO_Enrgy_13_Hdr,0))),"")</f>
        <v>14693.855349949996</v>
      </c>
      <c r="G102" s="1185">
        <f>IFERROR(SUM(INDEX(PO_Enrgy_13_Table,0,MATCH(G$98,PO_Enrgy_13_Hdr,0))),"")</f>
        <v>149746.29655999999</v>
      </c>
      <c r="H102" s="1183">
        <f>IFERROR(SUMPRODUCT(INDEX(PO_Enrgy_13_Table,0,MATCH(H$98,PO_Enrgy_13_Hdr,0)),INDEX(PO_Enrgy_13_Table,0,MATCH($Q$98,PO_Enrgy_13_Hdr,0))),"")</f>
        <v>4159.8126499999989</v>
      </c>
      <c r="I102" s="1184">
        <f>IFERROR(SUM(INDEX(PO_Enrgy_13_Table,0,MATCH(I$98,PO_Enrgy_13_Hdr,0))),"")</f>
        <v>13061.811720999998</v>
      </c>
      <c r="J102" s="1185">
        <f>IFERROR(SUM(INDEX(PO_Enrgy_13_Table,0,MATCH(J$98,PO_Enrgy_13_Hdr,0))),"")</f>
        <v>133114.0048</v>
      </c>
      <c r="K102" s="2924">
        <f>IFERROR(1-H102/E102,"")</f>
        <v>0.11106980367514985</v>
      </c>
      <c r="L102" s="2925"/>
      <c r="M102" s="1186">
        <f>IFERROR(1-J102/G102,"")</f>
        <v>0.11106980367515007</v>
      </c>
      <c r="N102" s="502"/>
      <c r="O102" s="502"/>
      <c r="P102" s="502"/>
      <c r="AJ102" s="15"/>
      <c r="AL102" s="550"/>
      <c r="AM102" s="551"/>
      <c r="BC102" s="1906"/>
    </row>
    <row r="103" spans="1:55" s="528" customFormat="1" ht="30" customHeight="1" x14ac:dyDescent="0.3">
      <c r="A103" s="1063" t="s">
        <v>1299</v>
      </c>
      <c r="B103" s="2926"/>
      <c r="C103" s="2926"/>
      <c r="D103" s="2926"/>
      <c r="E103" s="2926"/>
      <c r="F103" s="2926"/>
      <c r="G103" s="2926"/>
      <c r="H103" s="2926"/>
      <c r="I103" s="2926"/>
      <c r="J103" s="2926"/>
      <c r="K103" s="2926"/>
      <c r="L103" s="2926"/>
      <c r="M103" s="720"/>
      <c r="N103" s="502"/>
      <c r="O103" s="502"/>
      <c r="P103" s="502"/>
      <c r="AL103" s="553"/>
      <c r="AM103" s="554"/>
    </row>
    <row r="104" spans="1:55" ht="18" customHeight="1" x14ac:dyDescent="0.3">
      <c r="A104" s="1063" t="s">
        <v>1299</v>
      </c>
      <c r="B104" s="2848" t="s">
        <v>1282</v>
      </c>
      <c r="C104" s="2815"/>
      <c r="D104" s="2815"/>
      <c r="E104" s="2815"/>
      <c r="F104" s="2815"/>
      <c r="G104" s="2849"/>
      <c r="H104" s="2849"/>
      <c r="I104" s="2849"/>
      <c r="J104" s="2849"/>
      <c r="K104" s="2850">
        <f>$M$102</f>
        <v>0.11106980367515007</v>
      </c>
      <c r="L104" s="2825"/>
      <c r="M104" s="2851"/>
      <c r="AJ104" s="15"/>
      <c r="BC104" s="1906"/>
    </row>
    <row r="105" spans="1:55" s="528" customFormat="1" ht="33" customHeight="1" x14ac:dyDescent="0.3">
      <c r="A105" s="1063" t="s">
        <v>1299</v>
      </c>
      <c r="B105" s="532"/>
      <c r="C105" s="532"/>
      <c r="D105" s="532"/>
      <c r="E105" s="533"/>
      <c r="F105" s="533"/>
      <c r="G105" s="577"/>
      <c r="H105" s="533"/>
      <c r="I105" s="533"/>
      <c r="J105" s="577"/>
      <c r="K105" s="720"/>
      <c r="L105" s="720"/>
      <c r="M105" s="720"/>
      <c r="N105" s="502"/>
      <c r="O105" s="502"/>
      <c r="P105" s="502"/>
      <c r="AL105" s="553"/>
      <c r="AM105" s="554"/>
    </row>
    <row r="106" spans="1:55" ht="21.75" customHeight="1" x14ac:dyDescent="0.3">
      <c r="A106" s="1063" t="s">
        <v>1299</v>
      </c>
      <c r="B106" s="957" t="s">
        <v>1272</v>
      </c>
      <c r="AL106" s="572"/>
      <c r="AM106" s="573"/>
    </row>
    <row r="107" spans="1:55" ht="42" customHeight="1" x14ac:dyDescent="0.3">
      <c r="A107" s="1063" t="s">
        <v>1299</v>
      </c>
      <c r="B107" s="2698" t="s">
        <v>444</v>
      </c>
      <c r="C107" s="2402" t="s">
        <v>1805</v>
      </c>
      <c r="D107" s="2699"/>
      <c r="E107" s="2741" t="s">
        <v>452</v>
      </c>
      <c r="F107" s="2741"/>
      <c r="G107" s="2741"/>
      <c r="H107" s="2700" t="s">
        <v>1173</v>
      </c>
      <c r="I107" s="2698"/>
      <c r="J107" s="2698"/>
      <c r="K107" s="2698" t="s">
        <v>451</v>
      </c>
      <c r="L107" s="2698"/>
      <c r="M107" s="2699"/>
      <c r="N107" s="2832"/>
      <c r="O107" s="2832"/>
      <c r="P107" s="2832"/>
      <c r="AJ107" s="15"/>
      <c r="AL107" s="550"/>
      <c r="AM107" s="551"/>
      <c r="AR107" s="961"/>
      <c r="AS107" s="962"/>
      <c r="AT107" s="962"/>
      <c r="AU107" s="962"/>
      <c r="AV107" s="555"/>
    </row>
    <row r="108" spans="1:55" ht="56.25" customHeight="1" x14ac:dyDescent="0.3">
      <c r="A108" s="1063" t="s">
        <v>1299</v>
      </c>
      <c r="B108" s="2699"/>
      <c r="C108" s="2699"/>
      <c r="D108" s="2699"/>
      <c r="E108" s="966" t="s">
        <v>450</v>
      </c>
      <c r="F108" s="1115" t="str">
        <f>"Source Energy Use Savings 
("  &amp; PO_SourceUnits &amp; ")"</f>
        <v>Source Energy Use Savings 
(MWh)</v>
      </c>
      <c r="G108" s="966" t="s">
        <v>449</v>
      </c>
      <c r="H108" s="966" t="s">
        <v>1117</v>
      </c>
      <c r="I108" s="1115" t="str">
        <f>"Source Energy Use 
("  &amp; PO_SourceUnits &amp; ")"</f>
        <v>Source Energy Use 
(MWh)</v>
      </c>
      <c r="J108" s="966" t="s">
        <v>446</v>
      </c>
      <c r="K108" s="2700" t="s">
        <v>447</v>
      </c>
      <c r="L108" s="2699"/>
      <c r="M108" s="966" t="s">
        <v>446</v>
      </c>
      <c r="N108" s="960"/>
      <c r="O108" s="960"/>
      <c r="P108" s="960"/>
      <c r="AJ108" s="15"/>
      <c r="AL108" s="550"/>
      <c r="AM108" s="551"/>
      <c r="AR108" s="962"/>
      <c r="AS108" s="566"/>
      <c r="AT108" s="566"/>
      <c r="AU108" s="566"/>
    </row>
    <row r="109" spans="1:55" s="1076" customFormat="1" ht="14.4" hidden="1" x14ac:dyDescent="0.3">
      <c r="A109" s="1063" t="s">
        <v>1299</v>
      </c>
      <c r="B109" s="1099" t="s">
        <v>1765</v>
      </c>
      <c r="C109" s="1091" t="s">
        <v>1793</v>
      </c>
      <c r="D109" s="1099"/>
      <c r="E109" s="1100" t="s">
        <v>1825</v>
      </c>
      <c r="F109" s="1099" t="s">
        <v>1826</v>
      </c>
      <c r="G109" s="1100" t="s">
        <v>1827</v>
      </c>
      <c r="H109" s="1100" t="s">
        <v>1806</v>
      </c>
      <c r="I109" s="1099" t="s">
        <v>1807</v>
      </c>
      <c r="J109" s="1100" t="s">
        <v>1808</v>
      </c>
      <c r="K109" s="1100" t="s">
        <v>1824</v>
      </c>
      <c r="L109" s="1091"/>
      <c r="M109" s="1100" t="s">
        <v>1810</v>
      </c>
      <c r="N109" s="1094"/>
      <c r="O109" s="1094"/>
      <c r="P109" s="1094"/>
      <c r="Q109" s="1297" t="s">
        <v>1776</v>
      </c>
      <c r="R109" s="1297" t="s">
        <v>1777</v>
      </c>
      <c r="AJ109" s="1077"/>
    </row>
    <row r="110" spans="1:55" ht="15" customHeight="1" x14ac:dyDescent="0.3">
      <c r="A110" s="1063" t="s">
        <v>1299</v>
      </c>
      <c r="B110" s="1177" t="str">
        <f>IFERROR(IF(ISBLANK(B10),"",B10),"")</f>
        <v>Electricity</v>
      </c>
      <c r="C110" s="2840" t="str">
        <f>IFERROR(IF(ISBLANK($B110),"",VLOOKUP($B110,PO_Enrgy_1_Table,MATCH($C$9,PO_Enrgy_1_Hdr,0),FALSE) ),"")</f>
        <v>kWh</v>
      </c>
      <c r="D110" s="2841" t="e">
        <f>IF(C110="","",VLOOKUP(C110,ProjectEnergyTypeTable,3,FALSE))</f>
        <v>#NAME?</v>
      </c>
      <c r="E110" s="1188">
        <v>105847</v>
      </c>
      <c r="F110" s="1188">
        <v>332.35957999999994</v>
      </c>
      <c r="G110" s="1164">
        <v>3387.1040000000003</v>
      </c>
      <c r="H110" s="1188">
        <v>4053965.65</v>
      </c>
      <c r="I110" s="1188">
        <v>12729.452140999998</v>
      </c>
      <c r="J110" s="1164">
        <v>129726.90079999999</v>
      </c>
      <c r="K110" s="2842">
        <f>IFERROR(1-$H110/VLOOKUP($B110,PO_Enrgy_13_Table,MATCH($E$98,PO_Enrgy_13_Hdr,0),FALSE),"")</f>
        <v>0.13368875371137245</v>
      </c>
      <c r="L110" s="2843"/>
      <c r="M110" s="1202">
        <f>IFERROR(1-$J110/VLOOKUP($B110,PO_Enrgy_13_Table,MATCH($G$98,PO_Enrgy_13_Hdr,0),FALSE),"")</f>
        <v>0.13368875371137257</v>
      </c>
      <c r="Q110" s="1296">
        <f>IFERROR(IF(ISBLANK($B110),"",VLOOKUP($B110,PO_Enrgy_1_Table,MATCH($K$9,PO_Enrgy_1_Hdr,0),FALSE)),"")</f>
        <v>9.999999999999998E-4</v>
      </c>
      <c r="R110" s="1296">
        <f>IFERROR(IF(ISBLANK($B110),"",VLOOKUP($B110,PO_Enrgy_1_Table,MATCH($M$9,PO_Enrgy_1_Hdr,0),FALSE)),"")</f>
        <v>3.1399999999999996E-3</v>
      </c>
      <c r="AH110" s="546"/>
      <c r="AI110" s="546"/>
      <c r="AJ110" s="539"/>
      <c r="AL110" s="550"/>
      <c r="AM110" s="550"/>
      <c r="AN110" s="584"/>
      <c r="AP110" s="556"/>
      <c r="AR110" s="557"/>
      <c r="AS110" s="540"/>
      <c r="AT110" s="540"/>
      <c r="AU110" s="567"/>
      <c r="BC110" s="1906"/>
    </row>
    <row r="111" spans="1:55" ht="15" customHeight="1" x14ac:dyDescent="0.3">
      <c r="A111" s="1063" t="s">
        <v>1299</v>
      </c>
      <c r="B111" s="1177" t="str">
        <f>IFERROR(IF(ISBLANK(B11),"",B11),"")</f>
        <v>Natural Gas</v>
      </c>
      <c r="C111" s="2840" t="str">
        <f>IFERROR(IF(ISBLANK($B111),"",VLOOKUP($B111,PO_Enrgy_1_Table,MATCH($C$9,PO_Enrgy_1_Hdr,0),FALSE) ),"")</f>
        <v>therm</v>
      </c>
      <c r="D111" s="2841" t="e">
        <f>IF(C111="","",VLOOKUP(C111,ProjectEnergyTypeTable,3,FALSE))</f>
        <v>#NAME?</v>
      </c>
      <c r="E111" s="1188">
        <v>0</v>
      </c>
      <c r="F111" s="1188">
        <v>0</v>
      </c>
      <c r="G111" s="1164">
        <v>0</v>
      </c>
      <c r="H111" s="1188">
        <v>0</v>
      </c>
      <c r="I111" s="1188">
        <v>0</v>
      </c>
      <c r="J111" s="1164">
        <v>0</v>
      </c>
      <c r="K111" s="2842" t="str">
        <f>IFERROR(1-$H111/VLOOKUP($B111,PO_Enrgy_13_Table,MATCH($E$98,PO_Enrgy_13_Hdr,0),FALSE),"")</f>
        <v/>
      </c>
      <c r="L111" s="2843"/>
      <c r="M111" s="1202" t="str">
        <f>IFERROR(1-$J111/VLOOKUP($B111,PO_Enrgy_13_Table,MATCH($G$98,PO_Enrgy_13_Hdr,0),FALSE),"")</f>
        <v/>
      </c>
      <c r="Q111" s="1296">
        <f>IFERROR(IF(ISBLANK($B111),"",VLOOKUP($B111,PO_Enrgy_1_Table,MATCH($K$9,PO_Enrgy_1_Hdr,0),FALSE)),"")</f>
        <v>2.9308323563892142E-2</v>
      </c>
      <c r="R111" s="1296">
        <f>IFERROR(IF(ISBLANK($B111),"",VLOOKUP($B111,PO_Enrgy_1_Table,MATCH($M$9,PO_Enrgy_1_Hdr,0),FALSE)),"")</f>
        <v>3.0773739742086751E-2</v>
      </c>
      <c r="AH111" s="546"/>
      <c r="AI111" s="546"/>
      <c r="AJ111" s="539"/>
      <c r="AL111" s="550"/>
      <c r="AM111" s="550"/>
      <c r="AN111" s="584"/>
      <c r="AP111" s="556"/>
      <c r="AR111" s="557"/>
      <c r="AS111" s="540"/>
      <c r="AT111" s="540"/>
      <c r="AU111" s="567"/>
      <c r="BC111" s="1906"/>
    </row>
    <row r="112" spans="1:55" ht="15" customHeight="1" x14ac:dyDescent="0.3">
      <c r="A112" s="1063" t="s">
        <v>1299</v>
      </c>
      <c r="B112" s="1177" t="str">
        <f>IFERROR(IF(ISBLANK(B12),"",B12),"")</f>
        <v>District Cooling</v>
      </c>
      <c r="C112" s="2840" t="str">
        <f>IFERROR(IF(ISBLANK($B112),"",VLOOKUP($B112,PO_Enrgy_1_Table,MATCH($C$9,PO_Enrgy_1_Hdr,0),FALSE) ),"")</f>
        <v>MWh</v>
      </c>
      <c r="D112" s="2841" t="e">
        <f>IF(C112="","",VLOOKUP(C112,ProjectEnergyTypeTable,3,FALSE))</f>
        <v>#NAME?</v>
      </c>
      <c r="E112" s="1188">
        <v>0</v>
      </c>
      <c r="F112" s="1188">
        <v>0</v>
      </c>
      <c r="G112" s="1164">
        <v>0</v>
      </c>
      <c r="H112" s="1188">
        <v>0</v>
      </c>
      <c r="I112" s="1188">
        <v>0</v>
      </c>
      <c r="J112" s="1164">
        <v>0</v>
      </c>
      <c r="K112" s="2842" t="str">
        <f>IFERROR(1-$H112/VLOOKUP($B112,PO_Enrgy_13_Table,MATCH($E$98,PO_Enrgy_13_Hdr,0),FALSE),"")</f>
        <v/>
      </c>
      <c r="L112" s="2843"/>
      <c r="M112" s="1202" t="str">
        <f>IFERROR(1-$J112/VLOOKUP($B112,PO_Enrgy_13_Table,MATCH($G$98,PO_Enrgy_13_Hdr,0),FALSE),"")</f>
        <v/>
      </c>
      <c r="Q112" s="1296">
        <f>IFERROR(IF(ISBLANK($B112),"",VLOOKUP($B112,PO_Enrgy_1_Table,MATCH($K$9,PO_Enrgy_1_Hdr,0),FALSE)),"")</f>
        <v>0.99999999999999989</v>
      </c>
      <c r="R112" s="1296">
        <f>IFERROR(IF(ISBLANK($B112),"",VLOOKUP($B112,PO_Enrgy_1_Table,MATCH($M$9,PO_Enrgy_1_Hdr,0),FALSE)),"")</f>
        <v>0.99999999999999989</v>
      </c>
      <c r="AH112" s="546"/>
      <c r="AI112" s="546"/>
      <c r="AJ112" s="539"/>
      <c r="AL112" s="550"/>
      <c r="AM112" s="550"/>
      <c r="AN112" s="584"/>
      <c r="AP112" s="556"/>
      <c r="AR112" s="557"/>
      <c r="AS112" s="540"/>
      <c r="AT112" s="540"/>
      <c r="AU112" s="567"/>
      <c r="BC112" s="1906"/>
    </row>
    <row r="113" spans="1:55" s="528" customFormat="1" ht="21" customHeight="1" x14ac:dyDescent="0.3">
      <c r="A113" s="1063" t="s">
        <v>1299</v>
      </c>
      <c r="B113" s="2693" t="str">
        <f>"Energy model subtotal (" &amp; PO_SiteUnits &amp; ")"</f>
        <v>Energy model subtotal (MWh)</v>
      </c>
      <c r="C113" s="2693"/>
      <c r="D113" s="2693"/>
      <c r="E113" s="1188">
        <f>IFERROR(SUMPRODUCT(INDEX(PO_Enrgy_14_Table,0,MATCH(E$109,PO_Enrgy_14_Hdr,0)),INDEX(PO_Enrgy_14_Table,0,MATCH($Q$109,PO_Enrgy_14_Hdr,0))),"")</f>
        <v>105.84699999999998</v>
      </c>
      <c r="F113" s="1161">
        <f>IFERROR(SUM(INDEX(PO_Enrgy_14_Table,0,MATCH(F$109,PO_Enrgy_14_Hdr,0))),"")</f>
        <v>332.35957999999994</v>
      </c>
      <c r="G113" s="1164">
        <f>IFERROR(SUM(INDEX(PO_Enrgy_14_Table,0,MATCH(G$109,PO_Enrgy_14_Hdr,0))),"")</f>
        <v>3387.1040000000003</v>
      </c>
      <c r="H113" s="1188">
        <f>IFERROR(SUMPRODUCT(INDEX(PO_Enrgy_14_Table,0,MATCH(H$109,PO_Enrgy_14_Hdr,0)),INDEX(PO_Enrgy_14_Table,0,MATCH($Q$109,PO_Enrgy_14_Hdr,0))),"")</f>
        <v>4053.9656499999992</v>
      </c>
      <c r="I113" s="1161">
        <f>IFERROR(SUM(INDEX(PO_Enrgy_14_Table,0,MATCH(I$109,PO_Enrgy_14_Hdr,0))),"")</f>
        <v>12729.452140999998</v>
      </c>
      <c r="J113" s="1164">
        <f>IFERROR(SUM(INDEX(PO_Enrgy_14_Table,0,MATCH(J$109,PO_Enrgy_14_Hdr,0))),"")</f>
        <v>129726.90079999999</v>
      </c>
      <c r="K113" s="2869">
        <f>IFERROR(1-$H113/$E$102,"")</f>
        <v>0.13368875371137234</v>
      </c>
      <c r="L113" s="2869"/>
      <c r="M113" s="1187">
        <f>IFERROR(1-$J113/$G$102,"")</f>
        <v>0.13368875371137257</v>
      </c>
      <c r="N113" s="502"/>
      <c r="O113" s="502"/>
      <c r="P113" s="502"/>
      <c r="AJ113" s="15"/>
      <c r="AL113" s="550"/>
      <c r="AM113" s="551"/>
      <c r="AR113" s="557"/>
      <c r="AS113" s="540"/>
      <c r="AT113" s="540"/>
      <c r="AU113" s="541"/>
      <c r="BC113" s="1906"/>
    </row>
    <row r="114" spans="1:55" s="528" customFormat="1" ht="33" customHeight="1" x14ac:dyDescent="0.3">
      <c r="A114" s="1063" t="s">
        <v>1299</v>
      </c>
      <c r="B114" s="532"/>
      <c r="C114" s="532"/>
      <c r="D114" s="532"/>
      <c r="E114" s="538"/>
      <c r="F114" s="538"/>
      <c r="G114" s="577"/>
      <c r="H114" s="538"/>
      <c r="I114" s="538"/>
      <c r="J114" s="577"/>
      <c r="K114" s="720"/>
      <c r="L114" s="502"/>
      <c r="M114" s="720"/>
      <c r="N114" s="502"/>
      <c r="O114" s="502"/>
      <c r="P114" s="502"/>
      <c r="AJ114" s="15"/>
      <c r="AL114" s="550"/>
      <c r="AM114" s="551"/>
      <c r="AR114" s="557"/>
      <c r="AS114" s="540"/>
      <c r="AT114" s="540"/>
      <c r="AU114" s="541"/>
    </row>
    <row r="115" spans="1:55" ht="21" customHeight="1" x14ac:dyDescent="0.3">
      <c r="A115" s="1063" t="s">
        <v>1299</v>
      </c>
      <c r="B115" s="957" t="s">
        <v>1273</v>
      </c>
      <c r="AL115" s="572"/>
      <c r="AM115" s="573"/>
    </row>
    <row r="116" spans="1:55" ht="25.5" customHeight="1" x14ac:dyDescent="0.3">
      <c r="A116" s="1063" t="s">
        <v>1299</v>
      </c>
      <c r="B116" s="2698" t="s">
        <v>444</v>
      </c>
      <c r="C116" s="2402" t="s">
        <v>1805</v>
      </c>
      <c r="D116" s="2699"/>
      <c r="E116" s="2700" t="s">
        <v>347</v>
      </c>
      <c r="F116" s="2698"/>
      <c r="G116" s="2698"/>
      <c r="H116" s="2700" t="s">
        <v>348</v>
      </c>
      <c r="I116" s="2698"/>
      <c r="J116" s="2698"/>
      <c r="K116" s="2700" t="s">
        <v>448</v>
      </c>
      <c r="L116" s="2698"/>
      <c r="M116" s="2699"/>
      <c r="AJ116" s="15"/>
    </row>
    <row r="117" spans="1:55" ht="63.75" customHeight="1" x14ac:dyDescent="0.3">
      <c r="A117" s="1063" t="s">
        <v>1299</v>
      </c>
      <c r="B117" s="2699"/>
      <c r="C117" s="2699"/>
      <c r="D117" s="2699"/>
      <c r="E117" s="966" t="s">
        <v>1117</v>
      </c>
      <c r="F117" s="1115" t="str">
        <f>"Source Energy Use 
("  &amp; PO_SourceUnits &amp; ")"</f>
        <v>Source Energy Use 
(MWh)</v>
      </c>
      <c r="G117" s="966" t="s">
        <v>446</v>
      </c>
      <c r="H117" s="966" t="s">
        <v>1117</v>
      </c>
      <c r="I117" s="1115" t="str">
        <f>"Source Energy Use 
("  &amp; PO_SourceUnits &amp; ")"</f>
        <v>Source Energy Use 
(MWh)</v>
      </c>
      <c r="J117" s="966" t="s">
        <v>446</v>
      </c>
      <c r="K117" s="2700" t="s">
        <v>447</v>
      </c>
      <c r="L117" s="2699"/>
      <c r="M117" s="966" t="s">
        <v>446</v>
      </c>
      <c r="AJ117" s="15"/>
    </row>
    <row r="118" spans="1:55" s="1076" customFormat="1" ht="14.4" hidden="1" x14ac:dyDescent="0.3">
      <c r="A118" s="1063" t="s">
        <v>1299</v>
      </c>
      <c r="B118" s="1099" t="s">
        <v>1765</v>
      </c>
      <c r="C118" s="1091" t="s">
        <v>1793</v>
      </c>
      <c r="D118" s="1099"/>
      <c r="E118" s="1100" t="s">
        <v>1821</v>
      </c>
      <c r="F118" s="1099" t="s">
        <v>1822</v>
      </c>
      <c r="G118" s="1100" t="s">
        <v>1823</v>
      </c>
      <c r="H118" s="1100" t="s">
        <v>1806</v>
      </c>
      <c r="I118" s="1099" t="s">
        <v>1807</v>
      </c>
      <c r="J118" s="1100" t="s">
        <v>1808</v>
      </c>
      <c r="K118" s="1100" t="s">
        <v>1824</v>
      </c>
      <c r="L118" s="1091"/>
      <c r="M118" s="1100" t="s">
        <v>1810</v>
      </c>
      <c r="N118" s="1094"/>
      <c r="O118" s="1094"/>
      <c r="P118" s="1094"/>
      <c r="Q118" s="1297" t="s">
        <v>1776</v>
      </c>
      <c r="R118" s="1297" t="s">
        <v>1777</v>
      </c>
      <c r="AJ118" s="1077"/>
    </row>
    <row r="119" spans="1:55" ht="15" customHeight="1" x14ac:dyDescent="0.3">
      <c r="A119" s="1063" t="s">
        <v>1299</v>
      </c>
      <c r="B119" s="1082" t="str">
        <f>IFERROR(IF(ISBLANK(B10),"",B10),"")</f>
        <v>Electricity</v>
      </c>
      <c r="C119" s="2688" t="str">
        <f>IFERROR(IF(ISBLANK($B119),"",VLOOKUP($B119,PO_Enrgy_1_Table,MATCH($C$9,PO_Enrgy_1_Hdr,0),FALSE) ),"")</f>
        <v>kWh</v>
      </c>
      <c r="D119" s="2689" t="e">
        <f>IF(C119="","",VLOOKUP(C119,ProjectEnergyTypeTable,3,FALSE))</f>
        <v>#NAME?</v>
      </c>
      <c r="E119" s="1188">
        <v>4679571.7674999991</v>
      </c>
      <c r="F119" s="1188">
        <v>14693.855349949996</v>
      </c>
      <c r="G119" s="1204">
        <v>149746.29655999999</v>
      </c>
      <c r="H119" s="1188">
        <v>4053965.65</v>
      </c>
      <c r="I119" s="1188">
        <v>12729.452140999998</v>
      </c>
      <c r="J119" s="1188">
        <v>129726.90079999999</v>
      </c>
      <c r="K119" s="2692">
        <f>IFERROR(1-H119/E119,"")</f>
        <v>0.13368875371137245</v>
      </c>
      <c r="L119" s="2691"/>
      <c r="M119" s="1360">
        <f>IFERROR(1-J119/G119,"")</f>
        <v>0.13368875371137257</v>
      </c>
      <c r="Q119" s="1296">
        <f>IFERROR(IF(ISBLANK($B119),"",VLOOKUP($B119,PO_Enrgy_1_Table,MATCH($K$9,PO_Enrgy_1_Hdr,0),FALSE)),"")</f>
        <v>9.999999999999998E-4</v>
      </c>
      <c r="R119" s="1296">
        <f>IFERROR(IF(ISBLANK($B119),"",VLOOKUP($B119,PO_Enrgy_1_Table,MATCH($M$9,PO_Enrgy_1_Hdr,0),FALSE)),"")</f>
        <v>3.1399999999999996E-3</v>
      </c>
      <c r="AH119" s="546"/>
      <c r="AI119" s="546"/>
      <c r="AJ119" s="15"/>
      <c r="AL119" s="550"/>
      <c r="AM119" s="551"/>
      <c r="BC119" s="1906"/>
    </row>
    <row r="120" spans="1:55" ht="15" customHeight="1" x14ac:dyDescent="0.3">
      <c r="A120" s="1063" t="s">
        <v>1299</v>
      </c>
      <c r="B120" s="1082" t="str">
        <f>IFERROR(IF(ISBLANK(B11),"",B11),"")</f>
        <v>Natural Gas</v>
      </c>
      <c r="C120" s="2688" t="str">
        <f>IFERROR(IF(ISBLANK($B120),"",VLOOKUP($B120,PO_Enrgy_1_Table,MATCH($C$9,PO_Enrgy_1_Hdr,0),FALSE) ),"")</f>
        <v>therm</v>
      </c>
      <c r="D120" s="2689" t="e">
        <f>IF(C120="","",VLOOKUP(C120,ProjectEnergyTypeTable,3,FALSE))</f>
        <v>#NAME?</v>
      </c>
      <c r="E120" s="1188">
        <v>0</v>
      </c>
      <c r="F120" s="1188">
        <v>0</v>
      </c>
      <c r="G120" s="1204">
        <v>0</v>
      </c>
      <c r="H120" s="1188">
        <v>0</v>
      </c>
      <c r="I120" s="1188">
        <v>0</v>
      </c>
      <c r="J120" s="1188">
        <v>0</v>
      </c>
      <c r="K120" s="2692" t="str">
        <f>IFERROR(1-H120/E120,"")</f>
        <v/>
      </c>
      <c r="L120" s="2691"/>
      <c r="M120" s="1360" t="str">
        <f>IFERROR(1-J120/G120,"")</f>
        <v/>
      </c>
      <c r="Q120" s="1296">
        <f>IFERROR(IF(ISBLANK($B120),"",VLOOKUP($B120,PO_Enrgy_1_Table,MATCH($K$9,PO_Enrgy_1_Hdr,0),FALSE)),"")</f>
        <v>2.9308323563892142E-2</v>
      </c>
      <c r="R120" s="1296">
        <f>IFERROR(IF(ISBLANK($B120),"",VLOOKUP($B120,PO_Enrgy_1_Table,MATCH($M$9,PO_Enrgy_1_Hdr,0),FALSE)),"")</f>
        <v>3.0773739742086751E-2</v>
      </c>
      <c r="AH120" s="546"/>
      <c r="AI120" s="546"/>
      <c r="AJ120" s="15"/>
      <c r="AL120" s="550"/>
      <c r="AM120" s="551"/>
      <c r="BC120" s="1906"/>
    </row>
    <row r="121" spans="1:55" ht="15" customHeight="1" x14ac:dyDescent="0.3">
      <c r="A121" s="1063" t="s">
        <v>1299</v>
      </c>
      <c r="B121" s="1082" t="str">
        <f>IFERROR(IF(ISBLANK(B12),"",B12),"")</f>
        <v>District Cooling</v>
      </c>
      <c r="C121" s="2688" t="str">
        <f>IFERROR(IF(ISBLANK($B121),"",VLOOKUP($B121,PO_Enrgy_1_Table,MATCH($C$9,PO_Enrgy_1_Hdr,0),FALSE) ),"")</f>
        <v>MWh</v>
      </c>
      <c r="D121" s="2689" t="e">
        <f>IF(C121="","",VLOOKUP(C121,ProjectEnergyTypeTable,3,FALSE))</f>
        <v>#NAME?</v>
      </c>
      <c r="E121" s="1188">
        <v>0</v>
      </c>
      <c r="F121" s="1188">
        <v>0</v>
      </c>
      <c r="G121" s="1204">
        <v>0</v>
      </c>
      <c r="H121" s="1188">
        <v>0</v>
      </c>
      <c r="I121" s="1188">
        <v>0</v>
      </c>
      <c r="J121" s="1188">
        <v>0</v>
      </c>
      <c r="K121" s="2692" t="str">
        <f>IFERROR(1-H121/E121,"")</f>
        <v/>
      </c>
      <c r="L121" s="2691"/>
      <c r="M121" s="1360" t="str">
        <f>IFERROR(1-J121/G121,"")</f>
        <v/>
      </c>
      <c r="Q121" s="1296">
        <f>IFERROR(IF(ISBLANK($B121),"",VLOOKUP($B121,PO_Enrgy_1_Table,MATCH($K$9,PO_Enrgy_1_Hdr,0),FALSE)),"")</f>
        <v>0.99999999999999989</v>
      </c>
      <c r="R121" s="1296">
        <f>IFERROR(IF(ISBLANK($B121),"",VLOOKUP($B121,PO_Enrgy_1_Table,MATCH($M$9,PO_Enrgy_1_Hdr,0),FALSE)),"")</f>
        <v>0.99999999999999989</v>
      </c>
      <c r="AH121" s="546"/>
      <c r="AI121" s="546"/>
      <c r="AJ121" s="15"/>
      <c r="AL121" s="550"/>
      <c r="AM121" s="551"/>
      <c r="BC121" s="1906"/>
    </row>
    <row r="122" spans="1:55" ht="21" customHeight="1" x14ac:dyDescent="0.3">
      <c r="A122" s="1063" t="s">
        <v>1299</v>
      </c>
      <c r="B122" s="2810" t="s">
        <v>147</v>
      </c>
      <c r="C122" s="2815"/>
      <c r="D122" s="2815"/>
      <c r="E122" s="1180">
        <f>IFERROR(SUMPRODUCT(INDEX(PO_Enrgy_16_Table,0,MATCH(E$118,PO_Enrgy_16_Hdr,0)),INDEX(PO_Enrgy_16_Table,0,MATCH($Q$118,PO_Enrgy_16_Hdr,0))),"")</f>
        <v>4679.5717674999978</v>
      </c>
      <c r="F122" s="1161">
        <f>IFERROR(SUM(INDEX(PO_Enrgy_16_Table,0,MATCH(F$118,PO_Enrgy_16_Hdr,0))),"")</f>
        <v>14693.855349949996</v>
      </c>
      <c r="G122" s="1164">
        <f>IFERROR(SUM(INDEX(PO_Enrgy_16_Table,0,MATCH(G$118,PO_Enrgy_16_Hdr,0))),"")</f>
        <v>149746.29655999999</v>
      </c>
      <c r="H122" s="1180">
        <f>IFERROR(SUMPRODUCT(INDEX(PO_Enrgy_16_Table,0,MATCH(H$118,PO_Enrgy_16_Hdr,0)),INDEX(PO_Enrgy_16_Table,0,MATCH($Q$118,PO_Enrgy_16_Hdr,0))),"")</f>
        <v>4053.9656499999992</v>
      </c>
      <c r="I122" s="1161">
        <f>IFERROR(SUM(INDEX(PO_Enrgy_16_Table,0,MATCH(I$118,PO_Enrgy_16_Hdr,0))),"")</f>
        <v>12729.452140999998</v>
      </c>
      <c r="J122" s="1164">
        <f>IFERROR(SUM(INDEX(PO_Enrgy_16_Table,0,MATCH(J$118,PO_Enrgy_16_Hdr,0))),"")</f>
        <v>129726.90079999999</v>
      </c>
      <c r="K122" s="2690">
        <f>IFERROR(1-H122/E122,"")</f>
        <v>0.13368875371137234</v>
      </c>
      <c r="L122" s="2691"/>
      <c r="M122" s="1163">
        <f>IFERROR(1-J122/G122,"")</f>
        <v>0.13368875371137257</v>
      </c>
      <c r="AJ122" s="15"/>
      <c r="BC122" s="1906"/>
    </row>
    <row r="123" spans="1:55" ht="21" customHeight="1" x14ac:dyDescent="0.3">
      <c r="A123" s="1063" t="s">
        <v>1299</v>
      </c>
      <c r="B123" s="2866" t="s">
        <v>1283</v>
      </c>
      <c r="C123" s="2815"/>
      <c r="D123" s="2815"/>
      <c r="E123" s="2815"/>
      <c r="F123" s="2815"/>
      <c r="G123" s="2849"/>
      <c r="H123" s="2849"/>
      <c r="I123" s="2849"/>
      <c r="J123" s="2849"/>
      <c r="K123" s="2867"/>
      <c r="L123" s="2867"/>
      <c r="M123" s="1193">
        <f>$M$122</f>
        <v>0.13368875371137257</v>
      </c>
      <c r="AJ123" s="15"/>
      <c r="BC123" s="1906"/>
    </row>
    <row r="124" spans="1:55" ht="33" customHeight="1" x14ac:dyDescent="0.3">
      <c r="A124" s="1063" t="s">
        <v>1299</v>
      </c>
      <c r="C124" s="685"/>
      <c r="D124" s="685"/>
      <c r="E124" s="732"/>
      <c r="F124" s="534"/>
      <c r="G124" s="533"/>
      <c r="H124" s="534"/>
      <c r="I124" s="533"/>
      <c r="J124" s="582"/>
      <c r="AJ124" s="15"/>
    </row>
    <row r="125" spans="1:55" ht="33" customHeight="1" x14ac:dyDescent="0.3">
      <c r="B125" s="570" t="s">
        <v>808</v>
      </c>
      <c r="AG125" s="648"/>
      <c r="AH125" s="633"/>
      <c r="AI125" s="633"/>
      <c r="AJ125" s="633"/>
    </row>
    <row r="126" spans="1:55" ht="44.25" customHeight="1" x14ac:dyDescent="0.3">
      <c r="B126" s="2967" t="s">
        <v>1206</v>
      </c>
      <c r="C126" s="2967"/>
      <c r="D126" s="2967"/>
      <c r="E126" s="2967"/>
      <c r="F126" s="2967"/>
      <c r="G126" s="2967"/>
      <c r="H126" s="2967"/>
      <c r="I126" s="2967"/>
      <c r="J126" s="2967"/>
      <c r="K126" s="2967"/>
      <c r="L126" s="2967"/>
      <c r="M126" s="2967"/>
      <c r="N126" s="1248"/>
      <c r="O126" s="1248"/>
      <c r="P126" s="1248"/>
      <c r="Q126" s="1248"/>
      <c r="R126" s="1248"/>
      <c r="S126" s="1248"/>
      <c r="T126" s="1248"/>
      <c r="U126" s="1248"/>
      <c r="V126" s="1248"/>
      <c r="W126" s="1248"/>
      <c r="X126" s="1248"/>
      <c r="Y126" s="1248"/>
      <c r="Z126" s="1248"/>
      <c r="AA126" s="1248"/>
      <c r="AB126" s="1248"/>
      <c r="AC126" s="1248"/>
      <c r="AD126" s="1248"/>
      <c r="AE126" s="1248"/>
      <c r="AF126" s="1248"/>
      <c r="AG126" s="648"/>
      <c r="AH126" s="633"/>
      <c r="AI126" s="633"/>
      <c r="AJ126" s="633"/>
    </row>
    <row r="127" spans="1:55" ht="12.75" customHeight="1" x14ac:dyDescent="0.3">
      <c r="B127" s="2966" t="s">
        <v>301</v>
      </c>
      <c r="C127" s="1701" t="s">
        <v>1884</v>
      </c>
      <c r="D127" s="1833" t="s">
        <v>1885</v>
      </c>
      <c r="E127" s="1834"/>
      <c r="F127" s="1835" t="s">
        <v>1887</v>
      </c>
      <c r="G127" s="1835" t="s">
        <v>1886</v>
      </c>
      <c r="H127" s="1835" t="s">
        <v>2003</v>
      </c>
      <c r="I127" s="1066"/>
      <c r="J127" s="1250"/>
      <c r="K127" s="1250"/>
      <c r="L127" s="15"/>
      <c r="M127" s="1250"/>
      <c r="N127" s="1250"/>
      <c r="P127" s="15"/>
      <c r="Q127" s="15"/>
      <c r="R127" s="15"/>
      <c r="S127" s="15"/>
      <c r="T127" s="15"/>
      <c r="U127" s="15"/>
      <c r="V127" s="15"/>
      <c r="W127" s="15"/>
      <c r="X127" s="15"/>
      <c r="Y127" s="15"/>
      <c r="Z127" s="15"/>
      <c r="AA127" s="15"/>
      <c r="AB127" s="15"/>
      <c r="AC127" s="1246"/>
      <c r="AD127" s="1245"/>
      <c r="AE127" s="1245"/>
      <c r="AF127" s="1245"/>
      <c r="AG127" s="648"/>
      <c r="AH127" s="633"/>
      <c r="AI127" s="633"/>
      <c r="AJ127" s="633"/>
    </row>
    <row r="128" spans="1:55" ht="12.75" customHeight="1" x14ac:dyDescent="0.3">
      <c r="B128" s="2966"/>
      <c r="C128" s="1836">
        <f ca="1">OFFSET(L_ExtSum_Table,1,MATCH(Lighting!$J$160,L_ExtSum_Hdr,0)-1,1,1)</f>
        <v>62.22372</v>
      </c>
      <c r="D128" s="1837">
        <f ca="1">OFFSET(L_ExtSum_Table,1,MATCH(Lighting!$M$160,L_ExtSum_Hdr,0)-1,1,1)</f>
        <v>26.027999999999999</v>
      </c>
      <c r="E128" s="1838"/>
      <c r="F128" s="1839">
        <f ca="1">OFFSET(L_LtgZone_Table,1,MATCH(Lighting!$M$129,L_LtgZone_Hdr,0)-1,1,1)+OFFSET(L_NTSurface_Table,MATCH(Lighting!$B$156,L_NTSurface_Index,0)-1,MATCH(Lighting!$J$149,L_NTSurface_Hdr,0)-1,1,1)</f>
        <v>750</v>
      </c>
      <c r="G128" s="1839">
        <f ca="1">OFFSET(L_NTSurface_Table,MATCH(Lighting!$B$156,L_NTSurface_Index,0)-1,MATCH(Lighting!$M$149,L_NTSurface_Hdr,0)-1,1,1)</f>
        <v>0</v>
      </c>
      <c r="H128" s="1839" t="str">
        <f>L_ELR_Response</f>
        <v>Yes</v>
      </c>
      <c r="I128" s="1066"/>
      <c r="J128" s="547"/>
      <c r="K128" s="547"/>
      <c r="L128" s="15"/>
      <c r="M128" s="547"/>
      <c r="N128" s="547"/>
      <c r="P128" s="1245"/>
      <c r="Q128" s="1245"/>
      <c r="R128" s="1245"/>
      <c r="S128" s="1245"/>
      <c r="T128" s="1245"/>
      <c r="U128" s="1245"/>
      <c r="V128" s="1245"/>
      <c r="W128" s="1245"/>
      <c r="X128" s="1245"/>
      <c r="Y128" s="1245"/>
      <c r="Z128" s="1245"/>
      <c r="AA128" s="1245"/>
      <c r="AB128" s="1245"/>
      <c r="AC128" s="1245"/>
      <c r="AD128" s="1245"/>
      <c r="AE128" s="1245"/>
      <c r="AF128" s="1245"/>
      <c r="AG128" s="648"/>
      <c r="AH128" s="633"/>
      <c r="AI128" s="633"/>
      <c r="AJ128" s="633"/>
    </row>
    <row r="129" spans="2:36" ht="12.75" customHeight="1" x14ac:dyDescent="0.3">
      <c r="B129" s="2966" t="s">
        <v>1953</v>
      </c>
      <c r="C129" s="1701" t="s">
        <v>1863</v>
      </c>
      <c r="D129" s="1834" t="s">
        <v>1864</v>
      </c>
      <c r="E129" s="1834"/>
      <c r="F129" s="1841"/>
      <c r="G129" s="1842"/>
      <c r="H129" s="1843"/>
      <c r="I129" s="1249"/>
      <c r="J129" s="1249"/>
      <c r="K129" s="1249"/>
      <c r="L129" s="1244"/>
      <c r="M129" s="1244"/>
      <c r="N129" s="1244"/>
      <c r="O129" s="1244"/>
      <c r="P129" s="1245"/>
      <c r="Q129" s="1245"/>
      <c r="R129" s="1245"/>
      <c r="S129" s="1245"/>
      <c r="T129" s="1245"/>
      <c r="U129" s="1245"/>
      <c r="V129" s="1245"/>
      <c r="W129" s="1245"/>
      <c r="X129" s="1245"/>
      <c r="Y129" s="1245"/>
      <c r="Z129" s="1245"/>
      <c r="AA129" s="1245"/>
      <c r="AB129" s="1245"/>
      <c r="AC129" s="1245"/>
      <c r="AD129" s="1245"/>
      <c r="AE129" s="1245"/>
      <c r="AF129" s="1245"/>
      <c r="AG129" s="648"/>
      <c r="AH129" s="633"/>
      <c r="AI129" s="633"/>
      <c r="AJ129" s="633"/>
    </row>
    <row r="130" spans="2:36" ht="12.75" customHeight="1" x14ac:dyDescent="0.3">
      <c r="B130" s="2966"/>
      <c r="C130" s="1836" t="e">
        <f ca="1">GetPerformanceOutputRangeSums("PO_QA_BaseExtLtgDem")</f>
        <v>#NAME?</v>
      </c>
      <c r="D130" s="1837" t="e">
        <f ca="1">GetPerformanceOutputRangeSums("PO_QA_DesignExtLtgDem")</f>
        <v>#NAME?</v>
      </c>
      <c r="E130" s="1840"/>
      <c r="F130" s="1844"/>
      <c r="G130" s="1831"/>
      <c r="H130" s="1832"/>
      <c r="I130" s="1066"/>
      <c r="J130" s="961"/>
      <c r="K130" s="961"/>
      <c r="L130" s="1247" t="s">
        <v>1954</v>
      </c>
      <c r="M130" s="1244"/>
      <c r="N130" s="1244"/>
      <c r="O130" s="1244"/>
      <c r="P130" s="1245"/>
      <c r="Q130" s="1245"/>
      <c r="R130" s="1245"/>
      <c r="S130" s="1245"/>
      <c r="T130" s="1245"/>
      <c r="U130" s="1245"/>
      <c r="V130" s="1245"/>
      <c r="W130" s="1245"/>
      <c r="X130" s="1245"/>
      <c r="Y130" s="1245"/>
      <c r="Z130" s="1245"/>
      <c r="AA130" s="1245"/>
      <c r="AB130" s="1245"/>
      <c r="AC130" s="1245"/>
      <c r="AD130" s="1245"/>
      <c r="AE130" s="1245"/>
      <c r="AF130" s="1245"/>
      <c r="AG130" s="648"/>
      <c r="AH130" s="633"/>
      <c r="AI130" s="633"/>
      <c r="AJ130" s="633"/>
    </row>
    <row r="131" spans="2:36" x14ac:dyDescent="0.3">
      <c r="B131" s="1248"/>
      <c r="C131" s="1248"/>
      <c r="D131" s="1248"/>
      <c r="E131" s="1248"/>
      <c r="F131" s="1248"/>
      <c r="G131" s="1248"/>
      <c r="H131" s="1248"/>
      <c r="I131" s="1248"/>
      <c r="J131" s="1248"/>
      <c r="K131" s="1248"/>
      <c r="L131" s="1248"/>
      <c r="M131" s="1248"/>
      <c r="N131" s="1248"/>
      <c r="O131" s="1248"/>
      <c r="P131" s="1248"/>
      <c r="Q131" s="1248"/>
      <c r="R131" s="1248"/>
      <c r="S131" s="1248"/>
      <c r="T131" s="1248"/>
      <c r="U131" s="1248"/>
      <c r="V131" s="1248"/>
      <c r="W131" s="1248"/>
      <c r="X131" s="1248"/>
      <c r="Y131" s="1248"/>
      <c r="Z131" s="1248"/>
      <c r="AA131" s="1248"/>
      <c r="AB131" s="1248"/>
      <c r="AC131" s="1248"/>
      <c r="AD131" s="1248"/>
      <c r="AE131" s="1248"/>
      <c r="AF131" s="1248"/>
      <c r="AG131" s="648"/>
      <c r="AH131" s="633"/>
      <c r="AI131" s="633"/>
      <c r="AJ131" s="633"/>
    </row>
    <row r="132" spans="2:36" ht="36" x14ac:dyDescent="0.3">
      <c r="B132" s="2930" t="s">
        <v>439</v>
      </c>
      <c r="C132" s="2931"/>
      <c r="D132" s="2931"/>
      <c r="E132" s="2931"/>
      <c r="F132" s="2931"/>
      <c r="G132" s="2931"/>
      <c r="H132" s="2931"/>
      <c r="I132" s="2932"/>
      <c r="J132" s="2933" t="s">
        <v>440</v>
      </c>
      <c r="K132" s="2934"/>
      <c r="L132" s="2934"/>
      <c r="M132" s="2935"/>
      <c r="N132" s="1251"/>
      <c r="O132" s="15"/>
      <c r="Q132" s="1306" t="s">
        <v>1046</v>
      </c>
      <c r="R132" s="1307" t="s">
        <v>1277</v>
      </c>
    </row>
    <row r="133" spans="2:36" ht="36.75" customHeight="1" x14ac:dyDescent="0.3">
      <c r="B133" s="2936" t="s">
        <v>1320</v>
      </c>
      <c r="C133" s="2937"/>
      <c r="D133" s="2937"/>
      <c r="E133" s="2937"/>
      <c r="F133" s="2937"/>
      <c r="G133" s="2937"/>
      <c r="H133" s="2937"/>
      <c r="I133" s="2938"/>
      <c r="J133" s="2918"/>
      <c r="K133" s="2919"/>
      <c r="L133" s="2919"/>
      <c r="M133" s="2920"/>
      <c r="O133" s="15"/>
      <c r="Q133" s="1308"/>
      <c r="R133" s="1296" t="b">
        <f ca="1">IFERROR(IF(OR((C130-C128)/MIN(C130,C128)&gt;0.05,(D130-D128)/MIN(D130,D128)&gt;0.05),TRUE,FALSE),TRUE)</f>
        <v>1</v>
      </c>
    </row>
    <row r="134" spans="2:36" ht="27" customHeight="1" x14ac:dyDescent="0.3">
      <c r="B134" s="2909" t="s">
        <v>1308</v>
      </c>
      <c r="C134" s="2910"/>
      <c r="D134" s="2910"/>
      <c r="E134" s="2910"/>
      <c r="F134" s="2910"/>
      <c r="G134" s="2910"/>
      <c r="H134" s="2910"/>
      <c r="I134" s="2939"/>
      <c r="J134" s="2927"/>
      <c r="K134" s="2928"/>
      <c r="L134" s="2928"/>
      <c r="M134" s="2929"/>
      <c r="O134" s="15"/>
      <c r="Q134" s="1308"/>
      <c r="R134" s="1296" t="b">
        <f ca="1">IFERROR(IF(D128&gt;C128,TRUE,FALSE),TRUE)</f>
        <v>0</v>
      </c>
    </row>
    <row r="135" spans="2:36" ht="48" customHeight="1" x14ac:dyDescent="0.3">
      <c r="B135" s="2909" t="s">
        <v>1338</v>
      </c>
      <c r="C135" s="2910"/>
      <c r="D135" s="2910"/>
      <c r="E135" s="2910"/>
      <c r="F135" s="2910"/>
      <c r="G135" s="2910"/>
      <c r="H135" s="2910"/>
      <c r="I135" s="2939"/>
      <c r="J135" s="2927"/>
      <c r="K135" s="2928"/>
      <c r="L135" s="2928"/>
      <c r="M135" s="2929"/>
      <c r="O135" s="15"/>
      <c r="Q135" s="1308"/>
      <c r="R135" s="1296" t="b">
        <f ca="1">IFERROR(IF(G128&gt;F128,TRUE,FALSE),TRUE)</f>
        <v>0</v>
      </c>
    </row>
    <row r="136" spans="2:36" ht="44.25" customHeight="1" x14ac:dyDescent="0.3">
      <c r="B136" s="2936" t="s">
        <v>2002</v>
      </c>
      <c r="C136" s="2937"/>
      <c r="D136" s="2937"/>
      <c r="E136" s="2937"/>
      <c r="F136" s="2937"/>
      <c r="G136" s="2937"/>
      <c r="H136" s="2937"/>
      <c r="I136" s="2938"/>
      <c r="J136" s="2918"/>
      <c r="K136" s="2919"/>
      <c r="L136" s="2919"/>
      <c r="M136" s="2920"/>
      <c r="Q136" s="1308"/>
      <c r="R136" s="1296" t="b">
        <f>IFERROR(IF(H128&lt;&gt;"Yes",TRUE,FALSE),TRUE)</f>
        <v>0</v>
      </c>
    </row>
    <row r="152" spans="2:14" ht="30" customHeight="1" x14ac:dyDescent="0.25">
      <c r="B152" s="574"/>
      <c r="C152" s="574"/>
      <c r="D152" s="598"/>
      <c r="E152" s="598"/>
      <c r="F152" s="574"/>
      <c r="G152" s="575"/>
      <c r="H152" s="575"/>
      <c r="I152" s="575"/>
      <c r="J152" s="575"/>
      <c r="K152" s="575"/>
      <c r="L152" s="575"/>
      <c r="M152" s="958"/>
      <c r="N152" s="529"/>
    </row>
    <row r="153" spans="2:14" x14ac:dyDescent="0.25">
      <c r="D153" s="598"/>
      <c r="E153" s="598"/>
    </row>
  </sheetData>
  <sheetProtection algorithmName="SHA-512" hashValue="zQzIgJQf79RlYElKy6IgR3Gy2lLHqCl/XSOnmIWJqBJRnrQ4HvVzn0payV/WP/3KBpLvA8kHyX2vrqiVekZ3CQ==" saltValue="mmZEfpmv8P32mjAswfyzYA==" spinCount="100000" sheet="1" objects="1" scenarios="1"/>
  <mergeCells count="305">
    <mergeCell ref="K116:M116"/>
    <mergeCell ref="K117:L117"/>
    <mergeCell ref="H80:J80"/>
    <mergeCell ref="K76:L76"/>
    <mergeCell ref="B70:B71"/>
    <mergeCell ref="C70:D71"/>
    <mergeCell ref="E70:G70"/>
    <mergeCell ref="H70:J70"/>
    <mergeCell ref="K70:M70"/>
    <mergeCell ref="K71:L71"/>
    <mergeCell ref="K82:M82"/>
    <mergeCell ref="B93:D93"/>
    <mergeCell ref="K93:L93"/>
    <mergeCell ref="C101:D101"/>
    <mergeCell ref="K101:L101"/>
    <mergeCell ref="C112:D112"/>
    <mergeCell ref="K112:L112"/>
    <mergeCell ref="B136:I136"/>
    <mergeCell ref="B79:L79"/>
    <mergeCell ref="B80:D80"/>
    <mergeCell ref="E80:G80"/>
    <mergeCell ref="B127:B128"/>
    <mergeCell ref="B129:B130"/>
    <mergeCell ref="J133:M133"/>
    <mergeCell ref="B126:M126"/>
    <mergeCell ref="B113:D113"/>
    <mergeCell ref="K113:L113"/>
    <mergeCell ref="B123:L123"/>
    <mergeCell ref="C119:D119"/>
    <mergeCell ref="K119:L119"/>
    <mergeCell ref="C120:D120"/>
    <mergeCell ref="K120:L120"/>
    <mergeCell ref="B122:D122"/>
    <mergeCell ref="K122:L122"/>
    <mergeCell ref="C87:D88"/>
    <mergeCell ref="E87:G87"/>
    <mergeCell ref="H87:J87"/>
    <mergeCell ref="K87:M87"/>
    <mergeCell ref="C82:D82"/>
    <mergeCell ref="E82:G82"/>
    <mergeCell ref="H82:J82"/>
    <mergeCell ref="B5:M5"/>
    <mergeCell ref="B6:M6"/>
    <mergeCell ref="B13:K13"/>
    <mergeCell ref="L13:M13"/>
    <mergeCell ref="B14:K14"/>
    <mergeCell ref="L14:M14"/>
    <mergeCell ref="C9:D9"/>
    <mergeCell ref="C10:D10"/>
    <mergeCell ref="F10:G10"/>
    <mergeCell ref="H10:J10"/>
    <mergeCell ref="K10:L10"/>
    <mergeCell ref="C11:D11"/>
    <mergeCell ref="F11:G11"/>
    <mergeCell ref="H11:J11"/>
    <mergeCell ref="K11:L11"/>
    <mergeCell ref="B7:B8"/>
    <mergeCell ref="C7:D8"/>
    <mergeCell ref="E7:E8"/>
    <mergeCell ref="F7:G8"/>
    <mergeCell ref="H7:J8"/>
    <mergeCell ref="K7:M7"/>
    <mergeCell ref="K8:L8"/>
    <mergeCell ref="C12:D12"/>
    <mergeCell ref="F12:G12"/>
    <mergeCell ref="AF20:AG21"/>
    <mergeCell ref="B22:C23"/>
    <mergeCell ref="D22:D23"/>
    <mergeCell ref="E22:E23"/>
    <mergeCell ref="J22:J23"/>
    <mergeCell ref="K22:L23"/>
    <mergeCell ref="M22:M23"/>
    <mergeCell ref="AF22:AG23"/>
    <mergeCell ref="B18:C18"/>
    <mergeCell ref="K18:L18"/>
    <mergeCell ref="B20:C21"/>
    <mergeCell ref="D20:D21"/>
    <mergeCell ref="E20:E21"/>
    <mergeCell ref="J20:J21"/>
    <mergeCell ref="K20:L21"/>
    <mergeCell ref="M20:M21"/>
    <mergeCell ref="AF24:AG25"/>
    <mergeCell ref="B26:C27"/>
    <mergeCell ref="D26:D27"/>
    <mergeCell ref="E26:E27"/>
    <mergeCell ref="J26:J27"/>
    <mergeCell ref="K26:L27"/>
    <mergeCell ref="M26:M27"/>
    <mergeCell ref="AF26:AG27"/>
    <mergeCell ref="B24:C25"/>
    <mergeCell ref="D24:D25"/>
    <mergeCell ref="E24:E25"/>
    <mergeCell ref="J24:J25"/>
    <mergeCell ref="K24:L25"/>
    <mergeCell ref="M24:M25"/>
    <mergeCell ref="AF28:AG29"/>
    <mergeCell ref="B30:C31"/>
    <mergeCell ref="D30:D31"/>
    <mergeCell ref="E30:E31"/>
    <mergeCell ref="J30:J31"/>
    <mergeCell ref="K30:L31"/>
    <mergeCell ref="M30:M31"/>
    <mergeCell ref="AF30:AG31"/>
    <mergeCell ref="B28:C29"/>
    <mergeCell ref="D28:D29"/>
    <mergeCell ref="E28:E29"/>
    <mergeCell ref="J28:J29"/>
    <mergeCell ref="K28:L29"/>
    <mergeCell ref="M28:M29"/>
    <mergeCell ref="AF32:AG33"/>
    <mergeCell ref="B34:C35"/>
    <mergeCell ref="D34:D35"/>
    <mergeCell ref="E34:E35"/>
    <mergeCell ref="J34:J35"/>
    <mergeCell ref="K34:L35"/>
    <mergeCell ref="M34:M35"/>
    <mergeCell ref="AF34:AG35"/>
    <mergeCell ref="B32:C33"/>
    <mergeCell ref="D32:D33"/>
    <mergeCell ref="E32:E33"/>
    <mergeCell ref="J32:J33"/>
    <mergeCell ref="K32:L33"/>
    <mergeCell ref="M32:M33"/>
    <mergeCell ref="AF36:AG37"/>
    <mergeCell ref="B38:C39"/>
    <mergeCell ref="D38:D39"/>
    <mergeCell ref="E38:E39"/>
    <mergeCell ref="J38:J39"/>
    <mergeCell ref="K38:L39"/>
    <mergeCell ref="M38:M39"/>
    <mergeCell ref="AF38:AG39"/>
    <mergeCell ref="B36:C37"/>
    <mergeCell ref="D36:D37"/>
    <mergeCell ref="E36:E37"/>
    <mergeCell ref="J36:J37"/>
    <mergeCell ref="K36:L37"/>
    <mergeCell ref="M36:M37"/>
    <mergeCell ref="AF40:AG41"/>
    <mergeCell ref="B42:C43"/>
    <mergeCell ref="D42:D43"/>
    <mergeCell ref="E42:E43"/>
    <mergeCell ref="J42:J43"/>
    <mergeCell ref="K42:L43"/>
    <mergeCell ref="M42:M43"/>
    <mergeCell ref="AF42:AG43"/>
    <mergeCell ref="B40:C41"/>
    <mergeCell ref="D40:D41"/>
    <mergeCell ref="E40:E41"/>
    <mergeCell ref="J40:J41"/>
    <mergeCell ref="K40:L41"/>
    <mergeCell ref="M40:M41"/>
    <mergeCell ref="AF44:AG45"/>
    <mergeCell ref="B46:C47"/>
    <mergeCell ref="D46:D47"/>
    <mergeCell ref="E46:E47"/>
    <mergeCell ref="J46:J47"/>
    <mergeCell ref="K46:L47"/>
    <mergeCell ref="M46:M47"/>
    <mergeCell ref="AF46:AG47"/>
    <mergeCell ref="B44:C45"/>
    <mergeCell ref="D44:D45"/>
    <mergeCell ref="E44:E45"/>
    <mergeCell ref="J44:J45"/>
    <mergeCell ref="K44:L45"/>
    <mergeCell ref="M44:M45"/>
    <mergeCell ref="AF48:AG49"/>
    <mergeCell ref="B50:C51"/>
    <mergeCell ref="D50:D51"/>
    <mergeCell ref="E50:E51"/>
    <mergeCell ref="J50:J51"/>
    <mergeCell ref="K50:L51"/>
    <mergeCell ref="M50:M51"/>
    <mergeCell ref="AF50:AG51"/>
    <mergeCell ref="B48:C49"/>
    <mergeCell ref="D48:D49"/>
    <mergeCell ref="E48:E49"/>
    <mergeCell ref="J48:J49"/>
    <mergeCell ref="K48:L49"/>
    <mergeCell ref="M48:M49"/>
    <mergeCell ref="AF52:AG53"/>
    <mergeCell ref="B54:C55"/>
    <mergeCell ref="D54:D55"/>
    <mergeCell ref="E54:E55"/>
    <mergeCell ref="J54:J55"/>
    <mergeCell ref="K54:L55"/>
    <mergeCell ref="M54:M55"/>
    <mergeCell ref="AF54:AG55"/>
    <mergeCell ref="B52:C53"/>
    <mergeCell ref="D52:D53"/>
    <mergeCell ref="E52:E53"/>
    <mergeCell ref="J52:J53"/>
    <mergeCell ref="K52:L53"/>
    <mergeCell ref="M52:M53"/>
    <mergeCell ref="AF56:AG57"/>
    <mergeCell ref="B58:C59"/>
    <mergeCell ref="D58:D59"/>
    <mergeCell ref="E58:E59"/>
    <mergeCell ref="J58:J59"/>
    <mergeCell ref="K58:L59"/>
    <mergeCell ref="M58:M59"/>
    <mergeCell ref="AF58:AG59"/>
    <mergeCell ref="B56:C57"/>
    <mergeCell ref="D56:D57"/>
    <mergeCell ref="E56:E57"/>
    <mergeCell ref="J56:J57"/>
    <mergeCell ref="K56:L57"/>
    <mergeCell ref="M56:M57"/>
    <mergeCell ref="N87:P87"/>
    <mergeCell ref="K88:L88"/>
    <mergeCell ref="C90:D90"/>
    <mergeCell ref="K90:L90"/>
    <mergeCell ref="AF60:AG61"/>
    <mergeCell ref="B62:C63"/>
    <mergeCell ref="D62:D63"/>
    <mergeCell ref="E62:E63"/>
    <mergeCell ref="J62:J63"/>
    <mergeCell ref="K62:L63"/>
    <mergeCell ref="M62:M63"/>
    <mergeCell ref="AF62:AG63"/>
    <mergeCell ref="B60:C61"/>
    <mergeCell ref="D60:D61"/>
    <mergeCell ref="E60:E61"/>
    <mergeCell ref="J60:J61"/>
    <mergeCell ref="K60:L61"/>
    <mergeCell ref="M60:M61"/>
    <mergeCell ref="K80:M80"/>
    <mergeCell ref="C73:D73"/>
    <mergeCell ref="K73:L73"/>
    <mergeCell ref="C74:D74"/>
    <mergeCell ref="K74:L74"/>
    <mergeCell ref="B76:D76"/>
    <mergeCell ref="AF64:AG65"/>
    <mergeCell ref="B66:C67"/>
    <mergeCell ref="D66:D67"/>
    <mergeCell ref="E66:E67"/>
    <mergeCell ref="J66:J67"/>
    <mergeCell ref="K66:L67"/>
    <mergeCell ref="M66:M67"/>
    <mergeCell ref="AF66:AG67"/>
    <mergeCell ref="B64:C65"/>
    <mergeCell ref="D64:D65"/>
    <mergeCell ref="E64:E65"/>
    <mergeCell ref="J64:J65"/>
    <mergeCell ref="K64:L65"/>
    <mergeCell ref="M64:M65"/>
    <mergeCell ref="N96:P96"/>
    <mergeCell ref="K97:L97"/>
    <mergeCell ref="K99:L99"/>
    <mergeCell ref="C100:D100"/>
    <mergeCell ref="K100:L100"/>
    <mergeCell ref="C99:D99"/>
    <mergeCell ref="B94:L94"/>
    <mergeCell ref="B96:B97"/>
    <mergeCell ref="C96:D97"/>
    <mergeCell ref="E96:G96"/>
    <mergeCell ref="H96:J96"/>
    <mergeCell ref="K96:M96"/>
    <mergeCell ref="J136:M136"/>
    <mergeCell ref="N107:P107"/>
    <mergeCell ref="K108:L108"/>
    <mergeCell ref="C110:D110"/>
    <mergeCell ref="K110:L110"/>
    <mergeCell ref="C111:D111"/>
    <mergeCell ref="K111:L111"/>
    <mergeCell ref="B102:D102"/>
    <mergeCell ref="K102:L102"/>
    <mergeCell ref="B103:L103"/>
    <mergeCell ref="B104:J104"/>
    <mergeCell ref="K104:M104"/>
    <mergeCell ref="B107:B108"/>
    <mergeCell ref="C107:D108"/>
    <mergeCell ref="E107:G107"/>
    <mergeCell ref="H107:J107"/>
    <mergeCell ref="K107:M107"/>
    <mergeCell ref="J134:M134"/>
    <mergeCell ref="J135:M135"/>
    <mergeCell ref="B132:I132"/>
    <mergeCell ref="J132:M132"/>
    <mergeCell ref="B133:I133"/>
    <mergeCell ref="B134:I134"/>
    <mergeCell ref="B135:I135"/>
    <mergeCell ref="C121:D121"/>
    <mergeCell ref="K121:L121"/>
    <mergeCell ref="H12:J12"/>
    <mergeCell ref="K12:L12"/>
    <mergeCell ref="C75:D75"/>
    <mergeCell ref="K75:L75"/>
    <mergeCell ref="C84:D84"/>
    <mergeCell ref="E84:G84"/>
    <mergeCell ref="H84:J84"/>
    <mergeCell ref="K84:M84"/>
    <mergeCell ref="C92:D92"/>
    <mergeCell ref="K92:L92"/>
    <mergeCell ref="C91:D91"/>
    <mergeCell ref="K91:L91"/>
    <mergeCell ref="C83:D83"/>
    <mergeCell ref="E83:G83"/>
    <mergeCell ref="H83:J83"/>
    <mergeCell ref="K83:M83"/>
    <mergeCell ref="B86:L86"/>
    <mergeCell ref="B87:B88"/>
    <mergeCell ref="B116:B117"/>
    <mergeCell ref="C116:D117"/>
    <mergeCell ref="E116:G116"/>
    <mergeCell ref="H116:J116"/>
  </mergeCells>
  <conditionalFormatting sqref="K104:L104">
    <cfRule type="cellIs" dxfId="11" priority="34" operator="equal">
      <formula>"No"</formula>
    </cfRule>
  </conditionalFormatting>
  <conditionalFormatting sqref="K82:K83">
    <cfRule type="expression" dxfId="10" priority="33">
      <formula>IFERROR(AND(K82&gt;0.1,K82&lt;&gt;""),FALSE)</formula>
    </cfRule>
  </conditionalFormatting>
  <conditionalFormatting sqref="B119:M120 B100:M100 B110:M111 B99:C99 E99:M99">
    <cfRule type="expression" dxfId="9" priority="32">
      <formula>AND(DESPath=3,OR($B99="District Cooling",$B99="District Hot Water",$B99="District Steam"))</formula>
    </cfRule>
  </conditionalFormatting>
  <conditionalFormatting sqref="E82:J83">
    <cfRule type="expression" dxfId="8" priority="1204">
      <formula>AND(DESPath=3,#REF!=$B82,ISERROR(1/VLOOKUP($B82,PO_Enrgy_7_Table,MATCH($G$72,PO_Enrgy_7_Hdr,0),FALSE)))</formula>
    </cfRule>
  </conditionalFormatting>
  <conditionalFormatting sqref="J133:M136">
    <cfRule type="expression" dxfId="7" priority="1282">
      <formula>IF($R133=TRUE,TRUE,FALSE)</formula>
    </cfRule>
  </conditionalFormatting>
  <conditionalFormatting sqref="B133:I136">
    <cfRule type="expression" dxfId="6" priority="22">
      <formula>IF($R133=TRUE,TRUE,FALSE)</formula>
    </cfRule>
  </conditionalFormatting>
  <conditionalFormatting sqref="K84">
    <cfRule type="expression" dxfId="5" priority="4">
      <formula>IFERROR(AND(K84&gt;0.1,K84&lt;&gt;""),FALSE)</formula>
    </cfRule>
  </conditionalFormatting>
  <conditionalFormatting sqref="E84:J84">
    <cfRule type="expression" dxfId="4" priority="5">
      <formula>AND(DESPath=3,#REF!=$B84,ISERROR(1/VLOOKUP($B84,PO_Enrgy_7_Table,MATCH($G$72,PO_Enrgy_7_Hdr,0),FALSE)))</formula>
    </cfRule>
  </conditionalFormatting>
  <conditionalFormatting sqref="B101:M101">
    <cfRule type="expression" dxfId="3" priority="3">
      <formula>AND(DESPath=3,OR($B101="District Cooling",$B101="District Hot Water",$B101="District Steam"))</formula>
    </cfRule>
  </conditionalFormatting>
  <conditionalFormatting sqref="B112:M112">
    <cfRule type="expression" dxfId="2" priority="2">
      <formula>AND(DESPath=3,OR($B112="District Cooling",$B112="District Hot Water",$B112="District Steam"))</formula>
    </cfRule>
  </conditionalFormatting>
  <conditionalFormatting sqref="B121:M121">
    <cfRule type="expression" dxfId="1" priority="1">
      <formula>AND(DESPath=3,OR($B121="District Cooling",$B121="District Hot Water",$B121="District Steam"))</formula>
    </cfRule>
  </conditionalFormatting>
  <dataValidations disablePrompts="1" count="11">
    <dataValidation type="list" allowBlank="1" showErrorMessage="1" errorTitle="Not a valid energy type" error="This energy type has not yet been listed in the energy sources table above. Please fill out the energy sources table above; then select from the list of energy types." promptTitle="Select Energy Type" sqref="E20:E67" xr:uid="{00000000-0002-0000-1500-000000000000}">
      <formula1>INDEX(PO_Enrgy_1_Table,,1)</formula1>
    </dataValidation>
    <dataValidation type="list" allowBlank="1" showErrorMessage="1" errorTitle="Required Input" error="The units must be selected from the provided list." promptTitle="Energy Consumption Units:" prompt="kWh: Kilowatt hour  = 3,412 Btu_x000a_MWh: Megawatt hour = 3,412,000 Btu_x000a_kBtu = 1,000 Btu_x000a_Therm = 100,000 Btu_x000a_Btu x 10^6 = 1,000,000 Btu_x000a_MJ: Megajoules = 948 Btu_x000a_Ton Hours = 12,000 Btu" sqref="L13:L14" xr:uid="{00000000-0002-0000-1500-000001000000}">
      <formula1>ConsumptionUnits</formula1>
    </dataValidation>
    <dataValidation allowBlank="1" promptTitle="Energy End Use" prompt="Select the energy end use or enter the end use if not listed." sqref="B20:C67" xr:uid="{00000000-0002-0000-1500-000002000000}"/>
    <dataValidation type="list" showInputMessage="1" sqref="D20:D67" xr:uid="{00000000-0002-0000-1500-000003000000}">
      <formula1>" x"</formula1>
    </dataValidation>
    <dataValidation type="list" allowBlank="1" showInputMessage="1" showErrorMessage="1" errorTitle="Not a valid energy type" error="This energy type has not yet been listed in the energy sources table above. Please fill out the energy sources table above; then select from the list of energy types." promptTitle="Select Energy Type" prompt="Fill out the energy sources above. Then select from the list of energy types." sqref="E68" xr:uid="{00000000-0002-0000-1500-000004000000}">
      <formula1>PO_EnergyType</formula1>
    </dataValidation>
    <dataValidation allowBlank="1" showErrorMessage="1" sqref="B115 B95 B86 B106" xr:uid="{00000000-0002-0000-1500-000005000000}"/>
    <dataValidation type="list" allowBlank="1" showInputMessage="1" promptTitle="Utility Rate Structure" sqref="H10:H12" xr:uid="{00000000-0002-0000-1500-000006000000}">
      <formula1>UtilityRateStructure</formula1>
    </dataValidation>
    <dataValidation type="list" allowBlank="1" showInputMessage="1" showErrorMessage="1" errorTitle="Required Input" error="The units must be selected from the provided list." promptTitle="Energy Consumption Units:" sqref="C10:C12" xr:uid="{00000000-0002-0000-1500-000007000000}">
      <formula1>ConsumptionUnits</formula1>
    </dataValidation>
    <dataValidation allowBlank="1" showInputMessage="1" showErrorMessage="1" promptTitle="Utility Rate Name" sqref="F10:F12 N10:O12" xr:uid="{00000000-0002-0000-1500-000008000000}"/>
    <dataValidation type="list" allowBlank="1" showInputMessage="1" showErrorMessage="1" errorTitle="Invalid Entry" error="Please select from the list of values shown." promptTitle="Project Energy Types" sqref="B10:B12" xr:uid="{00000000-0002-0000-1500-000009000000}">
      <formula1>FuelTypes</formula1>
    </dataValidation>
    <dataValidation type="list" errorStyle="warning" allowBlank="1" showInputMessage="1" showErrorMessage="1" errorTitle="Required Input" error="The units must be selected from the provided list." promptTitle="Select the demand units:" sqref="E10:E12" xr:uid="{00000000-0002-0000-1500-00000A000000}">
      <formula1>DemandUnits</formula1>
    </dataValidation>
  </dataValidations>
  <pageMargins left="0.5" right="0.5" top="0.75" bottom="0.75" header="0.5" footer="0.5"/>
  <pageSetup scale="10" orientation="landscape" r:id="rId1"/>
  <headerFooter alignWithMargins="0">
    <oddFooter>&amp;LU S Green Building Council&amp;C&amp;"Arial,Bold"&amp;A&amp;RLEED&amp;XTM&amp;X v. 2.2</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dimension ref="A1:AK30"/>
  <sheetViews>
    <sheetView showGridLines="0" zoomScale="90" zoomScaleNormal="90" zoomScalePageLayoutView="90" workbookViewId="0">
      <selection activeCell="B1" sqref="B1"/>
    </sheetView>
  </sheetViews>
  <sheetFormatPr defaultColWidth="8.6640625" defaultRowHeight="14.4" x14ac:dyDescent="0.3"/>
  <cols>
    <col min="1" max="2" width="2.6640625" style="631" customWidth="1"/>
    <col min="3" max="33" width="5.6640625" style="631" customWidth="1"/>
    <col min="34" max="34" width="2.6640625" style="631" customWidth="1"/>
    <col min="35" max="35" width="8.6640625" style="631"/>
    <col min="36" max="43" width="12.6640625" style="631" customWidth="1"/>
    <col min="44" max="16384" width="8.6640625" style="631"/>
  </cols>
  <sheetData>
    <row r="1" spans="1:34" s="632" customFormat="1" ht="15" customHeight="1" x14ac:dyDescent="0.3"/>
    <row r="2" spans="1:34" s="632" customFormat="1" ht="15" customHeight="1" x14ac:dyDescent="0.3">
      <c r="B2" s="634"/>
      <c r="C2" s="635"/>
      <c r="D2" s="635"/>
      <c r="E2" s="635"/>
      <c r="F2" s="635"/>
      <c r="G2" s="635"/>
      <c r="H2" s="635"/>
      <c r="I2" s="635"/>
      <c r="J2" s="635"/>
      <c r="K2" s="635"/>
      <c r="L2" s="635"/>
      <c r="M2" s="635"/>
      <c r="N2" s="635"/>
      <c r="O2" s="635"/>
      <c r="P2" s="635"/>
      <c r="Q2" s="635"/>
      <c r="R2" s="635"/>
      <c r="S2" s="635"/>
      <c r="T2" s="635"/>
      <c r="U2" s="635"/>
      <c r="V2" s="635"/>
      <c r="W2" s="635"/>
      <c r="X2" s="635"/>
      <c r="Y2" s="635"/>
      <c r="Z2" s="635"/>
      <c r="AA2" s="635"/>
      <c r="AB2" s="635"/>
      <c r="AC2" s="635"/>
      <c r="AD2" s="635"/>
      <c r="AE2" s="635"/>
      <c r="AF2" s="635"/>
      <c r="AG2" s="635"/>
      <c r="AH2" s="636"/>
    </row>
    <row r="3" spans="1:34" s="632" customFormat="1" ht="24.75" customHeight="1" x14ac:dyDescent="0.3">
      <c r="B3" s="637"/>
      <c r="C3" s="638" t="s">
        <v>1278</v>
      </c>
      <c r="D3" s="639"/>
      <c r="E3" s="639"/>
      <c r="F3" s="639"/>
      <c r="G3" s="645"/>
      <c r="H3" s="645"/>
      <c r="I3" s="639"/>
      <c r="J3" s="639"/>
      <c r="K3" s="639"/>
      <c r="L3" s="639"/>
      <c r="M3" s="645"/>
      <c r="N3" s="639"/>
      <c r="O3" s="639"/>
      <c r="P3" s="639"/>
      <c r="Q3" s="639"/>
      <c r="R3" s="639"/>
      <c r="S3" s="639"/>
      <c r="T3" s="639"/>
      <c r="U3" s="639"/>
      <c r="V3" s="639"/>
      <c r="W3" s="639"/>
      <c r="X3" s="639"/>
      <c r="Y3" s="639"/>
      <c r="Z3" s="639"/>
      <c r="AA3" s="639"/>
      <c r="AB3" s="639"/>
      <c r="AC3" s="639"/>
      <c r="AD3" s="639"/>
      <c r="AE3" s="639"/>
      <c r="AF3" s="639"/>
      <c r="AG3" s="639"/>
      <c r="AH3" s="640"/>
    </row>
    <row r="4" spans="1:34" s="632" customFormat="1" ht="15" customHeight="1" x14ac:dyDescent="0.3">
      <c r="B4" s="637"/>
      <c r="C4" s="641" t="s">
        <v>1279</v>
      </c>
      <c r="D4" s="639"/>
      <c r="E4" s="639"/>
      <c r="F4" s="639"/>
      <c r="G4" s="639"/>
      <c r="H4" s="639"/>
      <c r="I4" s="639"/>
      <c r="J4" s="639"/>
      <c r="K4" s="639"/>
      <c r="L4" s="639"/>
      <c r="M4" s="667"/>
      <c r="N4" s="639"/>
      <c r="O4" s="639"/>
      <c r="P4" s="639"/>
      <c r="Q4" s="639"/>
      <c r="R4" s="639"/>
      <c r="S4" s="639"/>
      <c r="T4" s="639"/>
      <c r="U4" s="639"/>
      <c r="V4" s="639"/>
      <c r="W4" s="639"/>
      <c r="X4" s="639"/>
      <c r="Y4" s="639"/>
      <c r="Z4" s="639"/>
      <c r="AA4" s="639"/>
      <c r="AB4" s="639"/>
      <c r="AC4" s="639"/>
      <c r="AD4" s="639"/>
      <c r="AE4" s="639"/>
      <c r="AF4" s="639"/>
      <c r="AG4" s="639"/>
      <c r="AH4" s="642"/>
    </row>
    <row r="5" spans="1:34" s="632" customFormat="1" ht="21" customHeight="1" x14ac:dyDescent="0.3">
      <c r="B5" s="637"/>
      <c r="C5" s="639"/>
      <c r="D5" s="643"/>
      <c r="E5" s="644"/>
      <c r="F5" s="639"/>
      <c r="G5" s="639"/>
      <c r="H5" s="639"/>
      <c r="I5" s="639"/>
      <c r="J5" s="639"/>
      <c r="K5" s="639"/>
      <c r="L5" s="639"/>
      <c r="M5" s="667"/>
      <c r="N5" s="639"/>
      <c r="O5" s="639"/>
      <c r="P5" s="639"/>
      <c r="Q5" s="639"/>
      <c r="R5" s="639"/>
      <c r="S5" s="639"/>
      <c r="T5" s="639"/>
      <c r="U5" s="639"/>
      <c r="V5" s="639"/>
      <c r="W5" s="639"/>
      <c r="X5" s="639"/>
      <c r="Y5" s="639"/>
      <c r="Z5" s="639"/>
      <c r="AA5" s="639"/>
      <c r="AB5" s="639"/>
      <c r="AC5" s="639"/>
      <c r="AD5" s="639"/>
      <c r="AE5" s="639"/>
      <c r="AF5" s="639"/>
      <c r="AG5" s="639"/>
      <c r="AH5" s="642"/>
    </row>
    <row r="6" spans="1:34" s="632" customFormat="1" ht="15" customHeight="1" x14ac:dyDescent="0.3">
      <c r="B6" s="637"/>
      <c r="C6" s="639" t="s">
        <v>1282</v>
      </c>
      <c r="D6" s="645"/>
      <c r="E6" s="639"/>
      <c r="F6" s="639"/>
      <c r="G6" s="639"/>
      <c r="H6" s="639"/>
      <c r="I6" s="639"/>
      <c r="J6" s="639"/>
      <c r="K6" s="639"/>
      <c r="L6" s="639"/>
      <c r="M6" s="639"/>
      <c r="N6" s="639"/>
      <c r="O6" s="639"/>
      <c r="P6" s="639"/>
      <c r="Q6" s="639"/>
      <c r="R6" s="639"/>
      <c r="S6" s="639"/>
      <c r="T6" s="639"/>
      <c r="U6" s="639"/>
      <c r="V6" s="639"/>
      <c r="W6" s="639"/>
      <c r="X6" s="639"/>
      <c r="Y6" s="639"/>
      <c r="Z6" s="639"/>
      <c r="AA6" s="639"/>
      <c r="AB6" s="639"/>
      <c r="AC6" s="639"/>
      <c r="AD6" s="639"/>
      <c r="AE6" s="639"/>
      <c r="AF6" s="2970">
        <f ca="1">IFERROR(IF(MultipleBuildingsExist="Yes",ROUNDUP(Performance_Outputs_Summary!$K$104,3),ROUNDUP(Performance_Outputs_1!$K$296,3)),"")</f>
        <v>0.11</v>
      </c>
      <c r="AG6" s="2971"/>
      <c r="AH6" s="646"/>
    </row>
    <row r="7" spans="1:34" s="632" customFormat="1" ht="18" customHeight="1" x14ac:dyDescent="0.3">
      <c r="B7" s="637"/>
      <c r="C7" s="639"/>
      <c r="D7" s="645"/>
      <c r="E7" s="649"/>
      <c r="F7" s="639"/>
      <c r="G7" s="639"/>
      <c r="H7" s="639"/>
      <c r="I7" s="639"/>
      <c r="J7" s="639"/>
      <c r="K7" s="639"/>
      <c r="L7" s="639"/>
      <c r="M7" s="668"/>
      <c r="N7" s="639"/>
      <c r="O7" s="639"/>
      <c r="P7" s="639"/>
      <c r="Q7" s="639"/>
      <c r="R7" s="639"/>
      <c r="S7" s="639"/>
      <c r="T7" s="639"/>
      <c r="U7" s="639"/>
      <c r="V7" s="639"/>
      <c r="W7" s="639"/>
      <c r="X7" s="639"/>
      <c r="Y7" s="639"/>
      <c r="Z7" s="639"/>
      <c r="AA7" s="639"/>
      <c r="AB7" s="639"/>
      <c r="AC7" s="639"/>
      <c r="AD7" s="639"/>
      <c r="AE7" s="639"/>
      <c r="AF7" s="639"/>
      <c r="AG7" s="639"/>
      <c r="AH7" s="646"/>
    </row>
    <row r="8" spans="1:34" s="632" customFormat="1" ht="15.75" customHeight="1" x14ac:dyDescent="0.3">
      <c r="B8" s="1845"/>
      <c r="C8" s="1846"/>
      <c r="D8" s="1847"/>
      <c r="E8" s="1848"/>
      <c r="F8" s="1846"/>
      <c r="G8" s="1846"/>
      <c r="H8" s="1846"/>
      <c r="I8" s="1846"/>
      <c r="J8" s="1846"/>
      <c r="K8" s="1846"/>
      <c r="L8" s="1846"/>
      <c r="M8" s="1849"/>
      <c r="N8" s="1846"/>
      <c r="O8" s="1846"/>
      <c r="P8" s="1846"/>
      <c r="Q8" s="1846"/>
      <c r="R8" s="1846"/>
      <c r="S8" s="1846"/>
      <c r="T8" s="1846"/>
      <c r="U8" s="1846"/>
      <c r="V8" s="1846"/>
      <c r="W8" s="1846"/>
      <c r="X8" s="1846"/>
      <c r="Y8" s="1846"/>
      <c r="Z8" s="1846"/>
      <c r="AA8" s="1846"/>
      <c r="AB8" s="1846"/>
      <c r="AC8" s="1846"/>
      <c r="AD8" s="1846"/>
      <c r="AE8" s="1846"/>
      <c r="AF8" s="1846"/>
      <c r="AG8" s="1846"/>
      <c r="AH8" s="1850"/>
    </row>
    <row r="9" spans="1:34" s="632" customFormat="1" ht="15" customHeight="1" x14ac:dyDescent="0.3">
      <c r="B9" s="1851"/>
      <c r="C9" s="1852" t="s">
        <v>1280</v>
      </c>
      <c r="D9" s="1853"/>
      <c r="E9" s="1854"/>
      <c r="M9" s="1855"/>
      <c r="AH9" s="1856"/>
    </row>
    <row r="10" spans="1:34" s="632" customFormat="1" ht="15" customHeight="1" x14ac:dyDescent="0.3">
      <c r="B10" s="1851"/>
      <c r="D10" s="1853"/>
      <c r="E10" s="1854"/>
      <c r="AH10" s="1856"/>
    </row>
    <row r="11" spans="1:34" s="632" customFormat="1" ht="15" customHeight="1" x14ac:dyDescent="0.3">
      <c r="B11" s="1851"/>
      <c r="C11" s="632" t="s">
        <v>1283</v>
      </c>
      <c r="D11" s="1853"/>
      <c r="AF11" s="2972">
        <f ca="1">IFERROR(IF(MultipleBuildingsExist="Yes",ROUNDUP(Performance_Outputs_Summary!$M$123,3),ROUNDUP(Performance_Outputs_1!$M$327,3)),"")</f>
        <v>0.13300000000000001</v>
      </c>
      <c r="AG11" s="2973"/>
      <c r="AH11" s="1856"/>
    </row>
    <row r="12" spans="1:34" s="632" customFormat="1" ht="18" customHeight="1" x14ac:dyDescent="0.3">
      <c r="B12" s="1857"/>
      <c r="C12" s="1858"/>
      <c r="D12" s="1859"/>
      <c r="E12" s="1860"/>
      <c r="F12" s="1858"/>
      <c r="G12" s="1858"/>
      <c r="H12" s="1858"/>
      <c r="I12" s="1858"/>
      <c r="J12" s="1858"/>
      <c r="K12" s="1858"/>
      <c r="L12" s="1858"/>
      <c r="M12" s="1861"/>
      <c r="N12" s="1858"/>
      <c r="O12" s="1858"/>
      <c r="P12" s="1858"/>
      <c r="Q12" s="1858"/>
      <c r="R12" s="1858"/>
      <c r="S12" s="1858"/>
      <c r="T12" s="1858"/>
      <c r="U12" s="1858"/>
      <c r="V12" s="1858"/>
      <c r="W12" s="1858"/>
      <c r="X12" s="1858"/>
      <c r="Y12" s="1858"/>
      <c r="Z12" s="1858"/>
      <c r="AA12" s="1858"/>
      <c r="AB12" s="1858"/>
      <c r="AC12" s="1858"/>
      <c r="AD12" s="1858"/>
      <c r="AE12" s="1858"/>
      <c r="AF12" s="1858"/>
      <c r="AG12" s="1858"/>
      <c r="AH12" s="1862"/>
    </row>
    <row r="13" spans="1:34" s="632" customFormat="1" ht="13.5" customHeight="1" x14ac:dyDescent="0.3">
      <c r="B13" s="634"/>
      <c r="C13" s="635"/>
      <c r="D13" s="656"/>
      <c r="E13" s="657"/>
      <c r="F13" s="635"/>
      <c r="G13" s="635"/>
      <c r="H13" s="635"/>
      <c r="I13" s="635"/>
      <c r="J13" s="635"/>
      <c r="K13" s="635"/>
      <c r="L13" s="635"/>
      <c r="M13" s="658"/>
      <c r="N13" s="635"/>
      <c r="O13" s="635"/>
      <c r="P13" s="635"/>
      <c r="Q13" s="635"/>
      <c r="R13" s="635"/>
      <c r="S13" s="635"/>
      <c r="T13" s="635"/>
      <c r="U13" s="635"/>
      <c r="V13" s="635"/>
      <c r="W13" s="635"/>
      <c r="X13" s="635"/>
      <c r="Y13" s="635"/>
      <c r="Z13" s="635"/>
      <c r="AA13" s="635"/>
      <c r="AB13" s="635"/>
      <c r="AC13" s="635"/>
      <c r="AD13" s="635"/>
      <c r="AE13" s="635"/>
      <c r="AF13" s="635"/>
      <c r="AG13" s="635"/>
      <c r="AH13" s="636"/>
    </row>
    <row r="14" spans="1:34" s="633" customFormat="1" ht="21" customHeight="1" x14ac:dyDescent="0.3">
      <c r="B14" s="647"/>
      <c r="C14" s="2734" t="s">
        <v>1281</v>
      </c>
      <c r="D14" s="2734"/>
      <c r="E14" s="2734"/>
      <c r="F14" s="2734"/>
      <c r="G14" s="2734"/>
      <c r="H14" s="2734"/>
      <c r="I14" s="2734"/>
      <c r="J14" s="2734"/>
      <c r="K14" s="2734"/>
      <c r="L14" s="2734"/>
      <c r="M14" s="2734"/>
      <c r="N14" s="2734"/>
      <c r="O14" s="2734"/>
      <c r="P14" s="2734"/>
      <c r="Q14" s="2734"/>
      <c r="R14" s="2734"/>
      <c r="S14" s="2734"/>
      <c r="T14" s="2734"/>
      <c r="U14" s="2734"/>
      <c r="V14" s="2734"/>
      <c r="W14" s="2734"/>
      <c r="X14" s="2734"/>
      <c r="Y14" s="2734"/>
      <c r="Z14" s="2734"/>
      <c r="AA14" s="2734"/>
      <c r="AB14" s="2734"/>
      <c r="AC14" s="2734"/>
      <c r="AD14" s="2734"/>
      <c r="AE14" s="2734"/>
      <c r="AF14" s="2734"/>
      <c r="AG14" s="2734"/>
      <c r="AH14" s="648"/>
    </row>
    <row r="15" spans="1:34" s="6" customFormat="1" ht="30" customHeight="1" x14ac:dyDescent="0.25">
      <c r="B15" s="659"/>
      <c r="C15" s="2974" t="str">
        <f>IF(proj_RatingSystem="Data Centers - New Construction","Thresholds are based on the major renovation area as a percentage of total conditioned building area.  A minimum 2% of energy savings must come from building power and cooling infrastructure.",IF(OR("A"=1,proj_RatingSystem="Core and Shell"),"",IF(proj_RatingSystem="Homes","The performance thresholds in the table below are used in combination with the point adjustment on the multifamily details tab for a maximum of 30 points","Thresholds are based on the major renovation area as a percentage of total conditioned building area.")))</f>
        <v>Thresholds are based on the major renovation area as a percentage of total conditioned building area.</v>
      </c>
      <c r="D15" s="2974"/>
      <c r="E15" s="2974"/>
      <c r="F15" s="2974"/>
      <c r="G15" s="2974"/>
      <c r="H15" s="2974"/>
      <c r="I15" s="2974"/>
      <c r="J15" s="2974"/>
      <c r="K15" s="2974"/>
      <c r="L15" s="2974"/>
      <c r="M15" s="2974"/>
      <c r="N15" s="2974"/>
      <c r="O15" s="2974"/>
      <c r="P15" s="2974"/>
      <c r="Q15" s="2974"/>
      <c r="R15" s="2974"/>
      <c r="S15" s="2974"/>
      <c r="T15" s="2974"/>
      <c r="U15" s="2974"/>
      <c r="V15" s="2974"/>
      <c r="W15" s="2974"/>
      <c r="X15" s="2974"/>
      <c r="Y15" s="2974"/>
      <c r="Z15" s="2974"/>
      <c r="AA15" s="2974"/>
      <c r="AB15" s="2974"/>
      <c r="AC15" s="2974"/>
      <c r="AD15" s="2974"/>
      <c r="AE15" s="2974"/>
      <c r="AF15" s="2974"/>
      <c r="AG15" s="2974"/>
      <c r="AH15" s="660"/>
    </row>
    <row r="16" spans="1:34" s="6" customFormat="1" ht="21" customHeight="1" x14ac:dyDescent="0.25">
      <c r="A16" s="650"/>
      <c r="B16" s="659"/>
      <c r="C16" s="2085" t="s">
        <v>1285</v>
      </c>
      <c r="D16" s="2086"/>
      <c r="E16" s="2086"/>
      <c r="F16" s="2086"/>
      <c r="G16" s="2086"/>
      <c r="H16" s="2086"/>
      <c r="I16" s="2086"/>
      <c r="J16" s="2086"/>
      <c r="K16" s="2086"/>
      <c r="L16" s="2086"/>
      <c r="M16" s="2086"/>
      <c r="N16" s="2086"/>
      <c r="O16" s="2086"/>
      <c r="P16" s="2086"/>
      <c r="Q16" s="2086"/>
      <c r="R16" s="2086"/>
      <c r="S16" s="2086"/>
      <c r="T16" s="2086"/>
      <c r="U16" s="2086"/>
      <c r="V16" s="2086"/>
      <c r="W16" s="2086"/>
      <c r="X16" s="2086"/>
      <c r="Y16" s="2086"/>
      <c r="Z16" s="2086"/>
      <c r="AA16" s="2086"/>
      <c r="AB16" s="2086"/>
      <c r="AC16" s="2086"/>
      <c r="AD16" s="2086"/>
      <c r="AE16" s="2086"/>
      <c r="AF16" s="2086"/>
      <c r="AG16" s="2087"/>
      <c r="AH16" s="660"/>
    </row>
    <row r="17" spans="1:37" s="6" customFormat="1" ht="21" customHeight="1" x14ac:dyDescent="0.25">
      <c r="A17" s="651"/>
      <c r="B17" s="659"/>
      <c r="C17" s="862">
        <f>IF(proj_RatingSystem="Core and Shell",0.02,IF(proj_RatingSystem="Homes",0.05,IF(RatingSystem_IDC=TRUE,0.03,5*(pctNew/100)+3*(PctRenovation/100))))</f>
        <v>0.05</v>
      </c>
      <c r="D17" s="863">
        <f>C17+1%</f>
        <v>6.0000000000000005E-2</v>
      </c>
      <c r="E17" s="863">
        <f t="shared" ref="E17:N17" si="0">IF(OR(RatingSystem_IDC=TRUE,proj_RatingSystem="Homes"),D17+1%,D17+2%)</f>
        <v>0.08</v>
      </c>
      <c r="F17" s="863">
        <f t="shared" si="0"/>
        <v>0.1</v>
      </c>
      <c r="G17" s="863">
        <f t="shared" si="0"/>
        <v>0.12000000000000001</v>
      </c>
      <c r="H17" s="863">
        <f t="shared" si="0"/>
        <v>0.14000000000000001</v>
      </c>
      <c r="I17" s="863">
        <f t="shared" si="0"/>
        <v>0.16</v>
      </c>
      <c r="J17" s="863">
        <f t="shared" si="0"/>
        <v>0.18</v>
      </c>
      <c r="K17" s="863">
        <f t="shared" si="0"/>
        <v>0.19999999999999998</v>
      </c>
      <c r="L17" s="863">
        <f t="shared" si="0"/>
        <v>0.21999999999999997</v>
      </c>
      <c r="M17" s="863">
        <f t="shared" si="0"/>
        <v>0.23999999999999996</v>
      </c>
      <c r="N17" s="863">
        <f t="shared" si="0"/>
        <v>0.25999999999999995</v>
      </c>
      <c r="O17" s="863">
        <f>IF(OR(RatingSystem_IDC=TRUE,proj_RatingSystem="Homes"),N17+1%,N17+3%)</f>
        <v>0.28999999999999992</v>
      </c>
      <c r="P17" s="863">
        <f>IF(OR(RatingSystem_IDC=TRUE,proj_RatingSystem="Homes"),O17+1%,O17+3%)</f>
        <v>0.31999999999999995</v>
      </c>
      <c r="Q17" s="863">
        <f>IF(OR(RatingSystem_IDC=TRUE,proj_RatingSystem="Homes"),P17+1%,P17+3%)</f>
        <v>0.35</v>
      </c>
      <c r="R17" s="863">
        <f>IF(OR(RatingSystem_IDC=TRUE,proj_RatingSystem="Homes"),Q17+1%,Q17+3%)</f>
        <v>0.38</v>
      </c>
      <c r="S17" s="863">
        <f>IF(proj_RatingSystem="Homes",R17+2%,IF(RatingSystem_IDC=TRUE,R17+2%,R17+4%))</f>
        <v>0.42</v>
      </c>
      <c r="T17" s="863">
        <f>IF(proj_RatingSystem="Homes",S17+2%,IF(RatingSystem_IDC=TRUE,S17+2%,IF(proj_RatingSystem="Schools - New Construction","",S17+4%)))</f>
        <v>0.45999999999999996</v>
      </c>
      <c r="U17" s="863">
        <f>IF(proj_RatingSystem="Homes",T17+2%,IF(RatingSystem_IDC=TRUE,T17+2%,IF(proj_RatingSystem="Schools - New Construction","",T17+4%)))</f>
        <v>0.49999999999999994</v>
      </c>
      <c r="V17" s="863" t="str">
        <f>IF(proj_RatingSystem="Homes",U17+2%,IF(RatingSystem_IDC=TRUE,U17+4%,""))</f>
        <v/>
      </c>
      <c r="W17" s="863" t="str">
        <f>IF(proj_RatingSystem="Homes",V17+2%,"")</f>
        <v/>
      </c>
      <c r="X17" s="863" t="str">
        <f t="shared" ref="X17:AF17" si="1">IF(proj_RatingSystem="Homes",W17+3%,"")</f>
        <v/>
      </c>
      <c r="Y17" s="863" t="str">
        <f t="shared" si="1"/>
        <v/>
      </c>
      <c r="Z17" s="863" t="str">
        <f t="shared" si="1"/>
        <v/>
      </c>
      <c r="AA17" s="863" t="str">
        <f t="shared" si="1"/>
        <v/>
      </c>
      <c r="AB17" s="863" t="str">
        <f t="shared" si="1"/>
        <v/>
      </c>
      <c r="AC17" s="863" t="str">
        <f t="shared" si="1"/>
        <v/>
      </c>
      <c r="AD17" s="863" t="str">
        <f t="shared" si="1"/>
        <v/>
      </c>
      <c r="AE17" s="863" t="str">
        <f t="shared" si="1"/>
        <v/>
      </c>
      <c r="AF17" s="863" t="str">
        <f t="shared" si="1"/>
        <v/>
      </c>
      <c r="AG17" s="655">
        <f>IF(proj_RatingSystem="Homes",AF17+3%,MAX(C17:AF17)+4%)</f>
        <v>0.53999999999999992</v>
      </c>
      <c r="AH17" s="660"/>
    </row>
    <row r="18" spans="1:37" s="6" customFormat="1" ht="21" customHeight="1" x14ac:dyDescent="0.25">
      <c r="A18" s="651"/>
      <c r="B18" s="659"/>
      <c r="C18" s="1991" t="s">
        <v>1284</v>
      </c>
      <c r="D18" s="864">
        <f>IF(proj_RatingSystem="Healthcare",3,IF(RatingSystem_IDC=TRUE,4,1))</f>
        <v>1</v>
      </c>
      <c r="E18" s="864">
        <f>IF(RatingSystem_IDC=TRUE,D18+2,D18+1)</f>
        <v>2</v>
      </c>
      <c r="F18" s="864">
        <f>IF(RatingSystem_IDC=TRUE,E18+2,E18+1)</f>
        <v>3</v>
      </c>
      <c r="G18" s="864">
        <f>IF(RatingSystem_IDC=TRUE,F18+2,F18+1)</f>
        <v>4</v>
      </c>
      <c r="H18" s="864">
        <f t="shared" ref="H18:O18" si="2">G18+1</f>
        <v>5</v>
      </c>
      <c r="I18" s="864">
        <f t="shared" si="2"/>
        <v>6</v>
      </c>
      <c r="J18" s="864">
        <f t="shared" si="2"/>
        <v>7</v>
      </c>
      <c r="K18" s="864">
        <f t="shared" si="2"/>
        <v>8</v>
      </c>
      <c r="L18" s="864">
        <f t="shared" si="2"/>
        <v>9</v>
      </c>
      <c r="M18" s="864">
        <f t="shared" si="2"/>
        <v>10</v>
      </c>
      <c r="N18" s="864">
        <f t="shared" si="2"/>
        <v>11</v>
      </c>
      <c r="O18" s="864">
        <f t="shared" si="2"/>
        <v>12</v>
      </c>
      <c r="P18" s="864">
        <f>O18+1</f>
        <v>13</v>
      </c>
      <c r="Q18" s="864">
        <f>P18+1</f>
        <v>14</v>
      </c>
      <c r="R18" s="864">
        <f>Q18+1</f>
        <v>15</v>
      </c>
      <c r="S18" s="864">
        <f>R18+1</f>
        <v>16</v>
      </c>
      <c r="T18" s="864">
        <f>IF(proj_RatingSystem="Schools - New Construction","",S18+1)</f>
        <v>17</v>
      </c>
      <c r="U18" s="864">
        <f>IF(proj_RatingSystem="Schools - New Construction","",T18+1)</f>
        <v>18</v>
      </c>
      <c r="V18" s="864" t="str">
        <f>IF(OR(proj_RatingSystem="Homes",RatingSystem_IDC=TRUE),U18+1,"")</f>
        <v/>
      </c>
      <c r="W18" s="864" t="str">
        <f t="shared" ref="W18:AF18" si="3">IF(proj_RatingSystem="Homes",V18+1,"")</f>
        <v/>
      </c>
      <c r="X18" s="864" t="str">
        <f t="shared" si="3"/>
        <v/>
      </c>
      <c r="Y18" s="864" t="str">
        <f t="shared" si="3"/>
        <v/>
      </c>
      <c r="Z18" s="864" t="str">
        <f t="shared" si="3"/>
        <v/>
      </c>
      <c r="AA18" s="864" t="str">
        <f t="shared" si="3"/>
        <v/>
      </c>
      <c r="AB18" s="864" t="str">
        <f t="shared" si="3"/>
        <v/>
      </c>
      <c r="AC18" s="864" t="str">
        <f t="shared" si="3"/>
        <v/>
      </c>
      <c r="AD18" s="864" t="str">
        <f t="shared" si="3"/>
        <v/>
      </c>
      <c r="AE18" s="864" t="str">
        <f t="shared" si="3"/>
        <v/>
      </c>
      <c r="AF18" s="864" t="str">
        <f t="shared" si="3"/>
        <v/>
      </c>
      <c r="AG18" s="654" t="str">
        <f>IF(proj_RatingSystem="Homes",AF18+1,"EP")</f>
        <v>EP</v>
      </c>
      <c r="AH18" s="660"/>
    </row>
    <row r="19" spans="1:37" s="6" customFormat="1" ht="21" customHeight="1" x14ac:dyDescent="0.25">
      <c r="A19" s="651"/>
      <c r="B19" s="659"/>
      <c r="C19" s="760"/>
      <c r="D19" s="761"/>
      <c r="E19" s="761"/>
      <c r="F19" s="761"/>
      <c r="G19" s="761"/>
      <c r="H19" s="761"/>
      <c r="I19" s="761"/>
      <c r="J19" s="761"/>
      <c r="K19" s="761"/>
      <c r="L19" s="761"/>
      <c r="M19" s="761"/>
      <c r="N19" s="761"/>
      <c r="O19" s="761"/>
      <c r="P19" s="761"/>
      <c r="Q19" s="761"/>
      <c r="R19" s="761"/>
      <c r="S19" s="761"/>
      <c r="T19" s="761"/>
      <c r="U19" s="761"/>
      <c r="V19" s="761"/>
      <c r="W19" s="761"/>
      <c r="X19" s="761"/>
      <c r="Y19" s="761"/>
      <c r="Z19" s="761"/>
      <c r="AA19" s="761"/>
      <c r="AB19" s="761"/>
      <c r="AC19" s="761"/>
      <c r="AD19" s="761"/>
      <c r="AE19" s="761"/>
      <c r="AF19" s="761"/>
      <c r="AG19" s="760"/>
      <c r="AH19" s="660"/>
    </row>
    <row r="20" spans="1:37" s="6" customFormat="1" ht="21" hidden="1" customHeight="1" x14ac:dyDescent="0.25">
      <c r="A20" s="651"/>
      <c r="B20" s="659"/>
      <c r="C20" s="639" t="s">
        <v>1384</v>
      </c>
      <c r="D20" s="645"/>
      <c r="E20" s="639"/>
      <c r="F20" s="639"/>
      <c r="G20" s="639"/>
      <c r="H20" s="639"/>
      <c r="I20" s="639"/>
      <c r="J20" s="639"/>
      <c r="K20" s="639"/>
      <c r="L20" s="639"/>
      <c r="M20" s="639"/>
      <c r="N20" s="639"/>
      <c r="O20" s="639"/>
      <c r="P20" s="639"/>
      <c r="Q20" s="639"/>
      <c r="R20" s="639"/>
      <c r="S20" s="639"/>
      <c r="T20" s="639"/>
      <c r="U20" s="639"/>
      <c r="V20" s="639"/>
      <c r="W20" s="639"/>
      <c r="X20" s="639"/>
      <c r="Y20" s="639"/>
      <c r="Z20" s="639"/>
      <c r="AA20" s="639"/>
      <c r="AB20" s="639"/>
      <c r="AC20" s="639"/>
      <c r="AD20" s="639"/>
      <c r="AE20" s="639"/>
      <c r="AF20" s="2968">
        <f ca="1">IF(AF11&gt;=D17,MIN(MAX(HLOOKUP($AF$11+0.00005,$D$17:$AG$18,2,TRUE)+Homes_Point_Adjustment,0),30),0)</f>
        <v>4</v>
      </c>
      <c r="AG20" s="2969"/>
      <c r="AH20" s="660"/>
    </row>
    <row r="21" spans="1:37" s="6" customFormat="1" ht="15" customHeight="1" x14ac:dyDescent="0.25">
      <c r="A21" s="651"/>
      <c r="B21" s="661"/>
      <c r="C21" s="662"/>
      <c r="D21" s="662"/>
      <c r="E21" s="662"/>
      <c r="F21" s="662"/>
      <c r="G21" s="662"/>
      <c r="H21" s="663"/>
      <c r="I21" s="664"/>
      <c r="J21" s="665"/>
      <c r="K21" s="662"/>
      <c r="L21" s="662"/>
      <c r="M21" s="662"/>
      <c r="N21" s="662"/>
      <c r="O21" s="662"/>
      <c r="P21" s="662"/>
      <c r="Q21" s="662"/>
      <c r="R21" s="662"/>
      <c r="S21" s="662"/>
      <c r="T21" s="662"/>
      <c r="U21" s="662"/>
      <c r="V21" s="662"/>
      <c r="W21" s="662"/>
      <c r="X21" s="662"/>
      <c r="Y21" s="662"/>
      <c r="Z21" s="662"/>
      <c r="AA21" s="662"/>
      <c r="AB21" s="662"/>
      <c r="AC21" s="662"/>
      <c r="AD21" s="662"/>
      <c r="AE21" s="662"/>
      <c r="AF21" s="662"/>
      <c r="AG21" s="662"/>
      <c r="AH21" s="666"/>
    </row>
    <row r="22" spans="1:37" s="632" customFormat="1" ht="21" customHeight="1" x14ac:dyDescent="0.3"/>
    <row r="30" spans="1:37" x14ac:dyDescent="0.3">
      <c r="AK30" s="1350"/>
    </row>
  </sheetData>
  <sheetProtection algorithmName="SHA-512" hashValue="cFOMw6HGw7D6A7wp9sPY2cxbqiKLIgy+UMwPlhyd81uJQIC1Yqtt+sYQtoV6VpEJEdgE+cayutw5khSj5+LalA==" saltValue="bmyYcFf10hDb+yvAJZ5y4g==" spinCount="100000" sheet="1" objects="1" scenarios="1"/>
  <customSheetViews>
    <customSheetView guid="{75D6F8CE-A4F4-4FDD-BA92-7996F9E19FA9}" scale="90" showGridLines="0">
      <selection activeCell="AF20" sqref="AF20:AG20"/>
      <pageMargins left="0.7" right="0.7" top="0.75" bottom="0.75" header="0.3" footer="0.3"/>
      <pageSetup orientation="portrait" horizontalDpi="1200" verticalDpi="1200" r:id="rId1"/>
    </customSheetView>
  </customSheetViews>
  <mergeCells count="6">
    <mergeCell ref="AF20:AG20"/>
    <mergeCell ref="C14:AG14"/>
    <mergeCell ref="AF6:AG6"/>
    <mergeCell ref="AF11:AG11"/>
    <mergeCell ref="C16:AG16"/>
    <mergeCell ref="C15:AG15"/>
  </mergeCells>
  <conditionalFormatting sqref="C17:AF18">
    <cfRule type="expression" dxfId="0" priority="1">
      <formula>AND($AF$11&gt;=C17,$AF$11&lt;=D17)</formula>
    </cfRule>
  </conditionalFormatting>
  <pageMargins left="0.7" right="0.7" top="0.75" bottom="0.75" header="0.3" footer="0.3"/>
  <pageSetup orientation="portrait" horizontalDpi="1200" verticalDpi="1200" r:id="rId2"/>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tabColor rgb="FFC00000"/>
  </sheetPr>
  <dimension ref="A1:DR218"/>
  <sheetViews>
    <sheetView topLeftCell="A82" workbookViewId="0">
      <selection activeCell="B96" sqref="B96"/>
    </sheetView>
  </sheetViews>
  <sheetFormatPr defaultColWidth="8.6640625" defaultRowHeight="13.2" x14ac:dyDescent="0.25"/>
  <cols>
    <col min="1" max="1" width="11.44140625" style="104" customWidth="1"/>
    <col min="2" max="2" width="22" style="104" bestFit="1" customWidth="1"/>
    <col min="3" max="3" width="22" style="104" customWidth="1"/>
    <col min="4" max="4" width="19.33203125" style="104" customWidth="1"/>
    <col min="5" max="5" width="26" style="104" bestFit="1" customWidth="1"/>
    <col min="6" max="6" width="33.44140625" style="104" bestFit="1" customWidth="1"/>
    <col min="7" max="7" width="10.109375" style="104" bestFit="1" customWidth="1"/>
    <col min="8" max="8" width="13.44140625" style="104" customWidth="1"/>
    <col min="9" max="9" width="19.33203125" style="104" customWidth="1"/>
    <col min="10" max="10" width="9.6640625" style="104" bestFit="1" customWidth="1"/>
    <col min="11" max="12" width="20" style="104" customWidth="1"/>
    <col min="13" max="13" width="12.6640625" style="104" bestFit="1" customWidth="1"/>
    <col min="14" max="14" width="12.6640625" style="104" customWidth="1"/>
    <col min="15" max="24" width="8.6640625" style="104"/>
    <col min="25" max="25" width="59" style="104" bestFit="1" customWidth="1"/>
    <col min="26" max="30" width="8.6640625" style="104"/>
    <col min="31" max="38" width="8.44140625" style="104" customWidth="1"/>
    <col min="39" max="56" width="8.6640625" style="104"/>
    <col min="57" max="57" width="22.33203125" style="104" customWidth="1"/>
    <col min="58" max="78" width="8.6640625" style="104"/>
    <col min="79" max="79" width="17.33203125" style="104" bestFit="1" customWidth="1"/>
    <col min="80" max="81" width="8.6640625" style="104"/>
    <col min="82" max="82" width="30.109375" style="104" customWidth="1"/>
    <col min="83" max="83" width="8.6640625" style="104"/>
    <col min="84" max="84" width="15.109375" style="104" bestFit="1" customWidth="1"/>
    <col min="85" max="85" width="8.6640625" style="104"/>
    <col min="86" max="86" width="11" style="104" customWidth="1"/>
    <col min="87" max="90" width="8.6640625" style="104"/>
    <col min="91" max="91" width="12.6640625" style="104" customWidth="1"/>
    <col min="92" max="92" width="8.6640625" style="104"/>
    <col min="93" max="93" width="25.109375" style="104" bestFit="1" customWidth="1"/>
    <col min="94" max="95" width="8.6640625" style="104"/>
    <col min="96" max="96" width="3" style="104" customWidth="1"/>
    <col min="97" max="97" width="47.33203125" style="104" bestFit="1" customWidth="1"/>
    <col min="98" max="98" width="3.33203125" style="104" customWidth="1"/>
    <col min="99" max="99" width="30.5546875" style="104" customWidth="1"/>
    <col min="100" max="112" width="8.6640625" style="104"/>
    <col min="113" max="113" width="3.5546875" style="104" customWidth="1"/>
    <col min="114" max="114" width="12.5546875" style="104" bestFit="1" customWidth="1"/>
    <col min="115" max="121" width="8.6640625" style="104"/>
    <col min="122" max="122" width="14.6640625" style="104" bestFit="1" customWidth="1"/>
    <col min="123" max="16384" width="8.6640625" style="104"/>
  </cols>
  <sheetData>
    <row r="1" spans="1:122" s="150" customFormat="1" ht="93" x14ac:dyDescent="0.3">
      <c r="B1" s="151" t="s">
        <v>702</v>
      </c>
      <c r="C1" s="151" t="s">
        <v>701</v>
      </c>
      <c r="D1" s="150" t="s">
        <v>700</v>
      </c>
      <c r="E1" s="151" t="s">
        <v>494</v>
      </c>
      <c r="F1" s="150" t="s">
        <v>1079</v>
      </c>
      <c r="G1" s="150" t="s">
        <v>699</v>
      </c>
      <c r="J1" s="150" t="s">
        <v>1094</v>
      </c>
      <c r="K1" s="151" t="s">
        <v>698</v>
      </c>
      <c r="L1" s="151" t="s">
        <v>1079</v>
      </c>
      <c r="M1" s="150" t="s">
        <v>697</v>
      </c>
      <c r="Q1" s="151" t="s">
        <v>696</v>
      </c>
      <c r="S1" s="151" t="s">
        <v>491</v>
      </c>
      <c r="Y1" s="47" t="s">
        <v>695</v>
      </c>
      <c r="Z1" s="151" t="s">
        <v>695</v>
      </c>
      <c r="AD1" s="150" t="s">
        <v>1080</v>
      </c>
      <c r="AE1" s="150" t="s">
        <v>1081</v>
      </c>
      <c r="AF1" s="150" t="s">
        <v>1082</v>
      </c>
      <c r="AN1" s="151" t="s">
        <v>487</v>
      </c>
      <c r="AQ1" s="151" t="s">
        <v>694</v>
      </c>
      <c r="AT1" s="151" t="s">
        <v>693</v>
      </c>
      <c r="AX1" s="150" t="s">
        <v>692</v>
      </c>
      <c r="AY1" s="150" t="s">
        <v>691</v>
      </c>
      <c r="BB1" s="150" t="s">
        <v>690</v>
      </c>
      <c r="BE1" s="151" t="s">
        <v>689</v>
      </c>
      <c r="BF1" s="150" t="s">
        <v>456</v>
      </c>
      <c r="BH1" s="150" t="s">
        <v>688</v>
      </c>
      <c r="BL1" s="150" t="s">
        <v>159</v>
      </c>
      <c r="BN1" s="150" t="s">
        <v>158</v>
      </c>
      <c r="CA1" s="151" t="s">
        <v>687</v>
      </c>
      <c r="CD1" s="150" t="s">
        <v>686</v>
      </c>
      <c r="CL1" s="150" t="s">
        <v>685</v>
      </c>
      <c r="CM1" s="150" t="s">
        <v>684</v>
      </c>
      <c r="CO1" s="585" t="s">
        <v>1186</v>
      </c>
      <c r="CP1"/>
      <c r="CS1" s="150" t="s">
        <v>1353</v>
      </c>
      <c r="CU1" s="745" t="s">
        <v>1471</v>
      </c>
      <c r="CV1" s="745" t="str">
        <f>CONCATENATE("Base ",IF(SI_IP_Units="IP","(kWh/year)","kWh/year"))</f>
        <v>Base kWh/year</v>
      </c>
      <c r="CW1" s="745" t="str">
        <f>CONCATENATE("Energy Star ",IF(SI_IP_Units="IP","(kWh/year)","kWh/year"))</f>
        <v>Energy Star kWh/year</v>
      </c>
      <c r="CX1" s="745" t="s">
        <v>1494</v>
      </c>
      <c r="CY1" s="745" t="s">
        <v>1495</v>
      </c>
      <c r="CZ1" s="745" t="s">
        <v>1509</v>
      </c>
      <c r="DA1" s="745" t="str">
        <f>CONCATENATE("Base ",IF(SI_IP_Units="IP","(Therms/year)","kWh/year"))</f>
        <v>Base kWh/year</v>
      </c>
      <c r="DB1" s="745" t="str">
        <f>CONCATENATE("Energy Star ",IF(SI_IP_Units="IP","(Therms/year)","kWh/year"))</f>
        <v>Energy Star kWh/year</v>
      </c>
      <c r="DC1" s="745" t="s">
        <v>1492</v>
      </c>
      <c r="DD1" s="745" t="s">
        <v>1493</v>
      </c>
      <c r="DE1" s="745" t="s">
        <v>1510</v>
      </c>
      <c r="DF1" s="745" t="s">
        <v>921</v>
      </c>
      <c r="DG1" s="745" t="s">
        <v>1511</v>
      </c>
      <c r="DH1" s="745" t="s">
        <v>1512</v>
      </c>
      <c r="DI1" s="745"/>
      <c r="DJ1" s="745" t="s">
        <v>1477</v>
      </c>
      <c r="DK1" s="745" t="s">
        <v>1482</v>
      </c>
      <c r="DL1" s="745" t="s">
        <v>1483</v>
      </c>
      <c r="DM1" s="745"/>
      <c r="DN1" s="745"/>
      <c r="DO1" s="150" t="s">
        <v>1599</v>
      </c>
      <c r="DR1" s="150" t="s">
        <v>1958</v>
      </c>
    </row>
    <row r="2" spans="1:122" ht="68.25" customHeight="1" x14ac:dyDescent="0.25">
      <c r="A2" s="104">
        <v>1</v>
      </c>
      <c r="B2" s="104" t="s">
        <v>464</v>
      </c>
      <c r="C2" s="141">
        <v>3.14</v>
      </c>
      <c r="E2" s="104" t="s">
        <v>488</v>
      </c>
      <c r="F2" s="104" t="s">
        <v>683</v>
      </c>
      <c r="G2" s="104">
        <v>3.4119999999999999</v>
      </c>
      <c r="H2" s="148"/>
      <c r="I2" s="148"/>
      <c r="J2" s="503">
        <f t="shared" ref="J2:J8" si="0">G2/100</f>
        <v>3.4119999999999998E-2</v>
      </c>
      <c r="K2" s="104" t="s">
        <v>243</v>
      </c>
      <c r="L2" s="104" t="s">
        <v>244</v>
      </c>
      <c r="M2" s="137">
        <v>3.4119999999999999</v>
      </c>
      <c r="N2" s="137"/>
      <c r="Q2" s="104" t="s">
        <v>682</v>
      </c>
      <c r="S2" s="104" t="s">
        <v>681</v>
      </c>
      <c r="Y2" s="82" t="s">
        <v>1210</v>
      </c>
      <c r="Z2" s="104" t="s">
        <v>1075</v>
      </c>
      <c r="AD2" s="150"/>
      <c r="AE2" s="150"/>
      <c r="AF2" s="150"/>
      <c r="AG2" s="150"/>
      <c r="AH2" s="150"/>
      <c r="AI2" s="150"/>
      <c r="AJ2" s="150"/>
      <c r="AK2" s="150"/>
      <c r="AN2" s="104" t="s">
        <v>680</v>
      </c>
      <c r="AQ2" s="104" t="s">
        <v>504</v>
      </c>
      <c r="AT2" s="104" t="s">
        <v>507</v>
      </c>
      <c r="AX2" s="145" t="s">
        <v>44</v>
      </c>
      <c r="AY2" s="104" t="s">
        <v>679</v>
      </c>
      <c r="BB2" s="104" t="s">
        <v>44</v>
      </c>
      <c r="BE2" s="104" t="s">
        <v>482</v>
      </c>
      <c r="BH2" s="104" t="s">
        <v>678</v>
      </c>
      <c r="BL2" s="104" t="s">
        <v>677</v>
      </c>
      <c r="BN2" s="104" t="s">
        <v>676</v>
      </c>
      <c r="CA2" s="140" t="s">
        <v>675</v>
      </c>
      <c r="CB2" s="140">
        <v>1</v>
      </c>
      <c r="CD2" s="140" t="s">
        <v>674</v>
      </c>
      <c r="CE2" s="140">
        <v>5</v>
      </c>
      <c r="CM2" s="104" t="s">
        <v>673</v>
      </c>
      <c r="CO2" s="142" t="s">
        <v>494</v>
      </c>
      <c r="CP2" s="104" t="s">
        <v>1187</v>
      </c>
      <c r="CS2" s="104" t="s">
        <v>1350</v>
      </c>
      <c r="CU2" s="745" t="s">
        <v>1472</v>
      </c>
      <c r="CV2" s="745">
        <v>529</v>
      </c>
      <c r="CW2" s="745">
        <v>423</v>
      </c>
      <c r="CX2" s="745">
        <v>1</v>
      </c>
      <c r="CY2" s="745">
        <v>0</v>
      </c>
      <c r="DA2" s="745"/>
      <c r="DB2" s="745"/>
      <c r="DE2" s="104">
        <v>0</v>
      </c>
      <c r="DF2" s="104">
        <v>1</v>
      </c>
      <c r="DG2" s="104">
        <v>0</v>
      </c>
      <c r="DH2" s="104">
        <v>0</v>
      </c>
      <c r="DI2" s="745"/>
      <c r="DJ2" s="745" t="s">
        <v>1478</v>
      </c>
      <c r="DK2" s="745">
        <v>0.2</v>
      </c>
      <c r="DL2" s="745">
        <v>0.7</v>
      </c>
      <c r="DM2" s="745"/>
      <c r="DN2" s="745"/>
      <c r="DO2" s="104" t="s">
        <v>1597</v>
      </c>
      <c r="DR2" s="104">
        <f ca="1">ROWS(IF(MBD_LEEDNDEMSubsetExist=TRUE,
OFFSET(MBD_BSTotal_Index,1,0,ROWS(MBD_BSTotal_Index)-1,1),
IF(MultipleBuildingsExist="YES",OFFSET(MBD_BSTotal_Index,2,0,ROWS(MBD_BSTotal_Index)-2,1),
OFFSET(MBD_BSTotal_Index,2,0,ROWS(MBD_BSTotal_Index)-2,1))))</f>
        <v>2</v>
      </c>
    </row>
    <row r="3" spans="1:122" ht="12.75" customHeight="1" x14ac:dyDescent="0.3">
      <c r="A3" s="104">
        <v>2</v>
      </c>
      <c r="B3" s="104" t="s">
        <v>478</v>
      </c>
      <c r="C3" s="141">
        <v>1.05</v>
      </c>
      <c r="D3" s="104" t="s">
        <v>25</v>
      </c>
      <c r="E3" s="104" t="s">
        <v>672</v>
      </c>
      <c r="F3" s="104" t="s">
        <v>671</v>
      </c>
      <c r="G3" s="137">
        <v>3412</v>
      </c>
      <c r="H3" s="148"/>
      <c r="I3" s="148"/>
      <c r="J3" s="503">
        <f t="shared" si="0"/>
        <v>34.119999999999997</v>
      </c>
      <c r="K3" s="104" t="s">
        <v>670</v>
      </c>
      <c r="L3" s="104" t="s">
        <v>669</v>
      </c>
      <c r="M3" s="137">
        <v>3412</v>
      </c>
      <c r="N3" s="137"/>
      <c r="Q3" s="104" t="s">
        <v>668</v>
      </c>
      <c r="S3" s="104" t="s">
        <v>667</v>
      </c>
      <c r="Y3" s="82" t="s">
        <v>1211</v>
      </c>
      <c r="Z3" s="104" t="s">
        <v>1083</v>
      </c>
      <c r="AN3" s="104" t="s">
        <v>666</v>
      </c>
      <c r="AQ3" s="104" t="s">
        <v>503</v>
      </c>
      <c r="AT3" s="104" t="s">
        <v>506</v>
      </c>
      <c r="AX3" s="145" t="s">
        <v>45</v>
      </c>
      <c r="AY3" s="104" t="s">
        <v>665</v>
      </c>
      <c r="BB3" s="104" t="s">
        <v>45</v>
      </c>
      <c r="BE3" s="104" t="s">
        <v>481</v>
      </c>
      <c r="BH3" s="104" t="s">
        <v>664</v>
      </c>
      <c r="BL3" s="104" t="s">
        <v>663</v>
      </c>
      <c r="BN3" s="104" t="s">
        <v>662</v>
      </c>
      <c r="CA3" s="140" t="s">
        <v>661</v>
      </c>
      <c r="CB3" s="140"/>
      <c r="CJ3" s="104" t="s">
        <v>660</v>
      </c>
      <c r="CK3" s="104">
        <v>2</v>
      </c>
      <c r="CL3" s="104" t="s">
        <v>659</v>
      </c>
      <c r="CM3" s="104">
        <v>0</v>
      </c>
      <c r="CO3" s="104" t="s">
        <v>488</v>
      </c>
      <c r="CP3">
        <v>1</v>
      </c>
      <c r="CS3" s="104" t="s">
        <v>1351</v>
      </c>
      <c r="CU3" s="104" t="s">
        <v>1473</v>
      </c>
      <c r="CV3" s="104">
        <v>206</v>
      </c>
      <c r="CW3" s="104">
        <v>164</v>
      </c>
      <c r="CX3" s="104">
        <v>0.6</v>
      </c>
      <c r="CY3" s="104">
        <v>0.15</v>
      </c>
      <c r="CZ3" s="104">
        <v>0</v>
      </c>
      <c r="DE3" s="104">
        <v>0</v>
      </c>
      <c r="DF3" s="104">
        <v>1</v>
      </c>
      <c r="DG3" s="104">
        <f>IF(SI_IP_Units="IP",1290,4883)</f>
        <v>4883</v>
      </c>
      <c r="DH3" s="104">
        <f>IF(SI_IP_Units="IP",860,3255)</f>
        <v>3255</v>
      </c>
      <c r="DJ3" s="104" t="s">
        <v>91</v>
      </c>
      <c r="DK3" s="104">
        <v>0.2</v>
      </c>
      <c r="DL3" s="104">
        <v>0.7</v>
      </c>
      <c r="DO3" s="104" t="s">
        <v>673</v>
      </c>
      <c r="DR3" s="104" t="str">
        <f t="array" aca="1" ref="DR3:DR100" ca="1">IF(MBD_LEEDNDEMSubsetExist=TRUE,
OFFSET(MBD_BSTotal_Index,1,0,ROWS(MBD_BSTotal_Index)-1,1),
IF(MultipleBuildingsExist="YES",OFFSET(MBD_BSTotal_Index,2,0,ROWS(MBD_BSTotal_Index)-2,1),
OFFSET(MBD_BSTotal_Index,2,0,ROWS(MBD_BSTotal_Index)-2,1)))</f>
        <v>Saudi Aramco Corporate Academy - Dhahran</v>
      </c>
    </row>
    <row r="4" spans="1:122" ht="12.75" customHeight="1" x14ac:dyDescent="0.3">
      <c r="A4" s="104">
        <v>3</v>
      </c>
      <c r="B4" s="104" t="s">
        <v>158</v>
      </c>
      <c r="C4" s="104">
        <v>1</v>
      </c>
      <c r="E4" s="104" t="s">
        <v>657</v>
      </c>
      <c r="F4" s="104" t="s">
        <v>656</v>
      </c>
      <c r="G4" s="104">
        <v>1</v>
      </c>
      <c r="H4" s="148"/>
      <c r="I4" s="148"/>
      <c r="J4" s="503">
        <f t="shared" si="0"/>
        <v>0.01</v>
      </c>
      <c r="K4" s="104" t="s">
        <v>245</v>
      </c>
      <c r="L4" s="104" t="s">
        <v>246</v>
      </c>
      <c r="M4" s="104">
        <v>1E-3</v>
      </c>
      <c r="S4" s="104" t="s">
        <v>655</v>
      </c>
      <c r="Y4" s="82" t="s">
        <v>1212</v>
      </c>
      <c r="Z4" s="104" t="s">
        <v>1084</v>
      </c>
      <c r="AD4" s="497"/>
      <c r="AE4" s="497"/>
      <c r="AF4" s="497"/>
      <c r="AG4" s="497"/>
      <c r="AH4" s="497"/>
      <c r="AI4" s="497"/>
      <c r="AJ4" s="498"/>
      <c r="AK4" s="498"/>
      <c r="AL4" s="499"/>
      <c r="AM4" s="143"/>
      <c r="AN4" s="104" t="s">
        <v>654</v>
      </c>
      <c r="AQ4" s="104" t="s">
        <v>502</v>
      </c>
      <c r="AT4" s="104" t="s">
        <v>505</v>
      </c>
      <c r="AX4" s="145" t="s">
        <v>46</v>
      </c>
      <c r="AY4" s="104" t="s">
        <v>653</v>
      </c>
      <c r="BB4" s="104" t="s">
        <v>46</v>
      </c>
      <c r="BE4" s="104" t="s">
        <v>480</v>
      </c>
      <c r="BL4" s="104" t="s">
        <v>652</v>
      </c>
      <c r="BN4" s="104" t="s">
        <v>651</v>
      </c>
      <c r="CA4" s="140" t="s">
        <v>650</v>
      </c>
      <c r="CB4" s="140">
        <v>1</v>
      </c>
      <c r="CD4" s="140" t="s">
        <v>649</v>
      </c>
      <c r="CE4" s="140" t="s">
        <v>648</v>
      </c>
      <c r="CF4" s="140" t="s">
        <v>647</v>
      </c>
      <c r="CG4" s="140" t="s">
        <v>646</v>
      </c>
      <c r="CH4" s="140" t="s">
        <v>645</v>
      </c>
      <c r="CL4" s="104" t="s">
        <v>644</v>
      </c>
      <c r="CM4" s="104">
        <v>0</v>
      </c>
      <c r="CO4" s="104" t="s">
        <v>672</v>
      </c>
      <c r="CP4">
        <v>1000</v>
      </c>
      <c r="CS4" s="104" t="s">
        <v>1352</v>
      </c>
      <c r="CU4" s="104" t="s">
        <v>1485</v>
      </c>
      <c r="CV4" s="104">
        <v>81</v>
      </c>
      <c r="CW4" s="104">
        <v>57</v>
      </c>
      <c r="CX4" s="104">
        <v>0.8</v>
      </c>
      <c r="CY4" s="104">
        <v>0</v>
      </c>
      <c r="CZ4" s="104">
        <v>0</v>
      </c>
      <c r="DE4" s="104">
        <v>0</v>
      </c>
      <c r="DF4" s="104">
        <v>1</v>
      </c>
      <c r="DG4" s="104">
        <f>IF(SI_IP_Units="IP",12179,46102)*0.2</f>
        <v>9220.4</v>
      </c>
      <c r="DH4" s="104">
        <f>IF(SI_IP_Units="IP",5637,21338)*0.2</f>
        <v>4267.6000000000004</v>
      </c>
      <c r="DJ4" s="104" t="s">
        <v>1479</v>
      </c>
      <c r="DK4" s="104">
        <v>0.2</v>
      </c>
      <c r="DL4" s="104">
        <v>0.7</v>
      </c>
      <c r="DO4" s="104" t="s">
        <v>1598</v>
      </c>
      <c r="DR4" s="104" t="str">
        <f ca="1"/>
        <v>All</v>
      </c>
    </row>
    <row r="5" spans="1:122" ht="12.75" customHeight="1" x14ac:dyDescent="0.3">
      <c r="A5" s="104">
        <v>4</v>
      </c>
      <c r="B5" s="104" t="s">
        <v>593</v>
      </c>
      <c r="C5" s="141">
        <v>1.2</v>
      </c>
      <c r="E5" s="104" t="s">
        <v>490</v>
      </c>
      <c r="F5" s="104" t="s">
        <v>490</v>
      </c>
      <c r="G5" s="104">
        <v>100</v>
      </c>
      <c r="H5" s="148"/>
      <c r="I5" s="148"/>
      <c r="J5" s="503">
        <f t="shared" si="0"/>
        <v>1</v>
      </c>
      <c r="K5" s="104" t="s">
        <v>642</v>
      </c>
      <c r="L5" s="104" t="s">
        <v>247</v>
      </c>
      <c r="M5" s="137">
        <v>1</v>
      </c>
      <c r="N5" s="137"/>
      <c r="S5" s="104" t="s">
        <v>641</v>
      </c>
      <c r="Y5" s="82" t="s">
        <v>1213</v>
      </c>
      <c r="Z5" s="104" t="s">
        <v>1085</v>
      </c>
      <c r="AD5" s="497"/>
      <c r="AE5" s="497"/>
      <c r="AH5" s="497"/>
      <c r="AI5" s="497"/>
      <c r="AJ5" s="498"/>
      <c r="AK5" s="497"/>
      <c r="AL5" s="143"/>
      <c r="AM5" s="143"/>
      <c r="AN5" s="104" t="s">
        <v>640</v>
      </c>
      <c r="AQ5" s="104" t="s">
        <v>501</v>
      </c>
      <c r="AX5" s="145" t="s">
        <v>47</v>
      </c>
      <c r="AY5" s="104" t="s">
        <v>639</v>
      </c>
      <c r="BB5" s="104" t="s">
        <v>47</v>
      </c>
      <c r="BE5" s="104" t="s">
        <v>479</v>
      </c>
      <c r="CA5" s="140" t="s">
        <v>638</v>
      </c>
      <c r="CB5" s="140">
        <v>1</v>
      </c>
      <c r="CD5" s="140" t="s">
        <v>630</v>
      </c>
      <c r="CE5" s="149">
        <v>40</v>
      </c>
      <c r="CF5" s="140">
        <f t="shared" ref="CF5:CF10" si="1">CE5+1</f>
        <v>41</v>
      </c>
      <c r="CG5" s="140">
        <f t="shared" ref="CG5:CG10" si="2">CE5+$CE$2-1</f>
        <v>44</v>
      </c>
      <c r="CH5" s="140">
        <f>CG5</f>
        <v>44</v>
      </c>
      <c r="CO5" s="104" t="s">
        <v>657</v>
      </c>
      <c r="CP5">
        <v>0.29308323563892147</v>
      </c>
      <c r="CS5" s="104" t="s">
        <v>1354</v>
      </c>
      <c r="CU5" s="104" t="s">
        <v>1486</v>
      </c>
      <c r="CV5" s="104">
        <v>604</v>
      </c>
      <c r="CW5" s="104">
        <v>604</v>
      </c>
      <c r="CX5" s="104">
        <v>0.4</v>
      </c>
      <c r="CY5" s="104">
        <v>0.3</v>
      </c>
      <c r="CZ5" s="104">
        <v>0</v>
      </c>
      <c r="DE5" s="104">
        <v>0</v>
      </c>
      <c r="DF5" s="104">
        <v>1</v>
      </c>
      <c r="DG5" s="104">
        <v>0</v>
      </c>
      <c r="DH5" s="104">
        <v>0</v>
      </c>
      <c r="DJ5" s="104" t="s">
        <v>1480</v>
      </c>
      <c r="DK5" s="104">
        <v>0.2</v>
      </c>
      <c r="DL5" s="104">
        <v>0.7</v>
      </c>
      <c r="DR5" s="104" t="e">
        <f ca="1"/>
        <v>#N/A</v>
      </c>
    </row>
    <row r="6" spans="1:122" ht="12.75" customHeight="1" x14ac:dyDescent="0.3">
      <c r="A6" s="104">
        <v>5</v>
      </c>
      <c r="B6" s="104" t="s">
        <v>599</v>
      </c>
      <c r="C6" s="141">
        <v>1.2</v>
      </c>
      <c r="E6" s="104" t="s">
        <v>489</v>
      </c>
      <c r="F6" s="104" t="s">
        <v>636</v>
      </c>
      <c r="G6" s="137">
        <v>1000</v>
      </c>
      <c r="H6" s="148"/>
      <c r="I6" s="148"/>
      <c r="J6" s="503">
        <f t="shared" si="0"/>
        <v>10</v>
      </c>
      <c r="K6" s="104" t="s">
        <v>635</v>
      </c>
      <c r="L6" s="104" t="s">
        <v>247</v>
      </c>
      <c r="M6" s="137">
        <v>1</v>
      </c>
      <c r="N6" s="137"/>
      <c r="S6" s="104" t="s">
        <v>634</v>
      </c>
      <c r="Y6" s="82" t="s">
        <v>1214</v>
      </c>
      <c r="Z6" s="104" t="s">
        <v>1086</v>
      </c>
      <c r="AD6" s="497"/>
      <c r="AE6" s="497"/>
      <c r="AH6" s="497"/>
      <c r="AI6" s="497"/>
      <c r="AJ6" s="498"/>
      <c r="AK6" s="497"/>
      <c r="AL6" s="143"/>
      <c r="AM6" s="143"/>
      <c r="AN6" s="104" t="s">
        <v>633</v>
      </c>
      <c r="AQ6" s="104" t="s">
        <v>500</v>
      </c>
      <c r="AX6" s="145" t="s">
        <v>48</v>
      </c>
      <c r="AY6" s="104" t="s">
        <v>632</v>
      </c>
      <c r="BB6" s="104" t="s">
        <v>48</v>
      </c>
      <c r="BE6" s="104" t="s">
        <v>477</v>
      </c>
      <c r="CA6" s="140" t="s">
        <v>631</v>
      </c>
      <c r="CB6" s="140"/>
      <c r="CD6" s="140" t="s">
        <v>630</v>
      </c>
      <c r="CE6" s="140">
        <f>CE5+CE2+22</f>
        <v>67</v>
      </c>
      <c r="CF6" s="140">
        <f t="shared" si="1"/>
        <v>68</v>
      </c>
      <c r="CG6" s="140">
        <f t="shared" si="2"/>
        <v>71</v>
      </c>
      <c r="CH6" s="140">
        <f>CH5-CF5+CF6</f>
        <v>71</v>
      </c>
      <c r="CO6" s="104" t="s">
        <v>490</v>
      </c>
      <c r="CP6">
        <v>29.308323563892145</v>
      </c>
      <c r="CU6" s="739" t="s">
        <v>1487</v>
      </c>
      <c r="CV6" s="739"/>
      <c r="CW6" s="739"/>
      <c r="CX6" s="739"/>
      <c r="CY6" s="739"/>
      <c r="CZ6" s="739">
        <v>0</v>
      </c>
      <c r="DA6" s="739">
        <f>IF(SI_IP_Units="IP",45,45/0.03412)</f>
        <v>1318.8745603751465</v>
      </c>
      <c r="DB6" s="739">
        <v>45</v>
      </c>
      <c r="DC6" s="739">
        <v>0.3</v>
      </c>
      <c r="DD6" s="739">
        <v>0.2</v>
      </c>
      <c r="DE6" s="739">
        <v>0</v>
      </c>
      <c r="DF6" s="739">
        <v>1</v>
      </c>
      <c r="DG6" s="739">
        <v>0</v>
      </c>
      <c r="DH6" s="739">
        <v>0</v>
      </c>
      <c r="DJ6" s="104" t="s">
        <v>1481</v>
      </c>
      <c r="DK6" s="104">
        <v>1.5</v>
      </c>
      <c r="DL6" s="104">
        <v>4.9000000000000004</v>
      </c>
      <c r="DR6" s="104" t="e">
        <f ca="1"/>
        <v>#N/A</v>
      </c>
    </row>
    <row r="7" spans="1:122" ht="12.75" customHeight="1" x14ac:dyDescent="0.3">
      <c r="A7" s="104">
        <v>6</v>
      </c>
      <c r="B7" s="104" t="s">
        <v>658</v>
      </c>
      <c r="C7" s="141">
        <v>1.01</v>
      </c>
      <c r="E7" s="104" t="s">
        <v>628</v>
      </c>
      <c r="F7" s="104" t="s">
        <v>627</v>
      </c>
      <c r="G7" s="104">
        <v>0.94799999999999995</v>
      </c>
      <c r="H7" s="148"/>
      <c r="I7" s="148"/>
      <c r="J7" s="503">
        <f t="shared" si="0"/>
        <v>9.4799999999999988E-3</v>
      </c>
      <c r="K7" s="104" t="s">
        <v>626</v>
      </c>
      <c r="L7" s="104" t="s">
        <v>619</v>
      </c>
      <c r="M7" s="137">
        <v>1000</v>
      </c>
      <c r="N7" s="137"/>
      <c r="S7" s="104" t="s">
        <v>625</v>
      </c>
      <c r="Y7" s="82" t="s">
        <v>1215</v>
      </c>
      <c r="Z7" s="104" t="s">
        <v>1087</v>
      </c>
      <c r="AD7" s="497"/>
      <c r="AE7" s="497"/>
      <c r="AF7" s="497"/>
      <c r="AG7" s="497"/>
      <c r="AH7" s="497"/>
      <c r="AI7" s="497"/>
      <c r="AJ7" s="498"/>
      <c r="AK7" s="497"/>
      <c r="AL7" s="143"/>
      <c r="AM7" s="143"/>
      <c r="AN7" s="104" t="s">
        <v>624</v>
      </c>
      <c r="AQ7" s="104" t="s">
        <v>499</v>
      </c>
      <c r="AX7" s="145" t="s">
        <v>49</v>
      </c>
      <c r="AY7" s="104" t="s">
        <v>623</v>
      </c>
      <c r="BB7" s="104" t="s">
        <v>49</v>
      </c>
      <c r="BE7" s="104" t="s">
        <v>476</v>
      </c>
      <c r="CD7" s="140" t="s">
        <v>606</v>
      </c>
      <c r="CE7" s="140">
        <v>31</v>
      </c>
      <c r="CF7" s="140">
        <f t="shared" si="1"/>
        <v>32</v>
      </c>
      <c r="CG7" s="140">
        <f t="shared" si="2"/>
        <v>35</v>
      </c>
      <c r="CH7" s="140">
        <f>CH6-CF6+CF7</f>
        <v>35</v>
      </c>
      <c r="CO7" s="104" t="s">
        <v>489</v>
      </c>
      <c r="CP7">
        <v>293.08323563892145</v>
      </c>
      <c r="CU7" s="739" t="s">
        <v>1488</v>
      </c>
      <c r="CV7" s="906" t="s">
        <v>1513</v>
      </c>
      <c r="CW7" s="906" t="s">
        <v>1513</v>
      </c>
      <c r="CX7" s="739">
        <v>0.15</v>
      </c>
      <c r="CY7" s="739">
        <v>0.05</v>
      </c>
      <c r="CZ7" s="739">
        <v>139</v>
      </c>
      <c r="DA7" s="739"/>
      <c r="DB7" s="739"/>
      <c r="DC7" s="739"/>
      <c r="DD7" s="739"/>
      <c r="DE7" s="739">
        <v>0</v>
      </c>
      <c r="DF7" s="739">
        <v>1</v>
      </c>
      <c r="DG7" s="739">
        <v>0</v>
      </c>
      <c r="DH7" s="739">
        <v>0</v>
      </c>
      <c r="DJ7" s="104" t="s">
        <v>354</v>
      </c>
      <c r="DK7" s="104">
        <v>0.5</v>
      </c>
      <c r="DL7" s="104">
        <v>1.6</v>
      </c>
      <c r="DR7" s="104" t="e">
        <f ca="1"/>
        <v>#N/A</v>
      </c>
    </row>
    <row r="8" spans="1:122" ht="12.75" customHeight="1" x14ac:dyDescent="0.3">
      <c r="A8" s="104">
        <v>7</v>
      </c>
      <c r="B8" s="104" t="s">
        <v>643</v>
      </c>
      <c r="C8" s="141">
        <v>1.01</v>
      </c>
      <c r="D8" s="104" t="s">
        <v>25</v>
      </c>
      <c r="E8" s="104" t="s">
        <v>621</v>
      </c>
      <c r="F8" s="104" t="s">
        <v>621</v>
      </c>
      <c r="G8" s="104">
        <v>12</v>
      </c>
      <c r="H8" s="148"/>
      <c r="I8" s="148"/>
      <c r="J8" s="503">
        <f t="shared" si="0"/>
        <v>0.12</v>
      </c>
      <c r="K8" s="104" t="s">
        <v>620</v>
      </c>
      <c r="L8" s="104" t="s">
        <v>619</v>
      </c>
      <c r="M8" s="137">
        <v>1000</v>
      </c>
      <c r="N8" s="137"/>
      <c r="S8" s="104" t="s">
        <v>618</v>
      </c>
      <c r="Y8" s="82" t="s">
        <v>1216</v>
      </c>
      <c r="Z8" s="104" t="s">
        <v>1088</v>
      </c>
      <c r="AD8" s="497"/>
      <c r="AE8" s="497"/>
      <c r="AF8" s="497"/>
      <c r="AG8" s="497"/>
      <c r="AH8" s="497"/>
      <c r="AI8" s="497"/>
      <c r="AJ8" s="498"/>
      <c r="AK8" s="497"/>
      <c r="AL8" s="143"/>
      <c r="AM8" s="143"/>
      <c r="AN8" s="104" t="s">
        <v>617</v>
      </c>
      <c r="AQ8" s="104" t="s">
        <v>354</v>
      </c>
      <c r="AX8" s="145" t="s">
        <v>50</v>
      </c>
      <c r="AY8" s="104" t="s">
        <v>616</v>
      </c>
      <c r="BB8" s="104" t="s">
        <v>50</v>
      </c>
      <c r="BE8" s="104" t="s">
        <v>475</v>
      </c>
      <c r="CD8" s="140" t="s">
        <v>606</v>
      </c>
      <c r="CE8" s="140">
        <f>CE7+CE2+58</f>
        <v>94</v>
      </c>
      <c r="CF8" s="140">
        <f t="shared" si="1"/>
        <v>95</v>
      </c>
      <c r="CG8" s="140">
        <f t="shared" si="2"/>
        <v>98</v>
      </c>
      <c r="CH8" s="140">
        <f>CH7-CF7+CF8</f>
        <v>98</v>
      </c>
      <c r="CO8" s="104" t="s">
        <v>628</v>
      </c>
      <c r="CP8">
        <v>0.2778429073856975</v>
      </c>
      <c r="CU8" s="739" t="s">
        <v>1490</v>
      </c>
      <c r="CV8" s="739">
        <v>26.5</v>
      </c>
      <c r="CW8" s="739">
        <v>26.5</v>
      </c>
      <c r="CX8" s="739">
        <v>1</v>
      </c>
      <c r="CY8" s="739">
        <v>0</v>
      </c>
      <c r="CZ8" s="739">
        <v>8.8000000000000007</v>
      </c>
      <c r="DA8" s="739"/>
      <c r="DB8" s="739"/>
      <c r="DC8" s="739">
        <v>0.1</v>
      </c>
      <c r="DD8" s="739">
        <v>0.05</v>
      </c>
      <c r="DE8" s="739">
        <v>12.7</v>
      </c>
      <c r="DF8" s="739">
        <v>1</v>
      </c>
      <c r="DG8" s="739">
        <v>0</v>
      </c>
      <c r="DH8" s="739">
        <v>0</v>
      </c>
      <c r="DR8" s="104" t="e">
        <f ca="1"/>
        <v>#N/A</v>
      </c>
    </row>
    <row r="9" spans="1:122" ht="12.75" customHeight="1" x14ac:dyDescent="0.3">
      <c r="A9" s="104">
        <v>8</v>
      </c>
      <c r="B9" s="104" t="s">
        <v>637</v>
      </c>
      <c r="C9" s="141">
        <v>1.01</v>
      </c>
      <c r="K9" s="104" t="s">
        <v>614</v>
      </c>
      <c r="L9" s="104" t="s">
        <v>614</v>
      </c>
      <c r="M9" s="137">
        <v>12</v>
      </c>
      <c r="S9" s="104" t="s">
        <v>613</v>
      </c>
      <c r="Y9" s="82" t="s">
        <v>1217</v>
      </c>
      <c r="Z9" s="104" t="s">
        <v>1089</v>
      </c>
      <c r="AD9" s="497"/>
      <c r="AE9" s="497"/>
      <c r="AF9" s="497"/>
      <c r="AG9" s="497"/>
      <c r="AH9" s="497"/>
      <c r="AI9" s="497"/>
      <c r="AJ9" s="498"/>
      <c r="AK9" s="497"/>
      <c r="AL9" s="143"/>
      <c r="AM9" s="143"/>
      <c r="AN9" s="104" t="s">
        <v>612</v>
      </c>
      <c r="AX9" s="145" t="s">
        <v>51</v>
      </c>
      <c r="AY9" s="104" t="s">
        <v>611</v>
      </c>
      <c r="BB9" s="104" t="s">
        <v>51</v>
      </c>
      <c r="BE9" s="104" t="s">
        <v>474</v>
      </c>
      <c r="CD9" s="140" t="s">
        <v>606</v>
      </c>
      <c r="CE9" s="140">
        <f>65+CE7+2*CE2</f>
        <v>106</v>
      </c>
      <c r="CF9" s="140">
        <f t="shared" si="1"/>
        <v>107</v>
      </c>
      <c r="CG9" s="140">
        <f t="shared" si="2"/>
        <v>110</v>
      </c>
      <c r="CH9" s="140">
        <f>CH8-CF8+CF9</f>
        <v>110</v>
      </c>
      <c r="CO9" s="104" t="s">
        <v>621</v>
      </c>
      <c r="CP9">
        <v>3.5169988276670576</v>
      </c>
      <c r="CU9" s="739" t="str">
        <f>CONCATENATE("Range hoood, ",IF(SI_IP_Units="IP","up to 500 cfm","up to 236 L/s"))</f>
        <v>Range hoood, up to 236 L/s</v>
      </c>
      <c r="CV9" s="905">
        <f>1/IF(SI_IP_Units="IP",2.3,1.085)/1000*2*365</f>
        <v>0.67281105990783407</v>
      </c>
      <c r="CW9" s="905">
        <f>1/IF(SI_IP_Units="IP",2.8,1.321)/1000*2*365</f>
        <v>0.55261165783497346</v>
      </c>
      <c r="CX9" s="739">
        <v>0</v>
      </c>
      <c r="CY9" s="739">
        <v>0</v>
      </c>
      <c r="CZ9" s="739">
        <v>0</v>
      </c>
      <c r="DA9" s="739"/>
      <c r="DB9" s="739"/>
      <c r="DC9" s="739"/>
      <c r="DD9" s="739"/>
      <c r="DE9" s="739">
        <v>0</v>
      </c>
      <c r="DF9" s="739">
        <v>1</v>
      </c>
      <c r="DG9" s="739"/>
      <c r="DH9" s="739"/>
      <c r="DR9" s="104" t="e">
        <f ca="1"/>
        <v>#N/A</v>
      </c>
    </row>
    <row r="10" spans="1:122" ht="12.75" customHeight="1" x14ac:dyDescent="0.3">
      <c r="A10" s="104">
        <v>9</v>
      </c>
      <c r="B10" s="104" t="s">
        <v>629</v>
      </c>
      <c r="C10" s="141">
        <v>1.01</v>
      </c>
      <c r="D10" s="104" t="s">
        <v>25</v>
      </c>
      <c r="S10" s="104" t="s">
        <v>609</v>
      </c>
      <c r="Y10" s="82" t="s">
        <v>1218</v>
      </c>
      <c r="Z10" s="104" t="s">
        <v>1188</v>
      </c>
      <c r="AD10" s="497"/>
      <c r="AE10" s="497"/>
      <c r="AF10" s="497"/>
      <c r="AG10" s="497"/>
      <c r="AH10" s="497"/>
      <c r="AI10" s="497"/>
      <c r="AK10" s="497"/>
      <c r="AL10" s="143"/>
      <c r="AM10" s="143"/>
      <c r="AN10" s="104" t="s">
        <v>608</v>
      </c>
      <c r="AX10" s="145" t="s">
        <v>52</v>
      </c>
      <c r="AY10" s="104" t="s">
        <v>607</v>
      </c>
      <c r="BB10" s="104" t="s">
        <v>52</v>
      </c>
      <c r="BE10" s="104" t="s">
        <v>473</v>
      </c>
      <c r="CD10" s="140" t="s">
        <v>606</v>
      </c>
      <c r="CE10" s="140">
        <f>123+CE7+3*CE2</f>
        <v>169</v>
      </c>
      <c r="CF10" s="140">
        <f t="shared" si="1"/>
        <v>170</v>
      </c>
      <c r="CG10" s="140">
        <f t="shared" si="2"/>
        <v>173</v>
      </c>
      <c r="CH10" s="140">
        <f>CH9-CF9+CF10</f>
        <v>173</v>
      </c>
      <c r="CO10" s="142" t="s">
        <v>698</v>
      </c>
      <c r="CP10" s="104" t="s">
        <v>1187</v>
      </c>
      <c r="CU10" s="739" t="str">
        <f>CONCATENATE("Bath / Utility Fan, ",IF(SI_IP_Units="IP","10 to 89 cfm","5 to 42 L/s"))</f>
        <v>Bath / Utility Fan, 5 to 42 L/s</v>
      </c>
      <c r="CV10" s="905">
        <f>1/IF(SI_IP_Units="IP",1.2,0.566)/1000*2*365</f>
        <v>1.2897526501766785</v>
      </c>
      <c r="CW10" s="905">
        <f>1/IF(SI_IP_Units="IP",1.4,0.661)/1000*2*365</f>
        <v>1.1043872919818456</v>
      </c>
      <c r="CX10" s="739">
        <v>0</v>
      </c>
      <c r="CY10" s="739">
        <v>0</v>
      </c>
      <c r="CZ10" s="739">
        <v>0</v>
      </c>
      <c r="DA10" s="739"/>
      <c r="DB10" s="739"/>
      <c r="DC10" s="739"/>
      <c r="DD10" s="739"/>
      <c r="DE10" s="739">
        <v>0</v>
      </c>
      <c r="DF10" s="739">
        <v>1</v>
      </c>
      <c r="DG10" s="739"/>
      <c r="DH10" s="739"/>
      <c r="DR10" s="104" t="e">
        <f ca="1"/>
        <v>#N/A</v>
      </c>
    </row>
    <row r="11" spans="1:122" ht="12.75" customHeight="1" x14ac:dyDescent="0.3">
      <c r="A11" s="104">
        <v>10</v>
      </c>
      <c r="B11" s="104" t="s">
        <v>622</v>
      </c>
      <c r="C11" s="141">
        <v>1</v>
      </c>
      <c r="D11" s="104" t="s">
        <v>25</v>
      </c>
      <c r="E11" s="104" t="s">
        <v>604</v>
      </c>
      <c r="F11" s="104" t="s">
        <v>603</v>
      </c>
      <c r="G11" s="104">
        <v>1.0289999999999999</v>
      </c>
      <c r="S11" s="104" t="s">
        <v>602</v>
      </c>
      <c r="Y11" s="82" t="s">
        <v>1219</v>
      </c>
      <c r="Z11" s="104" t="s">
        <v>1188</v>
      </c>
      <c r="AD11" s="497"/>
      <c r="AE11" s="497"/>
      <c r="AF11" s="497"/>
      <c r="AG11" s="497"/>
      <c r="AH11" s="497"/>
      <c r="AI11" s="497"/>
      <c r="AJ11" s="498"/>
      <c r="AK11" s="497"/>
      <c r="AL11" s="143"/>
      <c r="AM11" s="143"/>
      <c r="AN11" s="104" t="s">
        <v>601</v>
      </c>
      <c r="AX11" s="145" t="s">
        <v>53</v>
      </c>
      <c r="AY11" s="104" t="s">
        <v>600</v>
      </c>
      <c r="BB11" s="104" t="s">
        <v>53</v>
      </c>
      <c r="BE11" s="104" t="s">
        <v>472</v>
      </c>
      <c r="BF11" s="104" t="s">
        <v>465</v>
      </c>
      <c r="CO11" s="104" t="s">
        <v>243</v>
      </c>
      <c r="CP11">
        <v>1</v>
      </c>
      <c r="CU11" s="739" t="str">
        <f>CONCATENATE("Bath / Utility Fan, ",IF(SI_IP_Units="IP","90 to 500 cfm","43 to 236 L/s"))</f>
        <v>Bath / Utility Fan, 43 to 236 L/s</v>
      </c>
      <c r="CV11" s="905">
        <f>1/IF(SI_IP_Units="IP",2.3,1.085)/1000*2*365</f>
        <v>0.67281105990783407</v>
      </c>
      <c r="CW11" s="905">
        <f>1/IF(SI_IP_Units="IP",2.8,1.321)/1000*2*365</f>
        <v>0.55261165783497346</v>
      </c>
      <c r="CX11" s="739">
        <v>0</v>
      </c>
      <c r="CY11" s="739">
        <v>0</v>
      </c>
      <c r="CZ11" s="739">
        <v>0</v>
      </c>
      <c r="DA11" s="739"/>
      <c r="DB11" s="739"/>
      <c r="DC11" s="739"/>
      <c r="DD11" s="739"/>
      <c r="DE11" s="739">
        <v>0</v>
      </c>
      <c r="DF11" s="739">
        <v>1</v>
      </c>
      <c r="DG11" s="739"/>
      <c r="DH11" s="739"/>
      <c r="DR11" s="104" t="e">
        <f ca="1"/>
        <v>#N/A</v>
      </c>
    </row>
    <row r="12" spans="1:122" ht="12.75" customHeight="1" x14ac:dyDescent="0.3">
      <c r="A12" s="104">
        <v>11</v>
      </c>
      <c r="B12" s="104" t="s">
        <v>615</v>
      </c>
      <c r="C12" s="141">
        <v>1</v>
      </c>
      <c r="D12" s="104" t="s">
        <v>25</v>
      </c>
      <c r="E12" s="104" t="s">
        <v>598</v>
      </c>
      <c r="F12" s="104" t="s">
        <v>597</v>
      </c>
      <c r="G12" s="104">
        <v>102.9</v>
      </c>
      <c r="S12" s="104" t="s">
        <v>596</v>
      </c>
      <c r="Y12" s="82" t="s">
        <v>1220</v>
      </c>
      <c r="Z12" s="104" t="s">
        <v>1188</v>
      </c>
      <c r="AD12" s="497"/>
      <c r="AE12" s="497"/>
      <c r="AF12" s="497"/>
      <c r="AG12" s="497"/>
      <c r="AH12" s="497"/>
      <c r="AI12" s="497"/>
      <c r="AK12" s="497"/>
      <c r="AL12" s="143"/>
      <c r="AM12" s="143"/>
      <c r="AN12" s="104" t="s">
        <v>595</v>
      </c>
      <c r="AX12" s="145" t="s">
        <v>54</v>
      </c>
      <c r="AY12" s="104" t="s">
        <v>594</v>
      </c>
      <c r="BB12" s="104" t="s">
        <v>54</v>
      </c>
      <c r="BE12" s="104" t="s">
        <v>471</v>
      </c>
      <c r="BF12" s="104" t="s">
        <v>465</v>
      </c>
      <c r="CO12" s="104" t="s">
        <v>670</v>
      </c>
      <c r="CP12">
        <v>1000</v>
      </c>
      <c r="CU12" s="739"/>
      <c r="CV12" s="739"/>
      <c r="CW12" s="739"/>
      <c r="CX12" s="739"/>
      <c r="CY12" s="739"/>
      <c r="CZ12" s="739"/>
      <c r="DA12" s="739"/>
      <c r="DB12" s="739"/>
      <c r="DC12" s="739"/>
      <c r="DD12" s="739"/>
      <c r="DE12" s="739"/>
      <c r="DF12" s="739"/>
      <c r="DG12" s="739"/>
      <c r="DH12" s="739"/>
      <c r="DR12" s="104" t="e">
        <f ca="1"/>
        <v>#N/A</v>
      </c>
    </row>
    <row r="13" spans="1:122" ht="12.75" customHeight="1" x14ac:dyDescent="0.3">
      <c r="A13" s="104">
        <v>12</v>
      </c>
      <c r="B13" s="104" t="s">
        <v>610</v>
      </c>
      <c r="C13" s="141">
        <v>1</v>
      </c>
      <c r="D13" s="104" t="s">
        <v>25</v>
      </c>
      <c r="E13" s="104" t="s">
        <v>592</v>
      </c>
      <c r="F13" s="104" t="s">
        <v>591</v>
      </c>
      <c r="G13" s="137">
        <v>1029</v>
      </c>
      <c r="S13" s="104" t="s">
        <v>590</v>
      </c>
      <c r="Y13" s="739" t="s">
        <v>1349</v>
      </c>
      <c r="Z13" s="739" t="s">
        <v>1340</v>
      </c>
      <c r="AD13" s="497"/>
      <c r="AE13" s="497"/>
      <c r="AF13" s="497"/>
      <c r="AG13" s="497"/>
      <c r="AH13" s="497"/>
      <c r="AI13" s="497"/>
      <c r="AJ13" s="498"/>
      <c r="AK13" s="497"/>
      <c r="AL13" s="143"/>
      <c r="AM13" s="143"/>
      <c r="AN13" s="104" t="s">
        <v>589</v>
      </c>
      <c r="AX13" s="145" t="s">
        <v>55</v>
      </c>
      <c r="AY13" s="104" t="s">
        <v>588</v>
      </c>
      <c r="BB13" s="104" t="s">
        <v>55</v>
      </c>
      <c r="BE13" s="104" t="s">
        <v>470</v>
      </c>
      <c r="BF13" s="104" t="s">
        <v>465</v>
      </c>
      <c r="CO13" s="104" t="s">
        <v>245</v>
      </c>
      <c r="CP13">
        <v>2.9308323563892149E-4</v>
      </c>
      <c r="CU13" s="739"/>
      <c r="CV13" s="739"/>
      <c r="CW13" s="739"/>
      <c r="CX13" s="739"/>
      <c r="CY13" s="739"/>
      <c r="CZ13" s="739"/>
      <c r="DA13" s="739"/>
      <c r="DB13" s="739"/>
      <c r="DC13" s="739"/>
      <c r="DD13" s="739"/>
      <c r="DE13" s="739"/>
      <c r="DF13" s="739"/>
      <c r="DG13" s="739"/>
      <c r="DH13" s="739"/>
      <c r="DR13" s="104" t="e">
        <f ca="1"/>
        <v>#N/A</v>
      </c>
    </row>
    <row r="14" spans="1:122" ht="12.75" customHeight="1" x14ac:dyDescent="0.3">
      <c r="A14" s="104">
        <v>13</v>
      </c>
      <c r="B14" s="104" t="s">
        <v>605</v>
      </c>
      <c r="C14" s="141">
        <v>1</v>
      </c>
      <c r="D14" s="104" t="s">
        <v>25</v>
      </c>
      <c r="E14" s="104" t="s">
        <v>587</v>
      </c>
      <c r="F14" s="104" t="s">
        <v>586</v>
      </c>
      <c r="G14" s="137">
        <v>1029000</v>
      </c>
      <c r="S14" s="104" t="s">
        <v>585</v>
      </c>
      <c r="Y14" s="104" t="s">
        <v>1688</v>
      </c>
      <c r="Z14" s="104" t="s">
        <v>1690</v>
      </c>
      <c r="AD14" s="497"/>
      <c r="AE14" s="497"/>
      <c r="AF14" s="497"/>
      <c r="AG14" s="497"/>
      <c r="AH14" s="497"/>
      <c r="AI14" s="497"/>
      <c r="AK14" s="497"/>
      <c r="AL14" s="143"/>
      <c r="AM14" s="143"/>
      <c r="AN14" s="104" t="s">
        <v>584</v>
      </c>
      <c r="AX14" s="145" t="s">
        <v>56</v>
      </c>
      <c r="AY14" s="104" t="s">
        <v>583</v>
      </c>
      <c r="BB14" s="104" t="s">
        <v>56</v>
      </c>
      <c r="BE14" s="104" t="s">
        <v>427</v>
      </c>
      <c r="BF14" s="104" t="s">
        <v>465</v>
      </c>
      <c r="CO14" s="104" t="s">
        <v>642</v>
      </c>
      <c r="CP14">
        <v>0.29308323563892147</v>
      </c>
      <c r="CU14" s="739"/>
      <c r="CV14" s="739"/>
      <c r="CW14" s="739"/>
      <c r="CX14" s="739"/>
      <c r="CY14" s="739"/>
      <c r="CZ14" s="739"/>
      <c r="DA14" s="739"/>
      <c r="DB14" s="739"/>
      <c r="DC14" s="739"/>
      <c r="DD14" s="739"/>
      <c r="DE14" s="739"/>
      <c r="DF14" s="739"/>
      <c r="DG14" s="739"/>
      <c r="DH14" s="739"/>
      <c r="DR14" s="104" t="e">
        <f ca="1"/>
        <v>#N/A</v>
      </c>
    </row>
    <row r="15" spans="1:122" ht="12.75" customHeight="1" x14ac:dyDescent="0.3">
      <c r="C15" s="141"/>
      <c r="E15" s="104" t="s">
        <v>582</v>
      </c>
      <c r="F15" s="104" t="s">
        <v>581</v>
      </c>
      <c r="G15" s="104">
        <v>1.194</v>
      </c>
      <c r="AD15" s="497"/>
      <c r="AE15" s="497"/>
      <c r="AF15" s="497"/>
      <c r="AG15" s="497"/>
      <c r="AH15" s="497"/>
      <c r="AI15" s="497"/>
      <c r="AJ15" s="498"/>
      <c r="AK15" s="497"/>
      <c r="AL15" s="143"/>
      <c r="AM15" s="143"/>
      <c r="AX15" s="145" t="s">
        <v>57</v>
      </c>
      <c r="AY15" s="104" t="s">
        <v>580</v>
      </c>
      <c r="BB15" s="104" t="s">
        <v>57</v>
      </c>
      <c r="BE15" s="104" t="s">
        <v>468</v>
      </c>
      <c r="BF15" s="104" t="s">
        <v>465</v>
      </c>
      <c r="CO15" s="104" t="s">
        <v>635</v>
      </c>
      <c r="CP15">
        <v>0.29308323563892147</v>
      </c>
      <c r="CU15" s="739"/>
      <c r="CV15" s="739"/>
      <c r="CW15" s="739"/>
      <c r="CX15" s="739"/>
      <c r="CY15" s="739"/>
      <c r="CZ15" s="739"/>
      <c r="DA15" s="739"/>
      <c r="DB15" s="739"/>
      <c r="DC15" s="739"/>
      <c r="DD15" s="739"/>
      <c r="DE15" s="739"/>
      <c r="DF15" s="739"/>
      <c r="DG15" s="739"/>
      <c r="DH15" s="739"/>
      <c r="DR15" s="104" t="e">
        <f ca="1"/>
        <v>#N/A</v>
      </c>
    </row>
    <row r="16" spans="1:122" ht="12.75" customHeight="1" x14ac:dyDescent="0.3">
      <c r="C16" s="141"/>
      <c r="E16" s="104" t="s">
        <v>579</v>
      </c>
      <c r="F16" s="104" t="s">
        <v>578</v>
      </c>
      <c r="G16" s="137">
        <v>1194</v>
      </c>
      <c r="AD16" s="497"/>
      <c r="AE16" s="497"/>
      <c r="AF16" s="497"/>
      <c r="AG16" s="497"/>
      <c r="AH16" s="497"/>
      <c r="AI16" s="497"/>
      <c r="AK16" s="497"/>
      <c r="AL16" s="143"/>
      <c r="AM16" s="143"/>
      <c r="AX16" s="145" t="s">
        <v>58</v>
      </c>
      <c r="AY16" s="104" t="s">
        <v>577</v>
      </c>
      <c r="BB16" s="104" t="s">
        <v>58</v>
      </c>
      <c r="BE16" s="104" t="s">
        <v>469</v>
      </c>
      <c r="BF16" s="104" t="s">
        <v>465</v>
      </c>
      <c r="CO16" s="104" t="s">
        <v>626</v>
      </c>
      <c r="CP16">
        <v>293.08323563892145</v>
      </c>
      <c r="CU16" s="904" t="s">
        <v>1471</v>
      </c>
      <c r="CV16" s="904" t="str">
        <f>CONCATENATE("Base ",IF(SI_IP_Units="IP","(kWh/year)","kWh/year"))</f>
        <v>Base kWh/year</v>
      </c>
      <c r="CW16" s="904" t="str">
        <f>CONCATENATE("Energy Star ",IF(SI_IP_Units="IP","(kWh/year)","kWh/year"))</f>
        <v>Energy Star kWh/year</v>
      </c>
      <c r="CX16" s="904" t="s">
        <v>1494</v>
      </c>
      <c r="CY16" s="904" t="s">
        <v>1495</v>
      </c>
      <c r="CZ16" s="904" t="s">
        <v>1509</v>
      </c>
      <c r="DA16" s="904" t="str">
        <f>CONCATENATE("Base ",IF(SI_IP_Units="IP","(Therms/year)","kWh/year"))</f>
        <v>Base kWh/year</v>
      </c>
      <c r="DB16" s="904" t="str">
        <f>CONCATENATE("Energy Star ",IF(SI_IP_Units="IP","(Therms/year)","kWh/year"))</f>
        <v>Energy Star kWh/year</v>
      </c>
      <c r="DC16" s="904" t="s">
        <v>1492</v>
      </c>
      <c r="DD16" s="904" t="s">
        <v>1493</v>
      </c>
      <c r="DE16" s="904" t="s">
        <v>1510</v>
      </c>
      <c r="DF16" s="904" t="s">
        <v>921</v>
      </c>
      <c r="DG16" s="904" t="s">
        <v>1511</v>
      </c>
      <c r="DH16" s="904" t="s">
        <v>1512</v>
      </c>
      <c r="DR16" s="104" t="e">
        <f ca="1"/>
        <v>#N/A</v>
      </c>
    </row>
    <row r="17" spans="5:122" ht="12.75" customHeight="1" x14ac:dyDescent="0.3">
      <c r="E17" s="104" t="s">
        <v>576</v>
      </c>
      <c r="F17" s="104" t="s">
        <v>575</v>
      </c>
      <c r="G17" s="137">
        <v>1194000</v>
      </c>
      <c r="AD17" s="497"/>
      <c r="AE17" s="497"/>
      <c r="AF17" s="497"/>
      <c r="AG17" s="497"/>
      <c r="AH17" s="497"/>
      <c r="AI17" s="497"/>
      <c r="AJ17" s="498"/>
      <c r="AK17" s="497"/>
      <c r="AL17" s="143"/>
      <c r="AM17" s="143"/>
      <c r="AX17" s="145" t="s">
        <v>258</v>
      </c>
      <c r="AY17" s="104" t="s">
        <v>574</v>
      </c>
      <c r="BB17" s="104" t="s">
        <v>258</v>
      </c>
      <c r="BE17" s="104" t="s">
        <v>467</v>
      </c>
      <c r="BF17" s="104" t="s">
        <v>465</v>
      </c>
      <c r="CO17" s="104" t="s">
        <v>620</v>
      </c>
      <c r="CP17">
        <v>293.08323563892145</v>
      </c>
      <c r="CU17" s="739" t="s">
        <v>1484</v>
      </c>
      <c r="CV17" s="739">
        <v>196</v>
      </c>
      <c r="CW17" s="739">
        <v>138</v>
      </c>
      <c r="CX17" s="739">
        <v>0.8</v>
      </c>
      <c r="CY17" s="739">
        <v>0</v>
      </c>
      <c r="CZ17" s="739">
        <v>0</v>
      </c>
      <c r="DA17" s="739"/>
      <c r="DB17" s="739"/>
      <c r="DC17" s="739"/>
      <c r="DD17" s="739"/>
      <c r="DE17" s="739">
        <v>0</v>
      </c>
      <c r="DF17" s="739">
        <v>1</v>
      </c>
      <c r="DG17" s="739">
        <f>IF(SI_IP_Units="IP",29515,111726)*0.2</f>
        <v>22345.200000000001</v>
      </c>
      <c r="DH17" s="739">
        <f>IF(SI_IP_Units="IP",13661,51712)*0.2</f>
        <v>10342.400000000001</v>
      </c>
      <c r="DR17" s="104" t="e">
        <f ca="1"/>
        <v>#N/A</v>
      </c>
    </row>
    <row r="18" spans="5:122" ht="12.75" customHeight="1" x14ac:dyDescent="0.3">
      <c r="E18" s="104" t="s">
        <v>573</v>
      </c>
      <c r="G18" s="147">
        <v>36.06</v>
      </c>
      <c r="AD18" s="497"/>
      <c r="AE18" s="497"/>
      <c r="AF18" s="497"/>
      <c r="AG18" s="497"/>
      <c r="AH18" s="497"/>
      <c r="AI18" s="497"/>
      <c r="AJ18" s="498"/>
      <c r="AK18" s="497"/>
      <c r="AL18" s="143"/>
      <c r="AM18" s="143"/>
      <c r="AX18" s="145" t="s">
        <v>259</v>
      </c>
      <c r="AY18" s="104" t="str">
        <f>""</f>
        <v/>
      </c>
      <c r="BB18" s="104" t="s">
        <v>259</v>
      </c>
      <c r="BE18" s="104" t="s">
        <v>466</v>
      </c>
      <c r="BF18" s="104" t="s">
        <v>465</v>
      </c>
      <c r="CO18" s="104" t="s">
        <v>614</v>
      </c>
      <c r="CP18">
        <v>3.5169988276670576</v>
      </c>
      <c r="CU18" s="739" t="s">
        <v>1489</v>
      </c>
      <c r="CV18" s="739">
        <v>418</v>
      </c>
      <c r="CW18" s="739">
        <v>418</v>
      </c>
      <c r="CX18" s="739">
        <v>0.15</v>
      </c>
      <c r="CY18" s="739">
        <v>0.05</v>
      </c>
      <c r="CZ18" s="739">
        <v>139</v>
      </c>
      <c r="DA18" s="739"/>
      <c r="DB18" s="739"/>
      <c r="DC18" s="739"/>
      <c r="DD18" s="739"/>
      <c r="DE18" s="739">
        <v>0</v>
      </c>
      <c r="DF18" s="739">
        <v>2.423</v>
      </c>
      <c r="DG18" s="739">
        <v>0</v>
      </c>
      <c r="DH18" s="739">
        <v>0</v>
      </c>
      <c r="DR18" s="104" t="e">
        <f ca="1"/>
        <v>#N/A</v>
      </c>
    </row>
    <row r="19" spans="5:122" ht="12.75" customHeight="1" x14ac:dyDescent="0.3">
      <c r="E19" s="104" t="s">
        <v>572</v>
      </c>
      <c r="G19" s="146">
        <v>138.69049999999999</v>
      </c>
      <c r="AD19" s="497"/>
      <c r="AE19" s="497"/>
      <c r="AF19" s="497"/>
      <c r="AG19" s="497"/>
      <c r="AH19" s="497"/>
      <c r="AI19" s="497"/>
      <c r="AJ19" s="498"/>
      <c r="AK19" s="497"/>
      <c r="AL19" s="143"/>
      <c r="AM19" s="143"/>
      <c r="AX19" s="145">
        <v>8</v>
      </c>
      <c r="AY19" s="104" t="str">
        <f>""</f>
        <v/>
      </c>
      <c r="BB19" s="104">
        <v>8</v>
      </c>
      <c r="BE19" s="104" t="s">
        <v>571</v>
      </c>
      <c r="CU19" s="739" t="s">
        <v>1491</v>
      </c>
      <c r="CV19" s="739">
        <v>26.5</v>
      </c>
      <c r="CW19" s="739">
        <v>26.5</v>
      </c>
      <c r="CX19" s="739">
        <v>1</v>
      </c>
      <c r="CY19" s="739">
        <v>0</v>
      </c>
      <c r="CZ19" s="739">
        <v>8.8000000000000007</v>
      </c>
      <c r="DA19" s="739"/>
      <c r="DB19" s="739"/>
      <c r="DC19" s="739">
        <v>0.1</v>
      </c>
      <c r="DD19" s="739">
        <v>0.05</v>
      </c>
      <c r="DE19" s="739">
        <v>12.7</v>
      </c>
      <c r="DF19" s="739">
        <v>2.423</v>
      </c>
      <c r="DG19" s="739">
        <v>0</v>
      </c>
      <c r="DH19" s="739">
        <v>0</v>
      </c>
      <c r="DR19" s="104" t="e">
        <f ca="1"/>
        <v>#N/A</v>
      </c>
    </row>
    <row r="20" spans="5:122" ht="12.75" customHeight="1" x14ac:dyDescent="0.3">
      <c r="E20" s="104" t="s">
        <v>570</v>
      </c>
      <c r="G20" s="104">
        <v>38.92</v>
      </c>
      <c r="AD20" s="497"/>
      <c r="AE20" s="497"/>
      <c r="AF20" s="497"/>
      <c r="AG20" s="497"/>
      <c r="AH20" s="497"/>
      <c r="AI20" s="497"/>
      <c r="AJ20" s="498"/>
      <c r="AK20" s="497"/>
      <c r="AL20" s="143"/>
      <c r="AM20" s="143"/>
      <c r="BE20" s="104" t="s">
        <v>569</v>
      </c>
      <c r="CU20" s="739"/>
      <c r="CV20" s="739"/>
      <c r="CW20" s="739"/>
      <c r="CX20" s="739"/>
      <c r="CY20" s="739"/>
      <c r="CZ20" s="739"/>
      <c r="DA20" s="739"/>
      <c r="DB20" s="739"/>
      <c r="DC20" s="739"/>
      <c r="DD20" s="739"/>
      <c r="DE20" s="739"/>
      <c r="DF20" s="739"/>
      <c r="DG20" s="739"/>
      <c r="DH20" s="739"/>
      <c r="DR20" s="104" t="e">
        <f ca="1"/>
        <v>#N/A</v>
      </c>
    </row>
    <row r="21" spans="5:122" ht="12.75" customHeight="1" x14ac:dyDescent="0.3">
      <c r="E21" s="104" t="s">
        <v>568</v>
      </c>
      <c r="G21" s="144">
        <v>149.69</v>
      </c>
      <c r="AD21" s="497"/>
      <c r="AE21" s="497"/>
      <c r="AF21" s="497"/>
      <c r="AG21" s="497"/>
      <c r="AH21" s="497"/>
      <c r="AI21" s="497"/>
      <c r="AJ21" s="498"/>
      <c r="AK21" s="497"/>
      <c r="AL21" s="143"/>
      <c r="AM21" s="143"/>
      <c r="BE21" s="104" t="s">
        <v>567</v>
      </c>
      <c r="CU21" s="739"/>
      <c r="CV21" s="739"/>
      <c r="CW21" s="739"/>
      <c r="CX21" s="739"/>
      <c r="CY21" s="739"/>
      <c r="CZ21" s="739"/>
      <c r="DA21" s="739"/>
      <c r="DB21" s="739"/>
      <c r="DC21" s="739"/>
      <c r="DD21" s="739"/>
      <c r="DE21" s="739"/>
      <c r="DF21" s="739"/>
      <c r="DG21" s="739"/>
      <c r="DH21" s="739"/>
      <c r="DR21" s="104" t="e">
        <f ca="1"/>
        <v>#N/A</v>
      </c>
    </row>
    <row r="22" spans="5:122" ht="12.75" customHeight="1" x14ac:dyDescent="0.3">
      <c r="E22" s="104" t="s">
        <v>566</v>
      </c>
      <c r="G22" s="104">
        <v>91.65</v>
      </c>
      <c r="AD22" s="497"/>
      <c r="AE22" s="497"/>
      <c r="AF22" s="497"/>
      <c r="AG22" s="497"/>
      <c r="AH22" s="497"/>
      <c r="AI22" s="497"/>
      <c r="AJ22" s="498"/>
      <c r="AK22" s="497"/>
      <c r="AL22" s="143"/>
      <c r="AM22" s="143"/>
      <c r="BE22" s="104" t="s">
        <v>1185</v>
      </c>
      <c r="DR22" s="104" t="e">
        <f ca="1"/>
        <v>#N/A</v>
      </c>
    </row>
    <row r="23" spans="5:122" ht="12.75" customHeight="1" x14ac:dyDescent="0.3">
      <c r="E23" s="104" t="s">
        <v>565</v>
      </c>
      <c r="G23" s="104">
        <v>23.83</v>
      </c>
      <c r="AD23" s="497"/>
      <c r="AE23" s="497"/>
      <c r="AF23" s="497"/>
      <c r="AG23" s="497"/>
      <c r="AH23" s="497"/>
      <c r="AI23" s="497"/>
      <c r="AJ23" s="498"/>
      <c r="AK23" s="497"/>
      <c r="AL23" s="143"/>
      <c r="AM23" s="143"/>
      <c r="DR23" s="104" t="e">
        <f ca="1"/>
        <v>#N/A</v>
      </c>
    </row>
    <row r="24" spans="5:122" ht="12.75" customHeight="1" x14ac:dyDescent="0.3">
      <c r="E24" s="104" t="s">
        <v>564</v>
      </c>
      <c r="F24" s="104" t="s">
        <v>563</v>
      </c>
      <c r="G24" s="104">
        <v>12.545</v>
      </c>
      <c r="AD24" s="497"/>
      <c r="AE24" s="497"/>
      <c r="AF24" s="497"/>
      <c r="AG24" s="497"/>
      <c r="AH24" s="497"/>
      <c r="AI24" s="497"/>
      <c r="AJ24" s="498"/>
      <c r="AK24" s="497"/>
      <c r="AL24" s="143"/>
      <c r="AM24" s="143"/>
      <c r="DR24" s="104" t="e">
        <f ca="1"/>
        <v>#N/A</v>
      </c>
    </row>
    <row r="25" spans="5:122" ht="12.75" customHeight="1" x14ac:dyDescent="0.3">
      <c r="E25" s="104" t="s">
        <v>562</v>
      </c>
      <c r="F25" s="104" t="s">
        <v>561</v>
      </c>
      <c r="G25" s="137">
        <v>12545</v>
      </c>
      <c r="AD25" s="497"/>
      <c r="AE25" s="497"/>
      <c r="AF25" s="497"/>
      <c r="AG25" s="497"/>
      <c r="AH25" s="497"/>
      <c r="AI25" s="497"/>
      <c r="AJ25" s="498"/>
      <c r="AK25" s="497"/>
      <c r="AL25" s="143"/>
      <c r="AM25" s="143"/>
      <c r="DR25" s="104" t="e">
        <f ca="1"/>
        <v>#N/A</v>
      </c>
    </row>
    <row r="26" spans="5:122" ht="12.75" customHeight="1" x14ac:dyDescent="0.3">
      <c r="E26" s="104" t="s">
        <v>560</v>
      </c>
      <c r="F26" s="104" t="s">
        <v>559</v>
      </c>
      <c r="G26" s="137">
        <v>12545000</v>
      </c>
      <c r="AD26" s="497"/>
      <c r="AE26" s="497"/>
      <c r="AF26" s="497"/>
      <c r="AG26" s="497"/>
      <c r="AH26" s="497"/>
      <c r="AI26" s="497"/>
      <c r="AJ26" s="498"/>
      <c r="AK26" s="497"/>
      <c r="AL26" s="143"/>
      <c r="AM26" s="143"/>
      <c r="DR26" s="104" t="e">
        <f ca="1"/>
        <v>#N/A</v>
      </c>
    </row>
    <row r="27" spans="5:122" ht="12.75" customHeight="1" x14ac:dyDescent="0.3">
      <c r="E27" s="104" t="s">
        <v>558</v>
      </c>
      <c r="F27" s="104" t="s">
        <v>557</v>
      </c>
      <c r="G27" s="137">
        <v>24800</v>
      </c>
      <c r="AD27" s="497"/>
      <c r="AE27" s="497"/>
      <c r="AF27" s="497"/>
      <c r="AG27" s="497"/>
      <c r="AH27" s="497"/>
      <c r="AI27" s="497"/>
      <c r="AJ27" s="498"/>
      <c r="AK27" s="497"/>
      <c r="AL27" s="143"/>
      <c r="AM27" s="143"/>
      <c r="DR27" s="104" t="e">
        <f ca="1"/>
        <v>#N/A</v>
      </c>
    </row>
    <row r="28" spans="5:122" ht="12.75" customHeight="1" x14ac:dyDescent="0.3">
      <c r="E28" s="104" t="s">
        <v>556</v>
      </c>
      <c r="F28" s="104" t="s">
        <v>555</v>
      </c>
      <c r="G28" s="104">
        <v>12.465</v>
      </c>
      <c r="AD28" s="497"/>
      <c r="AE28" s="497"/>
      <c r="AF28" s="497"/>
      <c r="AG28" s="497"/>
      <c r="AH28" s="497"/>
      <c r="AI28" s="497"/>
      <c r="AJ28" s="498"/>
      <c r="AK28" s="497"/>
      <c r="AL28" s="143"/>
      <c r="AM28" s="143"/>
      <c r="DR28" s="104" t="e">
        <f ca="1"/>
        <v>#N/A</v>
      </c>
    </row>
    <row r="29" spans="5:122" ht="12.75" customHeight="1" x14ac:dyDescent="0.3">
      <c r="E29" s="104" t="s">
        <v>554</v>
      </c>
      <c r="F29" s="104" t="s">
        <v>553</v>
      </c>
      <c r="G29" s="137">
        <v>12465</v>
      </c>
      <c r="AD29" s="498"/>
      <c r="AE29" s="498"/>
      <c r="AF29" s="498"/>
      <c r="AG29" s="498"/>
      <c r="AH29" s="498"/>
      <c r="AI29" s="498"/>
      <c r="AJ29" s="498"/>
      <c r="AK29" s="498"/>
      <c r="AL29" s="143"/>
      <c r="AM29" s="143"/>
      <c r="DR29" s="104" t="e">
        <f ca="1"/>
        <v>#N/A</v>
      </c>
    </row>
    <row r="30" spans="5:122" ht="12.75" customHeight="1" x14ac:dyDescent="0.25">
      <c r="E30" s="104" t="s">
        <v>552</v>
      </c>
      <c r="F30" s="104" t="s">
        <v>551</v>
      </c>
      <c r="G30" s="137">
        <v>12465000</v>
      </c>
      <c r="BE30" s="142" t="s">
        <v>550</v>
      </c>
      <c r="DR30" s="104" t="e">
        <f ca="1"/>
        <v>#N/A</v>
      </c>
    </row>
    <row r="31" spans="5:122" ht="12.75" customHeight="1" x14ac:dyDescent="0.25">
      <c r="E31" s="104" t="s">
        <v>549</v>
      </c>
      <c r="F31" s="104" t="s">
        <v>548</v>
      </c>
      <c r="G31" s="137">
        <v>24930</v>
      </c>
      <c r="AL31" s="500"/>
      <c r="BE31" s="104" t="s">
        <v>547</v>
      </c>
      <c r="DR31" s="104" t="e">
        <f ca="1"/>
        <v>#N/A</v>
      </c>
    </row>
    <row r="32" spans="5:122" ht="12.75" customHeight="1" x14ac:dyDescent="0.25">
      <c r="E32" s="104" t="s">
        <v>546</v>
      </c>
      <c r="F32" s="104" t="s">
        <v>545</v>
      </c>
      <c r="G32" s="104">
        <v>12.4</v>
      </c>
      <c r="BE32" s="104" t="s">
        <v>544</v>
      </c>
      <c r="DR32" s="104" t="e">
        <f ca="1"/>
        <v>#N/A</v>
      </c>
    </row>
    <row r="33" spans="5:122" ht="12.75" customHeight="1" x14ac:dyDescent="0.25">
      <c r="E33" s="104" t="s">
        <v>543</v>
      </c>
      <c r="F33" s="104" t="s">
        <v>542</v>
      </c>
      <c r="G33" s="137">
        <v>12400</v>
      </c>
      <c r="BE33" s="104" t="s">
        <v>541</v>
      </c>
      <c r="DR33" s="104" t="e">
        <f ca="1"/>
        <v>#N/A</v>
      </c>
    </row>
    <row r="34" spans="5:122" ht="12.75" customHeight="1" x14ac:dyDescent="0.25">
      <c r="E34" s="104" t="s">
        <v>540</v>
      </c>
      <c r="F34" s="104" t="s">
        <v>539</v>
      </c>
      <c r="G34" s="137">
        <v>12400000</v>
      </c>
      <c r="BE34" s="104" t="s">
        <v>538</v>
      </c>
      <c r="DR34" s="104" t="e">
        <f ca="1"/>
        <v>#N/A</v>
      </c>
    </row>
    <row r="35" spans="5:122" ht="12.75" customHeight="1" x14ac:dyDescent="0.25">
      <c r="E35" s="104" t="s">
        <v>537</v>
      </c>
      <c r="F35" s="104" t="s">
        <v>537</v>
      </c>
      <c r="G35" s="137">
        <v>24800</v>
      </c>
      <c r="BE35" s="104" t="s">
        <v>536</v>
      </c>
      <c r="DR35" s="104" t="e">
        <f ca="1"/>
        <v>#N/A</v>
      </c>
    </row>
    <row r="36" spans="5:122" x14ac:dyDescent="0.25">
      <c r="E36" s="104" t="s">
        <v>535</v>
      </c>
      <c r="F36" s="104" t="s">
        <v>534</v>
      </c>
      <c r="G36" s="141">
        <v>7.69</v>
      </c>
      <c r="BE36" s="104" t="s">
        <v>533</v>
      </c>
      <c r="DR36" s="104" t="e">
        <f ca="1"/>
        <v>#N/A</v>
      </c>
    </row>
    <row r="37" spans="5:122" x14ac:dyDescent="0.25">
      <c r="E37" s="104" t="s">
        <v>532</v>
      </c>
      <c r="F37" s="104" t="s">
        <v>532</v>
      </c>
      <c r="G37" s="137">
        <v>15380</v>
      </c>
      <c r="BE37" s="104" t="s">
        <v>531</v>
      </c>
      <c r="DR37" s="104" t="e">
        <f ca="1"/>
        <v>#N/A</v>
      </c>
    </row>
    <row r="38" spans="5:122" x14ac:dyDescent="0.25">
      <c r="BE38" s="104" t="s">
        <v>530</v>
      </c>
      <c r="DR38" s="104" t="e">
        <f ca="1"/>
        <v>#N/A</v>
      </c>
    </row>
    <row r="39" spans="5:122" x14ac:dyDescent="0.25">
      <c r="DR39" s="104" t="e">
        <f ca="1"/>
        <v>#N/A</v>
      </c>
    </row>
    <row r="40" spans="5:122" x14ac:dyDescent="0.25">
      <c r="DR40" s="104" t="e">
        <f ca="1"/>
        <v>#N/A</v>
      </c>
    </row>
    <row r="41" spans="5:122" x14ac:dyDescent="0.25">
      <c r="DR41" s="104" t="e">
        <f ca="1"/>
        <v>#N/A</v>
      </c>
    </row>
    <row r="42" spans="5:122" x14ac:dyDescent="0.25">
      <c r="DR42" s="104" t="e">
        <f ca="1"/>
        <v>#N/A</v>
      </c>
    </row>
    <row r="43" spans="5:122" x14ac:dyDescent="0.25">
      <c r="DR43" s="104" t="e">
        <f ca="1"/>
        <v>#N/A</v>
      </c>
    </row>
    <row r="44" spans="5:122" x14ac:dyDescent="0.25">
      <c r="DR44" s="104" t="e">
        <f ca="1"/>
        <v>#N/A</v>
      </c>
    </row>
    <row r="45" spans="5:122" x14ac:dyDescent="0.25">
      <c r="DR45" s="104" t="e">
        <f ca="1"/>
        <v>#N/A</v>
      </c>
    </row>
    <row r="46" spans="5:122" x14ac:dyDescent="0.25">
      <c r="DR46" s="104" t="e">
        <f ca="1"/>
        <v>#N/A</v>
      </c>
    </row>
    <row r="47" spans="5:122" x14ac:dyDescent="0.25">
      <c r="DR47" s="104" t="e">
        <f ca="1"/>
        <v>#N/A</v>
      </c>
    </row>
    <row r="48" spans="5:122" x14ac:dyDescent="0.25">
      <c r="DR48" s="104" t="e">
        <f ca="1"/>
        <v>#N/A</v>
      </c>
    </row>
    <row r="49" spans="122:122" x14ac:dyDescent="0.25">
      <c r="DR49" s="104" t="e">
        <f ca="1"/>
        <v>#N/A</v>
      </c>
    </row>
    <row r="50" spans="122:122" x14ac:dyDescent="0.25">
      <c r="DR50" s="104" t="e">
        <f ca="1"/>
        <v>#N/A</v>
      </c>
    </row>
    <row r="51" spans="122:122" x14ac:dyDescent="0.25">
      <c r="DR51" s="104" t="e">
        <f ca="1"/>
        <v>#N/A</v>
      </c>
    </row>
    <row r="52" spans="122:122" x14ac:dyDescent="0.25">
      <c r="DR52" s="104" t="e">
        <f ca="1"/>
        <v>#N/A</v>
      </c>
    </row>
    <row r="53" spans="122:122" x14ac:dyDescent="0.25">
      <c r="DR53" s="104" t="e">
        <f ca="1"/>
        <v>#N/A</v>
      </c>
    </row>
    <row r="54" spans="122:122" x14ac:dyDescent="0.25">
      <c r="DR54" s="104" t="e">
        <f ca="1"/>
        <v>#N/A</v>
      </c>
    </row>
    <row r="55" spans="122:122" x14ac:dyDescent="0.25">
      <c r="DR55" s="104" t="e">
        <f ca="1"/>
        <v>#N/A</v>
      </c>
    </row>
    <row r="56" spans="122:122" x14ac:dyDescent="0.25">
      <c r="DR56" s="104" t="e">
        <f ca="1"/>
        <v>#N/A</v>
      </c>
    </row>
    <row r="57" spans="122:122" x14ac:dyDescent="0.25">
      <c r="DR57" s="104" t="e">
        <f ca="1"/>
        <v>#N/A</v>
      </c>
    </row>
    <row r="58" spans="122:122" x14ac:dyDescent="0.25">
      <c r="DR58" s="104" t="e">
        <f ca="1"/>
        <v>#N/A</v>
      </c>
    </row>
    <row r="59" spans="122:122" x14ac:dyDescent="0.25">
      <c r="DR59" s="104" t="e">
        <f ca="1"/>
        <v>#N/A</v>
      </c>
    </row>
    <row r="60" spans="122:122" x14ac:dyDescent="0.25">
      <c r="DR60" s="104" t="e">
        <f ca="1"/>
        <v>#N/A</v>
      </c>
    </row>
    <row r="61" spans="122:122" x14ac:dyDescent="0.25">
      <c r="DR61" s="104" t="e">
        <f ca="1"/>
        <v>#N/A</v>
      </c>
    </row>
    <row r="62" spans="122:122" x14ac:dyDescent="0.25">
      <c r="DR62" s="104" t="e">
        <f ca="1"/>
        <v>#N/A</v>
      </c>
    </row>
    <row r="63" spans="122:122" x14ac:dyDescent="0.25">
      <c r="DR63" s="104" t="e">
        <f ca="1"/>
        <v>#N/A</v>
      </c>
    </row>
    <row r="64" spans="122:122" x14ac:dyDescent="0.25">
      <c r="DR64" s="104" t="e">
        <f ca="1"/>
        <v>#N/A</v>
      </c>
    </row>
    <row r="65" spans="122:122" x14ac:dyDescent="0.25">
      <c r="DR65" s="104" t="e">
        <f ca="1"/>
        <v>#N/A</v>
      </c>
    </row>
    <row r="66" spans="122:122" x14ac:dyDescent="0.25">
      <c r="DR66" s="104" t="e">
        <f ca="1"/>
        <v>#N/A</v>
      </c>
    </row>
    <row r="67" spans="122:122" x14ac:dyDescent="0.25">
      <c r="DR67" s="104" t="e">
        <f ca="1"/>
        <v>#N/A</v>
      </c>
    </row>
    <row r="68" spans="122:122" x14ac:dyDescent="0.25">
      <c r="DR68" s="104" t="e">
        <f ca="1"/>
        <v>#N/A</v>
      </c>
    </row>
    <row r="69" spans="122:122" x14ac:dyDescent="0.25">
      <c r="DR69" s="104" t="e">
        <f ca="1"/>
        <v>#N/A</v>
      </c>
    </row>
    <row r="70" spans="122:122" x14ac:dyDescent="0.25">
      <c r="DR70" s="104" t="e">
        <f ca="1"/>
        <v>#N/A</v>
      </c>
    </row>
    <row r="71" spans="122:122" x14ac:dyDescent="0.25">
      <c r="DR71" s="104" t="e">
        <f ca="1"/>
        <v>#N/A</v>
      </c>
    </row>
    <row r="72" spans="122:122" x14ac:dyDescent="0.25">
      <c r="DR72" s="104" t="e">
        <f ca="1"/>
        <v>#N/A</v>
      </c>
    </row>
    <row r="73" spans="122:122" x14ac:dyDescent="0.25">
      <c r="DR73" s="104" t="e">
        <f ca="1"/>
        <v>#N/A</v>
      </c>
    </row>
    <row r="74" spans="122:122" x14ac:dyDescent="0.25">
      <c r="DR74" s="104" t="e">
        <f ca="1"/>
        <v>#N/A</v>
      </c>
    </row>
    <row r="75" spans="122:122" x14ac:dyDescent="0.25">
      <c r="DR75" s="104" t="e">
        <f ca="1"/>
        <v>#N/A</v>
      </c>
    </row>
    <row r="76" spans="122:122" x14ac:dyDescent="0.25">
      <c r="DR76" s="104" t="e">
        <f ca="1"/>
        <v>#N/A</v>
      </c>
    </row>
    <row r="77" spans="122:122" x14ac:dyDescent="0.25">
      <c r="DR77" s="104" t="e">
        <f ca="1"/>
        <v>#N/A</v>
      </c>
    </row>
    <row r="78" spans="122:122" x14ac:dyDescent="0.25">
      <c r="DR78" s="104" t="e">
        <f ca="1"/>
        <v>#N/A</v>
      </c>
    </row>
    <row r="79" spans="122:122" x14ac:dyDescent="0.25">
      <c r="DR79" s="104" t="e">
        <f ca="1"/>
        <v>#N/A</v>
      </c>
    </row>
    <row r="80" spans="122:122" x14ac:dyDescent="0.25">
      <c r="DR80" s="104" t="e">
        <f ca="1"/>
        <v>#N/A</v>
      </c>
    </row>
    <row r="81" spans="2:122" x14ac:dyDescent="0.25">
      <c r="DR81" s="104" t="e">
        <f ca="1"/>
        <v>#N/A</v>
      </c>
    </row>
    <row r="82" spans="2:122" x14ac:dyDescent="0.25">
      <c r="DR82" s="104" t="e">
        <f ca="1"/>
        <v>#N/A</v>
      </c>
    </row>
    <row r="83" spans="2:122" x14ac:dyDescent="0.25">
      <c r="DR83" s="104" t="e">
        <f ca="1"/>
        <v>#N/A</v>
      </c>
    </row>
    <row r="84" spans="2:122" x14ac:dyDescent="0.25">
      <c r="DR84" s="104" t="e">
        <f ca="1"/>
        <v>#N/A</v>
      </c>
    </row>
    <row r="85" spans="2:122" x14ac:dyDescent="0.25">
      <c r="DR85" s="104" t="e">
        <f ca="1"/>
        <v>#N/A</v>
      </c>
    </row>
    <row r="86" spans="2:122" x14ac:dyDescent="0.25">
      <c r="DR86" s="104" t="e">
        <f ca="1"/>
        <v>#N/A</v>
      </c>
    </row>
    <row r="87" spans="2:122" x14ac:dyDescent="0.25">
      <c r="DR87" s="104" t="e">
        <f ca="1"/>
        <v>#N/A</v>
      </c>
    </row>
    <row r="88" spans="2:122" x14ac:dyDescent="0.25">
      <c r="DR88" s="104" t="e">
        <f ca="1"/>
        <v>#N/A</v>
      </c>
    </row>
    <row r="89" spans="2:122" x14ac:dyDescent="0.25">
      <c r="DR89" s="104" t="e">
        <f ca="1"/>
        <v>#N/A</v>
      </c>
    </row>
    <row r="90" spans="2:122" x14ac:dyDescent="0.25">
      <c r="B90" s="104" t="s">
        <v>529</v>
      </c>
      <c r="C90" s="140">
        <f>IFERROR(IF('General Information'!I60,1,IF('General Information'!J60,2,IF('General Information'!K60,3,IF('General Information'!L60,4,0)))),"")</f>
        <v>0</v>
      </c>
      <c r="DR90" s="104" t="e">
        <f ca="1"/>
        <v>#N/A</v>
      </c>
    </row>
    <row r="91" spans="2:122" x14ac:dyDescent="0.25">
      <c r="B91" s="104" t="s">
        <v>528</v>
      </c>
      <c r="DR91" s="104" t="e">
        <f ca="1"/>
        <v>#N/A</v>
      </c>
    </row>
    <row r="92" spans="2:122" x14ac:dyDescent="0.25">
      <c r="B92" s="104" t="s">
        <v>527</v>
      </c>
      <c r="DR92" s="104" t="e">
        <f ca="1"/>
        <v>#N/A</v>
      </c>
    </row>
    <row r="93" spans="2:122" x14ac:dyDescent="0.25">
      <c r="B93" s="104" t="s">
        <v>526</v>
      </c>
      <c r="DR93" s="104" t="e">
        <f ca="1"/>
        <v>#N/A</v>
      </c>
    </row>
    <row r="94" spans="2:122" x14ac:dyDescent="0.25">
      <c r="B94" s="104" t="s">
        <v>525</v>
      </c>
      <c r="DR94" s="104" t="e">
        <f ca="1"/>
        <v>#N/A</v>
      </c>
    </row>
    <row r="95" spans="2:122" x14ac:dyDescent="0.25">
      <c r="DR95" s="104" t="e">
        <f ca="1"/>
        <v>#N/A</v>
      </c>
    </row>
    <row r="96" spans="2:122" x14ac:dyDescent="0.25">
      <c r="B96" s="104" t="s">
        <v>524</v>
      </c>
      <c r="C96" s="140" t="b">
        <f>'General Information'!J59</f>
        <v>0</v>
      </c>
      <c r="DR96" s="104" t="e">
        <f ca="1"/>
        <v>#N/A</v>
      </c>
    </row>
    <row r="97" spans="2:122" x14ac:dyDescent="0.25">
      <c r="DR97" s="104" t="e">
        <f ca="1"/>
        <v>#N/A</v>
      </c>
    </row>
    <row r="98" spans="2:122" x14ac:dyDescent="0.25">
      <c r="B98" s="104" t="s">
        <v>523</v>
      </c>
      <c r="C98" s="140" t="b">
        <f>'General Information'!I59</f>
        <v>0</v>
      </c>
      <c r="DR98" s="104" t="e">
        <f ca="1"/>
        <v>#N/A</v>
      </c>
    </row>
    <row r="99" spans="2:122" x14ac:dyDescent="0.25">
      <c r="DR99" s="104" t="e">
        <f ca="1"/>
        <v>#N/A</v>
      </c>
    </row>
    <row r="100" spans="2:122" x14ac:dyDescent="0.25">
      <c r="B100" s="104" t="s">
        <v>522</v>
      </c>
      <c r="DR100" s="104" t="e">
        <f ca="1"/>
        <v>#N/A</v>
      </c>
    </row>
    <row r="101" spans="2:122" ht="6.75" customHeight="1" x14ac:dyDescent="0.25">
      <c r="B101" s="137" t="s">
        <v>1047</v>
      </c>
      <c r="D101" s="137" t="s">
        <v>1047</v>
      </c>
      <c r="F101" s="137" t="s">
        <v>1047</v>
      </c>
    </row>
    <row r="102" spans="2:122" x14ac:dyDescent="0.25">
      <c r="B102" s="139" t="s">
        <v>464</v>
      </c>
      <c r="C102" s="139" t="s">
        <v>488</v>
      </c>
      <c r="D102" s="139" t="s">
        <v>243</v>
      </c>
      <c r="E102" s="104" t="s">
        <v>521</v>
      </c>
    </row>
    <row r="103" spans="2:122" x14ac:dyDescent="0.25">
      <c r="B103" s="139" t="s">
        <v>478</v>
      </c>
      <c r="C103" s="139" t="s">
        <v>490</v>
      </c>
      <c r="D103" s="139" t="s">
        <v>245</v>
      </c>
    </row>
    <row r="104" spans="2:122" ht="6.75" customHeight="1" x14ac:dyDescent="0.25">
      <c r="B104" s="137" t="s">
        <v>1047</v>
      </c>
      <c r="D104" s="137" t="s">
        <v>1047</v>
      </c>
      <c r="F104" s="137" t="s">
        <v>1047</v>
      </c>
    </row>
    <row r="105" spans="2:122" x14ac:dyDescent="0.25">
      <c r="B105" s="139" t="str">
        <f>IF(DESPath=3,IF(DistrictHeating,"District Heating",IF(DistrictCooling,"District Cooling","")),"")</f>
        <v/>
      </c>
      <c r="C105" s="138"/>
      <c r="D105" s="138"/>
      <c r="E105" s="104" t="s">
        <v>520</v>
      </c>
      <c r="F105" s="137"/>
    </row>
    <row r="106" spans="2:122" x14ac:dyDescent="0.25">
      <c r="B106" s="139" t="str">
        <f>IF(DESPath=3,IF(AND(DistrictHeating,DistrictCooling),"District Cooling",""),"")</f>
        <v/>
      </c>
      <c r="C106" s="138"/>
      <c r="D106" s="138"/>
      <c r="F106" s="137"/>
    </row>
    <row r="107" spans="2:122" ht="6.75" customHeight="1" x14ac:dyDescent="0.25">
      <c r="B107" s="137"/>
      <c r="D107" s="137"/>
      <c r="F107" s="137"/>
    </row>
    <row r="178" spans="2:4" ht="14.4" x14ac:dyDescent="0.25">
      <c r="B178" s="136"/>
      <c r="C178" s="3006"/>
      <c r="D178" s="3007"/>
    </row>
    <row r="179" spans="2:4" ht="14.4" x14ac:dyDescent="0.25">
      <c r="B179" s="136"/>
      <c r="C179" s="3006"/>
      <c r="D179" s="3007"/>
    </row>
    <row r="196" spans="2:112" ht="13.8" x14ac:dyDescent="0.25">
      <c r="CL196" s="112"/>
      <c r="CM196" s="112"/>
    </row>
    <row r="197" spans="2:112" ht="13.8" x14ac:dyDescent="0.25">
      <c r="CL197" s="112"/>
      <c r="CM197" s="112"/>
    </row>
    <row r="198" spans="2:112" ht="13.8" x14ac:dyDescent="0.25">
      <c r="CL198" s="112"/>
      <c r="CM198" s="112"/>
    </row>
    <row r="199" spans="2:112" ht="13.8" x14ac:dyDescent="0.25">
      <c r="CL199" s="112"/>
      <c r="CM199" s="112"/>
    </row>
    <row r="200" spans="2:112" ht="13.8" x14ac:dyDescent="0.25">
      <c r="CL200" s="112"/>
      <c r="CM200" s="112"/>
    </row>
    <row r="201" spans="2:112" ht="13.8" x14ac:dyDescent="0.25">
      <c r="CL201" s="112"/>
      <c r="CM201" s="112"/>
    </row>
    <row r="202" spans="2:112" ht="13.8" x14ac:dyDescent="0.25">
      <c r="CL202" s="112"/>
      <c r="CM202" s="112"/>
      <c r="CU202" s="112"/>
      <c r="CV202" s="112"/>
      <c r="CW202" s="112"/>
      <c r="CX202" s="112"/>
      <c r="CY202" s="112"/>
      <c r="CZ202" s="112"/>
      <c r="DA202" s="112"/>
      <c r="DB202" s="112"/>
      <c r="DC202" s="112"/>
      <c r="DD202" s="112"/>
      <c r="DE202" s="112"/>
      <c r="DF202" s="112"/>
      <c r="DG202" s="112"/>
      <c r="DH202" s="112"/>
    </row>
    <row r="203" spans="2:112" s="112" customFormat="1" ht="21" x14ac:dyDescent="0.3">
      <c r="B203" s="135" t="s">
        <v>519</v>
      </c>
      <c r="C203" s="134">
        <v>0</v>
      </c>
      <c r="D203" s="133"/>
      <c r="E203" s="133"/>
      <c r="F203" s="132"/>
      <c r="G203" s="132"/>
      <c r="H203" s="132"/>
      <c r="I203" s="132"/>
      <c r="J203" s="132"/>
      <c r="K203" s="132"/>
      <c r="L203" s="132"/>
      <c r="M203" s="131"/>
      <c r="N203" s="117"/>
    </row>
    <row r="204" spans="2:112" s="112" customFormat="1" ht="12.75" customHeight="1" x14ac:dyDescent="0.3">
      <c r="B204" s="3008" t="s">
        <v>0</v>
      </c>
      <c r="C204" s="3008"/>
      <c r="D204" s="3009"/>
      <c r="E204" s="130"/>
      <c r="F204" s="3010" t="s">
        <v>5</v>
      </c>
      <c r="G204" s="3011"/>
      <c r="H204" s="3008"/>
      <c r="I204" s="3008"/>
      <c r="J204" s="3010" t="s">
        <v>6</v>
      </c>
      <c r="K204" s="3008"/>
      <c r="L204" s="3008"/>
      <c r="M204" s="3008"/>
      <c r="N204" s="117"/>
    </row>
    <row r="205" spans="2:112" s="112" customFormat="1" ht="51.75" customHeight="1" x14ac:dyDescent="0.3">
      <c r="B205" s="2981" t="s">
        <v>518</v>
      </c>
      <c r="C205" s="2982"/>
      <c r="D205" s="2982"/>
      <c r="E205" s="2983"/>
      <c r="F205" s="128"/>
      <c r="G205" s="3001" t="s">
        <v>517</v>
      </c>
      <c r="H205" s="3002"/>
      <c r="I205" s="3003"/>
      <c r="J205" s="3004"/>
      <c r="K205" s="3005"/>
      <c r="L205" s="3005"/>
      <c r="M205" s="3005"/>
      <c r="N205" s="129"/>
    </row>
    <row r="206" spans="2:112" s="112" customFormat="1" ht="45" customHeight="1" x14ac:dyDescent="0.3">
      <c r="B206" s="3012"/>
      <c r="C206" s="3013"/>
      <c r="D206" s="3013"/>
      <c r="E206" s="2989"/>
      <c r="F206" s="128" t="s">
        <v>516</v>
      </c>
      <c r="G206" s="3001" t="s">
        <v>515</v>
      </c>
      <c r="H206" s="3002"/>
      <c r="I206" s="3003"/>
      <c r="J206" s="3014"/>
      <c r="K206" s="3015"/>
      <c r="L206" s="3015"/>
      <c r="M206" s="2976"/>
      <c r="N206" s="129"/>
    </row>
    <row r="207" spans="2:112" s="112" customFormat="1" ht="45" customHeight="1" x14ac:dyDescent="0.3">
      <c r="B207" s="2999" t="s">
        <v>514</v>
      </c>
      <c r="C207" s="2999"/>
      <c r="D207" s="3000"/>
      <c r="E207" s="126"/>
      <c r="F207" s="128"/>
      <c r="G207" s="3001" t="s">
        <v>513</v>
      </c>
      <c r="H207" s="3002"/>
      <c r="I207" s="3003"/>
      <c r="J207" s="3004"/>
      <c r="K207" s="3005"/>
      <c r="L207" s="3005"/>
      <c r="M207" s="3005"/>
      <c r="N207" s="117"/>
    </row>
    <row r="208" spans="2:112" s="112" customFormat="1" ht="13.8" x14ac:dyDescent="0.3">
      <c r="B208" s="2999" t="s">
        <v>512</v>
      </c>
      <c r="C208" s="2999"/>
      <c r="D208" s="2994" t="s">
        <v>19</v>
      </c>
      <c r="E208" s="127"/>
      <c r="F208" s="2990" t="s">
        <v>511</v>
      </c>
      <c r="G208" s="2991"/>
      <c r="H208" s="2994" t="s">
        <v>13</v>
      </c>
      <c r="I208" s="2995"/>
      <c r="J208" s="2996" t="s">
        <v>511</v>
      </c>
      <c r="K208" s="2997" t="s">
        <v>13</v>
      </c>
      <c r="L208" s="2997"/>
      <c r="M208" s="2997"/>
      <c r="N208" s="117"/>
    </row>
    <row r="209" spans="2:112" s="112" customFormat="1" ht="15" x14ac:dyDescent="0.3">
      <c r="B209" s="2999"/>
      <c r="C209" s="2999"/>
      <c r="D209" s="2994"/>
      <c r="E209" s="127"/>
      <c r="F209" s="2992"/>
      <c r="G209" s="2993"/>
      <c r="H209" s="119" t="s">
        <v>508</v>
      </c>
      <c r="I209" s="118" t="s">
        <v>20</v>
      </c>
      <c r="J209" s="2996"/>
      <c r="K209" s="2997" t="s">
        <v>508</v>
      </c>
      <c r="L209" s="2997"/>
      <c r="M209" s="494" t="s">
        <v>20</v>
      </c>
      <c r="N209" s="117"/>
    </row>
    <row r="210" spans="2:112" s="112" customFormat="1" ht="13.8" x14ac:dyDescent="0.3">
      <c r="B210" s="2999"/>
      <c r="C210" s="2999"/>
      <c r="D210" s="495" t="s">
        <v>14</v>
      </c>
      <c r="E210" s="126"/>
      <c r="F210" s="2975" t="str">
        <f>IF(J210=0,"Identical to Proposed case",J210)</f>
        <v>Identical to Proposed case</v>
      </c>
      <c r="G210" s="2976"/>
      <c r="H210" s="116"/>
      <c r="I210" s="115" t="str">
        <f>IF(J210=0,"",H210/F210)</f>
        <v/>
      </c>
      <c r="J210" s="114"/>
      <c r="K210" s="2998"/>
      <c r="L210" s="2998"/>
      <c r="M210" s="113" t="str">
        <f>IF(J210=0,"",K210/J210)</f>
        <v/>
      </c>
      <c r="N210" s="117"/>
    </row>
    <row r="211" spans="2:112" s="112" customFormat="1" ht="13.8" x14ac:dyDescent="0.25">
      <c r="B211" s="2999"/>
      <c r="C211" s="2999"/>
      <c r="D211" s="495" t="s">
        <v>15</v>
      </c>
      <c r="E211" s="126"/>
      <c r="F211" s="2975" t="str">
        <f>IF(J211=0,"Identical to Proposed case",J211)</f>
        <v>Identical to Proposed case</v>
      </c>
      <c r="G211" s="2976"/>
      <c r="H211" s="116"/>
      <c r="I211" s="115" t="str">
        <f>IF(J211=0,"",H211/F211)</f>
        <v/>
      </c>
      <c r="J211" s="114"/>
      <c r="K211" s="2977"/>
      <c r="L211" s="2978"/>
      <c r="M211" s="113" t="str">
        <f>IF(J211=0,"",K211/J211)</f>
        <v/>
      </c>
      <c r="N211" s="117"/>
      <c r="CL211" s="104"/>
      <c r="CM211" s="104"/>
    </row>
    <row r="212" spans="2:112" s="112" customFormat="1" ht="13.8" x14ac:dyDescent="0.25">
      <c r="B212" s="2999"/>
      <c r="C212" s="2999"/>
      <c r="D212" s="495" t="s">
        <v>16</v>
      </c>
      <c r="E212" s="126"/>
      <c r="F212" s="2975" t="str">
        <f>IF(J212=0,"Identical to Proposed case",J212)</f>
        <v>Identical to Proposed case</v>
      </c>
      <c r="G212" s="2976"/>
      <c r="H212" s="116"/>
      <c r="I212" s="115" t="str">
        <f>IF(J212=0,"",H212/F212)</f>
        <v/>
      </c>
      <c r="J212" s="114"/>
      <c r="K212" s="2977"/>
      <c r="L212" s="2978"/>
      <c r="M212" s="113" t="str">
        <f>IF(J212=0,"",K212/J212)</f>
        <v/>
      </c>
      <c r="N212" s="117"/>
      <c r="CL212" s="104"/>
      <c r="CM212" s="104"/>
    </row>
    <row r="213" spans="2:112" s="112" customFormat="1" ht="13.8" x14ac:dyDescent="0.25">
      <c r="B213" s="2999"/>
      <c r="C213" s="2999"/>
      <c r="D213" s="495" t="s">
        <v>17</v>
      </c>
      <c r="E213" s="126"/>
      <c r="F213" s="2975" t="str">
        <f>IF(J213=0,"Identical to Proposed case",J213)</f>
        <v>Identical to Proposed case</v>
      </c>
      <c r="G213" s="2976"/>
      <c r="H213" s="116"/>
      <c r="I213" s="115" t="str">
        <f>IF(J213=0,"",H213/F213)</f>
        <v/>
      </c>
      <c r="J213" s="114"/>
      <c r="K213" s="2977"/>
      <c r="L213" s="2978"/>
      <c r="M213" s="113" t="str">
        <f>IF(J213=0,"",K213/J213)</f>
        <v/>
      </c>
      <c r="N213" s="117"/>
      <c r="CL213" s="104"/>
      <c r="CM213" s="104"/>
    </row>
    <row r="214" spans="2:112" s="112" customFormat="1" ht="14.7" customHeight="1" x14ac:dyDescent="0.25">
      <c r="B214" s="2999"/>
      <c r="C214" s="2999"/>
      <c r="D214" s="125" t="s">
        <v>18</v>
      </c>
      <c r="E214" s="124"/>
      <c r="F214" s="2979" t="str">
        <f>IF(J214=0,"Identical to Proposed case",J214)</f>
        <v>Identical to Proposed case</v>
      </c>
      <c r="G214" s="2976"/>
      <c r="H214" s="123">
        <f>SUM(H210:H213)</f>
        <v>0</v>
      </c>
      <c r="I214" s="122" t="str">
        <f>IF(J214=0,"",H214/F214)</f>
        <v/>
      </c>
      <c r="J214" s="121">
        <f>SUM(J210:J213)</f>
        <v>0</v>
      </c>
      <c r="K214" s="2980">
        <f>SUM(K210:K213)</f>
        <v>0</v>
      </c>
      <c r="L214" s="2980"/>
      <c r="M214" s="120" t="str">
        <f>IF(J214=0,"",K214/J214)</f>
        <v/>
      </c>
      <c r="N214" s="117"/>
      <c r="CL214" s="104"/>
      <c r="CM214" s="104"/>
    </row>
    <row r="215" spans="2:112" s="112" customFormat="1" ht="13.8" x14ac:dyDescent="0.25">
      <c r="B215" s="2981" t="s">
        <v>510</v>
      </c>
      <c r="C215" s="2982"/>
      <c r="D215" s="2982"/>
      <c r="E215" s="2983"/>
      <c r="F215" s="2990" t="s">
        <v>509</v>
      </c>
      <c r="G215" s="2991"/>
      <c r="H215" s="2994" t="s">
        <v>27</v>
      </c>
      <c r="I215" s="2995"/>
      <c r="J215" s="2996" t="s">
        <v>509</v>
      </c>
      <c r="K215" s="2997" t="s">
        <v>27</v>
      </c>
      <c r="L215" s="2997"/>
      <c r="M215" s="2997"/>
      <c r="N215" s="117"/>
      <c r="CL215" s="104"/>
      <c r="CM215" s="104"/>
    </row>
    <row r="216" spans="2:112" s="112" customFormat="1" ht="15" x14ac:dyDescent="0.25">
      <c r="B216" s="2984"/>
      <c r="C216" s="2985"/>
      <c r="D216" s="2985"/>
      <c r="E216" s="2986"/>
      <c r="F216" s="2992"/>
      <c r="G216" s="2993"/>
      <c r="H216" s="119" t="s">
        <v>508</v>
      </c>
      <c r="I216" s="118" t="s">
        <v>20</v>
      </c>
      <c r="J216" s="2996"/>
      <c r="K216" s="2997" t="s">
        <v>508</v>
      </c>
      <c r="L216" s="2997"/>
      <c r="M216" s="494" t="s">
        <v>20</v>
      </c>
      <c r="N216" s="117"/>
      <c r="CL216" s="104"/>
      <c r="CM216" s="104"/>
    </row>
    <row r="217" spans="2:112" s="112" customFormat="1" ht="13.8" x14ac:dyDescent="0.25">
      <c r="B217" s="2987"/>
      <c r="C217" s="2988"/>
      <c r="D217" s="2988"/>
      <c r="E217" s="2989"/>
      <c r="F217" s="2975" t="str">
        <f>IF(J217=0,"Identical to Proposed case",J217)</f>
        <v>Identical to Proposed case</v>
      </c>
      <c r="G217" s="2976"/>
      <c r="H217" s="116"/>
      <c r="I217" s="115" t="str">
        <f>IF(J217=0,"",H217/F217)</f>
        <v/>
      </c>
      <c r="J217" s="114"/>
      <c r="K217" s="2998"/>
      <c r="L217" s="2998"/>
      <c r="M217" s="113" t="str">
        <f>IF(J217=0,"",K217/J217)</f>
        <v/>
      </c>
      <c r="CL217" s="104"/>
      <c r="CM217" s="104"/>
      <c r="CU217" s="104"/>
      <c r="CV217" s="104"/>
      <c r="CW217" s="104"/>
      <c r="CX217" s="104"/>
      <c r="CY217" s="104"/>
      <c r="CZ217" s="104"/>
      <c r="DA217" s="104"/>
      <c r="DB217" s="104"/>
      <c r="DC217" s="104"/>
      <c r="DD217" s="104"/>
      <c r="DE217" s="104"/>
      <c r="DF217" s="104"/>
      <c r="DG217" s="104"/>
      <c r="DH217" s="104"/>
    </row>
    <row r="218" spans="2:112" ht="13.8" x14ac:dyDescent="0.25">
      <c r="B218" s="111" t="str">
        <f>IF(I214="","",IF(I214&lt;=0.4,"","**Baseline vertical glazing areas limited to 40% of gross above-grade wall area per Table G3.1#5(c)"))</f>
        <v/>
      </c>
      <c r="C218" s="108"/>
      <c r="D218" s="108"/>
      <c r="E218" s="108"/>
      <c r="F218" s="109"/>
      <c r="G218" s="109"/>
      <c r="H218" s="108"/>
      <c r="I218" s="110"/>
      <c r="J218" s="109"/>
      <c r="K218" s="108"/>
      <c r="L218" s="108"/>
      <c r="M218" s="108"/>
    </row>
  </sheetData>
  <sheetProtection algorithmName="SHA-512" hashValue="vjLsRGhCBM+XZqi8qfhZPDNk2bdDSRkwnFJdBCa8HxLw1dBONhJUmjTp1vmjMwvqptCIs1k08ZLJz2LB7J0ufg==" saltValue="ed8g230VUsUftDsO+FxE8g==" spinCount="100000" sheet="1" objects="1" scenarios="1"/>
  <dataConsolidate/>
  <customSheetViews>
    <customSheetView guid="{75D6F8CE-A4F4-4FDD-BA92-7996F9E19FA9}" topLeftCell="M1">
      <selection activeCell="Z14" sqref="Z14"/>
      <pageMargins left="0.7" right="0.7" top="0.75" bottom="0.75" header="0.3" footer="0.3"/>
      <pageSetup orientation="portrait" r:id="rId1"/>
    </customSheetView>
  </customSheetViews>
  <mergeCells count="38">
    <mergeCell ref="B205:E206"/>
    <mergeCell ref="G205:I205"/>
    <mergeCell ref="J205:M205"/>
    <mergeCell ref="G206:I206"/>
    <mergeCell ref="J206:M206"/>
    <mergeCell ref="C178:D178"/>
    <mergeCell ref="C179:D179"/>
    <mergeCell ref="B204:D204"/>
    <mergeCell ref="F204:I204"/>
    <mergeCell ref="J204:M204"/>
    <mergeCell ref="B207:D207"/>
    <mergeCell ref="G207:I207"/>
    <mergeCell ref="J207:M207"/>
    <mergeCell ref="B208:C214"/>
    <mergeCell ref="D208:D209"/>
    <mergeCell ref="F208:G209"/>
    <mergeCell ref="H208:I208"/>
    <mergeCell ref="J208:J209"/>
    <mergeCell ref="K208:M208"/>
    <mergeCell ref="K209:L209"/>
    <mergeCell ref="F210:G210"/>
    <mergeCell ref="K210:L210"/>
    <mergeCell ref="F211:G211"/>
    <mergeCell ref="K211:L211"/>
    <mergeCell ref="F212:G212"/>
    <mergeCell ref="K212:L212"/>
    <mergeCell ref="F213:G213"/>
    <mergeCell ref="K213:L213"/>
    <mergeCell ref="F214:G214"/>
    <mergeCell ref="K214:L214"/>
    <mergeCell ref="B215:E217"/>
    <mergeCell ref="F215:G216"/>
    <mergeCell ref="H215:I215"/>
    <mergeCell ref="J215:J216"/>
    <mergeCell ref="K215:M215"/>
    <mergeCell ref="K216:L216"/>
    <mergeCell ref="F217:G217"/>
    <mergeCell ref="K217:L217"/>
  </mergeCells>
  <dataValidations disablePrompts="1" count="19">
    <dataValidation type="list" allowBlank="1" showInputMessage="1" showErrorMessage="1" sqref="B110" xr:uid="{00000000-0002-0000-1700-000000000000}">
      <formula1>EnergySources</formula1>
    </dataValidation>
    <dataValidation allowBlank="1" showInputMessage="1" showErrorMessage="1" prompt="List any permanent or automatically controlled shading devices modeled for the Proposed case (example: 24&quot; light shelves on all south-facing vertical glazing)" sqref="K205:M205 J205:J206" xr:uid="{00000000-0002-0000-1700-000001000000}"/>
    <dataValidation allowBlank="1" showInputMessage="1" showErrorMessage="1" prompt="Describe attributes of building shape/orientation that contribute to improved building performance (example: courtyard with self-shading), or enter &quot;N/A&quot; if not appicable" sqref="J207:M207" xr:uid="{00000000-0002-0000-1700-000002000000}"/>
    <dataValidation type="decimal" operator="greaterThanOrEqual" allowBlank="1" showInputMessage="1" showErrorMessage="1" error="Please enter the value only (without any labels)" prompt="Enter the total area for North-facing (or nearest North-facing) above-grade Proposed exterior walls" sqref="J210" xr:uid="{00000000-0002-0000-1700-000003000000}">
      <formula1>0</formula1>
    </dataValidation>
    <dataValidation type="decimal" operator="greaterThanOrEqual" allowBlank="1" showInputMessage="1" showErrorMessage="1" error="Please enter the value only (without any labels)" prompt="Enter the total area for East-facing (or nearest East-facing) above-grade Proposed exterior walls" sqref="J211" xr:uid="{00000000-0002-0000-1700-000004000000}">
      <formula1>0</formula1>
    </dataValidation>
    <dataValidation type="decimal" operator="greaterThanOrEqual" allowBlank="1" showInputMessage="1" showErrorMessage="1" error="Please enter the value only (without any labels)" prompt="Enter the total area for South-facing (or nearest South-facing) above-grade Proposed exterior walls" sqref="J212" xr:uid="{00000000-0002-0000-1700-000005000000}">
      <formula1>0</formula1>
    </dataValidation>
    <dataValidation type="decimal" operator="greaterThanOrEqual" allowBlank="1" showInputMessage="1" showErrorMessage="1" error="Please enter the value only (without any labels)" prompt="Enter the total area for West-facing (or nearest West-facing) above-grade Proposed exterior walls" sqref="J213" xr:uid="{00000000-0002-0000-1700-000006000000}">
      <formula1>0</formula1>
    </dataValidation>
    <dataValidation type="decimal" operator="greaterThanOrEqual" allowBlank="1" showInputMessage="1" showErrorMessage="1" error="Please enter the value only (without any labels)" prompt="Enter the total area for North-facing (or nearest North-facing) Proposed vertical glazing" sqref="K210:L210" xr:uid="{00000000-0002-0000-1700-000007000000}">
      <formula1>0</formula1>
    </dataValidation>
    <dataValidation type="decimal" operator="greaterThanOrEqual" allowBlank="1" showInputMessage="1" showErrorMessage="1" error="Please enter the value only (without any labels)" prompt="Enter the total area for East-facing (or nearest East-facing) Proposed vertical glazing" sqref="K211:L211" xr:uid="{00000000-0002-0000-1700-000008000000}">
      <formula1>0</formula1>
    </dataValidation>
    <dataValidation type="decimal" operator="greaterThanOrEqual" allowBlank="1" showInputMessage="1" showErrorMessage="1" error="Please enter the value only (without any labels)" prompt="Enter the total area for South-facing (or nearest South-facing) Proposed vertical glazing" sqref="K212:L212" xr:uid="{00000000-0002-0000-1700-000009000000}">
      <formula1>0</formula1>
    </dataValidation>
    <dataValidation type="decimal" operator="greaterThanOrEqual" allowBlank="1" showInputMessage="1" showErrorMessage="1" error="Please enter the value only (without any labels)" prompt="Enter the total area for West-facing (or nearest West-facing) Proposed vertical glazing" sqref="K213:L213" xr:uid="{00000000-0002-0000-1700-00000A000000}">
      <formula1>0</formula1>
    </dataValidation>
    <dataValidation type="decimal" operator="greaterThanOrEqual" allowBlank="1" showInputMessage="1" showErrorMessage="1" error="Please enter the value only (without any labels)" prompt="Enter the total area for North-facing (or nearest North-facing) Baseline vertical glazing" sqref="H210" xr:uid="{00000000-0002-0000-1700-00000B000000}">
      <formula1>0</formula1>
    </dataValidation>
    <dataValidation type="decimal" operator="greaterThanOrEqual" allowBlank="1" showInputMessage="1" showErrorMessage="1" error="Please enter the value only (without any labels)" prompt="Enter the total area for East-facing (or nearest East-facing) Baseline vertical glazing" sqref="H211" xr:uid="{00000000-0002-0000-1700-00000C000000}">
      <formula1>0</formula1>
    </dataValidation>
    <dataValidation type="decimal" operator="greaterThanOrEqual" allowBlank="1" showInputMessage="1" showErrorMessage="1" error="Please enter the value only (without any labels)" prompt="Enter the total area for South-facing (or nearest South-facing) Baseline vertical glazing" sqref="H212" xr:uid="{00000000-0002-0000-1700-00000D000000}">
      <formula1>0</formula1>
    </dataValidation>
    <dataValidation type="decimal" operator="greaterThanOrEqual" allowBlank="1" showInputMessage="1" showErrorMessage="1" error="Please enter the value only (without any labels)" prompt="Enter the total area for West-facing (or nearest West-facing) Baseline vertical glazing" sqref="H213" xr:uid="{00000000-0002-0000-1700-00000E000000}">
      <formula1>0</formula1>
    </dataValidation>
    <dataValidation type="decimal" operator="greaterThanOrEqual" allowBlank="1" showInputMessage="1" showErrorMessage="1" error="Please enter the value only (without any labels)" prompt="If the project includes skylights, enter the total skylight area for the Baseline case. Otherwise, enter &quot;N/A&quot;" sqref="H217" xr:uid="{00000000-0002-0000-1700-00000F000000}">
      <formula1>0</formula1>
    </dataValidation>
    <dataValidation type="decimal" operator="greaterThanOrEqual" allowBlank="1" showInputMessage="1" showErrorMessage="1" error="Please enter the value only (without any labels)" prompt="If the project includes skylights, enter the total skylight area for the Proposed case. Otherwise, enter &quot;N/A&quot;" sqref="K217:L217" xr:uid="{00000000-0002-0000-1700-000010000000}">
      <formula1>0</formula1>
    </dataValidation>
    <dataValidation type="decimal" operator="greaterThanOrEqual" allowBlank="1" showInputMessage="1" showErrorMessage="1" error="Please enter the value only (without any labels)" prompt="Enter the total roof area for the Proposed case" sqref="J217" xr:uid="{00000000-0002-0000-1700-000011000000}">
      <formula1>0</formula1>
    </dataValidation>
    <dataValidation type="list" allowBlank="1" showInputMessage="1" sqref="F205:F207" xr:uid="{00000000-0002-0000-1700-000012000000}">
      <formula1>"Yes,No"</formula1>
    </dataValidation>
  </dataValidations>
  <pageMargins left="0.7" right="0.7" top="0.75" bottom="0.75" header="0.3" footer="0.3"/>
  <pageSetup orientation="portrait" r:id="rId2"/>
  <legacy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2">
    <tabColor rgb="FFC00000"/>
  </sheetPr>
  <dimension ref="A1:U31"/>
  <sheetViews>
    <sheetView showGridLines="0" topLeftCell="A7" zoomScale="80" zoomScaleNormal="80" zoomScalePageLayoutView="80" workbookViewId="0">
      <selection activeCell="D17" sqref="D17"/>
    </sheetView>
  </sheetViews>
  <sheetFormatPr defaultColWidth="25.6640625" defaultRowHeight="13.2" x14ac:dyDescent="0.3"/>
  <cols>
    <col min="1" max="1" width="25.44140625" style="24" customWidth="1"/>
    <col min="2" max="6" width="24.6640625" style="25" customWidth="1"/>
    <col min="7" max="7" width="11.44140625" style="24" customWidth="1"/>
    <col min="8" max="8" width="24.6640625" style="25" customWidth="1"/>
    <col min="9" max="9" width="24.6640625" style="24" customWidth="1"/>
    <col min="10" max="10" width="2.6640625" style="24" customWidth="1"/>
    <col min="11" max="14" width="14.6640625" style="25" customWidth="1"/>
    <col min="15" max="15" width="18" style="25" bestFit="1" customWidth="1"/>
    <col min="16" max="16" width="2.6640625" style="25" customWidth="1"/>
    <col min="17" max="20" width="14.6640625" style="25" customWidth="1"/>
    <col min="21" max="24" width="10.6640625" style="25" customWidth="1"/>
    <col min="25" max="16384" width="25.6640625" style="25"/>
  </cols>
  <sheetData>
    <row r="1" spans="1:21" x14ac:dyDescent="0.3">
      <c r="A1" s="24" t="s">
        <v>158</v>
      </c>
      <c r="B1" s="25" t="b">
        <f>'General Information'!I59</f>
        <v>0</v>
      </c>
    </row>
    <row r="2" spans="1:21" x14ac:dyDescent="0.3">
      <c r="A2" s="24" t="s">
        <v>159</v>
      </c>
      <c r="B2" s="25" t="b">
        <f>'General Information'!J59</f>
        <v>0</v>
      </c>
    </row>
    <row r="3" spans="1:21" x14ac:dyDescent="0.3">
      <c r="A3" s="77" t="s">
        <v>357</v>
      </c>
      <c r="B3" s="25" t="b">
        <f>'General Information'!I60</f>
        <v>0</v>
      </c>
      <c r="N3" s="510" t="s">
        <v>1103</v>
      </c>
    </row>
    <row r="4" spans="1:21" x14ac:dyDescent="0.3">
      <c r="A4" s="77" t="s">
        <v>355</v>
      </c>
      <c r="B4" s="25" t="b">
        <f>'General Information'!J60</f>
        <v>0</v>
      </c>
    </row>
    <row r="5" spans="1:21" ht="12.75" customHeight="1" x14ac:dyDescent="0.3">
      <c r="A5" s="77" t="s">
        <v>356</v>
      </c>
      <c r="B5" s="25" t="b">
        <f>'General Information'!K60</f>
        <v>0</v>
      </c>
      <c r="C5" s="25">
        <v>3</v>
      </c>
      <c r="D5" s="25">
        <v>4</v>
      </c>
      <c r="E5" s="25">
        <v>5</v>
      </c>
      <c r="F5" s="25">
        <v>6</v>
      </c>
      <c r="G5" s="24">
        <v>7</v>
      </c>
      <c r="H5" s="25">
        <v>8</v>
      </c>
      <c r="I5" s="24">
        <v>9</v>
      </c>
      <c r="J5" s="24">
        <v>10</v>
      </c>
      <c r="K5" s="27">
        <v>11</v>
      </c>
      <c r="L5" s="27">
        <v>12</v>
      </c>
      <c r="M5" s="27">
        <v>13</v>
      </c>
      <c r="N5" s="27">
        <v>14</v>
      </c>
      <c r="O5" s="27">
        <v>15</v>
      </c>
      <c r="P5" s="27">
        <v>16</v>
      </c>
      <c r="Q5" s="27">
        <v>17</v>
      </c>
      <c r="R5" s="27">
        <v>18</v>
      </c>
      <c r="S5" s="27">
        <v>19</v>
      </c>
      <c r="T5" s="27">
        <v>20</v>
      </c>
    </row>
    <row r="6" spans="1:21" x14ac:dyDescent="0.3">
      <c r="A6" s="77" t="s">
        <v>358</v>
      </c>
      <c r="B6" s="25" t="b">
        <f>'General Information'!L60</f>
        <v>0</v>
      </c>
      <c r="K6" s="27"/>
      <c r="L6" s="27"/>
      <c r="M6" s="27"/>
      <c r="N6" s="27"/>
      <c r="O6" s="27"/>
      <c r="P6" s="27"/>
      <c r="Q6" s="27"/>
      <c r="R6" s="27"/>
      <c r="S6" s="27"/>
      <c r="T6" s="27"/>
    </row>
    <row r="7" spans="1:21" ht="26.25" customHeight="1" x14ac:dyDescent="0.3">
      <c r="K7" s="3026" t="s">
        <v>1104</v>
      </c>
      <c r="L7" s="3027"/>
      <c r="M7" s="3027"/>
      <c r="N7" s="3027"/>
      <c r="O7" s="3027"/>
      <c r="Q7" s="3020" t="s">
        <v>1028</v>
      </c>
      <c r="R7" s="3021"/>
      <c r="S7" s="3021"/>
      <c r="T7" s="3021"/>
      <c r="U7" s="3022"/>
    </row>
    <row r="8" spans="1:21" ht="44.25" customHeight="1" x14ac:dyDescent="0.3">
      <c r="A8" s="441" t="s">
        <v>1019</v>
      </c>
      <c r="B8" s="442" t="b">
        <f>IF(AND(C8=FALSE,D8=FALSE,E8=FALSE,F8=FALSE),TRUE,FALSE)</f>
        <v>1</v>
      </c>
      <c r="C8" s="442" t="b">
        <f>AND(B1=TRUE,B2=FALSE,OR(B3=TRUE,B5=TRUE))</f>
        <v>0</v>
      </c>
      <c r="D8" s="442" t="b">
        <f>AND(B1=FALSE,B2=TRUE,OR(B3=TRUE,B5=TRUE))</f>
        <v>0</v>
      </c>
      <c r="E8" s="442" t="b">
        <f>AND(B1=TRUE,B2=TRUE,OR(B3=TRUE,B5=TRUE))</f>
        <v>0</v>
      </c>
      <c r="F8" s="442" t="b">
        <f>B6</f>
        <v>0</v>
      </c>
      <c r="G8" s="3016" t="s">
        <v>1097</v>
      </c>
      <c r="H8" s="3016" t="s">
        <v>1021</v>
      </c>
      <c r="I8" s="3024" t="s">
        <v>1020</v>
      </c>
      <c r="K8" s="3031" t="s">
        <v>1102</v>
      </c>
      <c r="L8" s="3032"/>
      <c r="M8" s="3033" t="s">
        <v>1106</v>
      </c>
      <c r="N8" s="3033" t="s">
        <v>1027</v>
      </c>
      <c r="O8" s="506" t="s">
        <v>1107</v>
      </c>
      <c r="Q8" s="3035" t="s">
        <v>1100</v>
      </c>
      <c r="R8" s="3028" t="s">
        <v>1101</v>
      </c>
      <c r="S8" s="3030" t="s">
        <v>253</v>
      </c>
      <c r="T8" s="3030" t="s">
        <v>254</v>
      </c>
      <c r="U8" s="3018" t="s">
        <v>1108</v>
      </c>
    </row>
    <row r="9" spans="1:21" s="24" customFormat="1" ht="87" customHeight="1" x14ac:dyDescent="0.3">
      <c r="A9" s="441" t="s">
        <v>1026</v>
      </c>
      <c r="B9" s="443" t="s">
        <v>1022</v>
      </c>
      <c r="C9" s="443" t="s">
        <v>1023</v>
      </c>
      <c r="D9" s="443" t="s">
        <v>1024</v>
      </c>
      <c r="E9" s="443" t="s">
        <v>1025</v>
      </c>
      <c r="F9" s="444" t="s">
        <v>359</v>
      </c>
      <c r="G9" s="3017"/>
      <c r="H9" s="3017"/>
      <c r="I9" s="3025"/>
      <c r="K9" s="456" t="s">
        <v>1098</v>
      </c>
      <c r="L9" s="445" t="s">
        <v>1099</v>
      </c>
      <c r="M9" s="3034"/>
      <c r="N9" s="3034"/>
      <c r="O9" s="456" t="s">
        <v>816</v>
      </c>
      <c r="Q9" s="3036"/>
      <c r="R9" s="3029"/>
      <c r="S9" s="3019"/>
      <c r="T9" s="3019"/>
      <c r="U9" s="3019"/>
    </row>
    <row r="10" spans="1:21" s="361" customFormat="1" ht="33" customHeight="1" x14ac:dyDescent="0.3">
      <c r="A10" s="446" t="str">
        <f>IF($C$8=TRUE,C10,IF($D$8=TRUE,D10,IF($E$8=TRUE,E10,IF($F$8=TRUE,F10,B10))))</f>
        <v>System 1 - PTAC</v>
      </c>
      <c r="B10" s="446" t="s">
        <v>136</v>
      </c>
      <c r="C10" s="446" t="s">
        <v>1039</v>
      </c>
      <c r="D10" s="446" t="s">
        <v>165</v>
      </c>
      <c r="E10" s="446" t="s">
        <v>1041</v>
      </c>
      <c r="F10" s="446" t="s">
        <v>157</v>
      </c>
      <c r="G10" s="508">
        <v>1</v>
      </c>
      <c r="H10" s="447" t="str">
        <f t="array" aca="1" ref="H10" ca="1">IFERROR(INDEX($A$10:$A$19,SMALL((IF(LEN($A$10:$A$19),ROW(INDIRECT("1:"&amp;ROWS($A$10:$A$19))))),ROW(A1)),1),"")</f>
        <v>System 1 - PTAC</v>
      </c>
      <c r="I10" s="448" t="str">
        <f t="array" aca="1" ref="I10" ca="1">IFERROR(INDEX($A$10:$A$29,SMALL((IF(LEN($A$10:$A$29),ROW(INDIRECT("1:"&amp;ROWS($A$10:$A$29))))),ROW(A1)),1),"")</f>
        <v>System 1 - PTAC</v>
      </c>
      <c r="J10" s="341"/>
      <c r="K10" s="378">
        <v>2.9999999999999997E-4</v>
      </c>
      <c r="L10" s="360">
        <v>6.4000000000000005E-4</v>
      </c>
      <c r="M10" s="457">
        <v>0</v>
      </c>
      <c r="N10" s="460">
        <v>0</v>
      </c>
      <c r="O10" s="378">
        <v>0</v>
      </c>
      <c r="Q10" s="467">
        <v>0</v>
      </c>
      <c r="R10" s="468">
        <v>0</v>
      </c>
      <c r="S10" s="465"/>
      <c r="T10" s="466">
        <v>0.82499999999999996</v>
      </c>
      <c r="U10" s="520">
        <f t="shared" ref="U10:U29" si="0">IF(SI_IP_Units="SI",1/T10,0.746/T10)</f>
        <v>1.2121212121212122</v>
      </c>
    </row>
    <row r="11" spans="1:21" s="361" customFormat="1" ht="33" customHeight="1" x14ac:dyDescent="0.3">
      <c r="A11" s="449" t="str">
        <f t="shared" ref="A11:A29" si="1">IF($C$8=TRUE,C11,IF($D$8=TRUE,D11,IF($E$8=TRUE,E11,IF($F$8=TRUE,F11,B11))))</f>
        <v>System 2 - PTHP</v>
      </c>
      <c r="B11" s="449" t="s">
        <v>137</v>
      </c>
      <c r="C11" s="449" t="s">
        <v>1040</v>
      </c>
      <c r="D11" s="450" t="str">
        <f>""</f>
        <v/>
      </c>
      <c r="E11" s="450" t="str">
        <f>""</f>
        <v/>
      </c>
      <c r="F11" s="450" t="str">
        <f>""</f>
        <v/>
      </c>
      <c r="G11" s="509">
        <v>2</v>
      </c>
      <c r="H11" s="451" t="str">
        <f t="array" aca="1" ref="H11" ca="1">IFERROR(INDEX($A$10:$A$19,SMALL((IF(LEN($A$10:$A$19),ROW(INDIRECT("1:"&amp;ROWS($A$10:$A$19))))),ROW(A2)),1),"")</f>
        <v>System 2 - PTHP</v>
      </c>
      <c r="I11" s="452" t="str">
        <f t="array" aca="1" ref="I11" ca="1">IFERROR(INDEX($A$10:$A$29,SMALL((IF(LEN($A$10:$A$29),ROW(INDIRECT("1:"&amp;ROWS($A$10:$A$29))))),ROW(A2)),1),"")</f>
        <v>System 2 - PTHP</v>
      </c>
      <c r="J11" s="341"/>
      <c r="K11" s="365">
        <v>2.9999999999999997E-4</v>
      </c>
      <c r="L11" s="368">
        <v>6.4000000000000005E-4</v>
      </c>
      <c r="M11" s="458">
        <v>0</v>
      </c>
      <c r="N11" s="461">
        <v>0</v>
      </c>
      <c r="O11" s="365">
        <v>0</v>
      </c>
      <c r="Q11" s="453">
        <v>1</v>
      </c>
      <c r="R11" s="463">
        <v>0.8</v>
      </c>
      <c r="S11" s="464">
        <v>0.82499999999999996</v>
      </c>
      <c r="T11" s="464">
        <v>0.84</v>
      </c>
      <c r="U11" s="520">
        <f t="shared" si="0"/>
        <v>1.1904761904761905</v>
      </c>
    </row>
    <row r="12" spans="1:21" s="361" customFormat="1" ht="33" customHeight="1" x14ac:dyDescent="0.3">
      <c r="A12" s="449" t="str">
        <f t="shared" si="1"/>
        <v>System 3 - PSZ-AC</v>
      </c>
      <c r="B12" s="449" t="s">
        <v>138</v>
      </c>
      <c r="C12" s="449" t="s">
        <v>160</v>
      </c>
      <c r="D12" s="449" t="s">
        <v>166</v>
      </c>
      <c r="E12" s="449" t="s">
        <v>170</v>
      </c>
      <c r="F12" s="450" t="str">
        <f>""</f>
        <v/>
      </c>
      <c r="G12" s="509">
        <v>3</v>
      </c>
      <c r="H12" s="451" t="str">
        <f t="array" aca="1" ref="H12" ca="1">IFERROR(INDEX($A$10:$A$19,SMALL((IF(LEN($A$10:$A$19),ROW(INDIRECT("1:"&amp;ROWS($A$10:$A$19))))),ROW(A3)),1),"")</f>
        <v>System 3 - PSZ-AC</v>
      </c>
      <c r="I12" s="452" t="str">
        <f t="array" aca="1" ref="I12" ca="1">IFERROR(INDEX($A$10:$A$29,SMALL((IF(LEN($A$10:$A$29),ROW(INDIRECT("1:"&amp;ROWS($A$10:$A$29))))),ROW(A3)),1),"")</f>
        <v>System 3 - PSZ-AC</v>
      </c>
      <c r="J12" s="341"/>
      <c r="K12" s="365">
        <v>9.3999999999999997E-4</v>
      </c>
      <c r="L12" s="368">
        <v>1.5E-3</v>
      </c>
      <c r="M12" s="458">
        <v>1</v>
      </c>
      <c r="N12" s="461">
        <v>1</v>
      </c>
      <c r="O12" s="365">
        <v>0</v>
      </c>
      <c r="Q12" s="453">
        <v>1.5</v>
      </c>
      <c r="R12" s="463">
        <v>1.1000000000000001</v>
      </c>
      <c r="S12" s="464">
        <v>0.84</v>
      </c>
      <c r="T12" s="464">
        <v>0.84</v>
      </c>
      <c r="U12" s="520">
        <f t="shared" si="0"/>
        <v>1.1904761904761905</v>
      </c>
    </row>
    <row r="13" spans="1:21" s="361" customFormat="1" ht="33" customHeight="1" x14ac:dyDescent="0.3">
      <c r="A13" s="449" t="str">
        <f t="shared" si="1"/>
        <v>System 4 - PSZ-HP</v>
      </c>
      <c r="B13" s="449" t="s">
        <v>139</v>
      </c>
      <c r="C13" s="449" t="s">
        <v>161</v>
      </c>
      <c r="D13" s="450" t="str">
        <f>""</f>
        <v/>
      </c>
      <c r="E13" s="450" t="str">
        <f>""</f>
        <v/>
      </c>
      <c r="F13" s="450" t="str">
        <f>""</f>
        <v/>
      </c>
      <c r="G13" s="509">
        <v>4</v>
      </c>
      <c r="H13" s="451" t="str">
        <f t="array" aca="1" ref="H13" ca="1">IFERROR(INDEX($A$10:$A$19,SMALL((IF(LEN($A$10:$A$19),ROW(INDIRECT("1:"&amp;ROWS($A$10:$A$19))))),ROW(A4)),1),"")</f>
        <v>System 4 - PSZ-HP</v>
      </c>
      <c r="I13" s="452" t="str">
        <f t="array" aca="1" ref="I13" ca="1">IFERROR(INDEX($A$10:$A$29,SMALL((IF(LEN($A$10:$A$29),ROW(INDIRECT("1:"&amp;ROWS($A$10:$A$29))))),ROW(A4)),1),"")</f>
        <v>System 4 - PSZ-HP</v>
      </c>
      <c r="J13" s="341"/>
      <c r="K13" s="365">
        <v>9.3999999999999997E-4</v>
      </c>
      <c r="L13" s="368">
        <v>1.5E-3</v>
      </c>
      <c r="M13" s="458">
        <v>1</v>
      </c>
      <c r="N13" s="461">
        <v>1</v>
      </c>
      <c r="O13" s="365">
        <v>0</v>
      </c>
      <c r="Q13" s="453">
        <v>2</v>
      </c>
      <c r="R13" s="463">
        <v>1.5</v>
      </c>
      <c r="S13" s="464">
        <v>0.84</v>
      </c>
      <c r="T13" s="464">
        <v>0.875</v>
      </c>
      <c r="U13" s="520">
        <f t="shared" si="0"/>
        <v>1.1428571428571428</v>
      </c>
    </row>
    <row r="14" spans="1:21" s="361" customFormat="1" ht="33" customHeight="1" x14ac:dyDescent="0.3">
      <c r="A14" s="449" t="str">
        <f t="shared" si="1"/>
        <v>System 5 - Packaged VAV with Reheat</v>
      </c>
      <c r="B14" s="449" t="s">
        <v>140</v>
      </c>
      <c r="C14" s="449" t="s">
        <v>162</v>
      </c>
      <c r="D14" s="449" t="s">
        <v>167</v>
      </c>
      <c r="E14" s="449" t="s">
        <v>171</v>
      </c>
      <c r="F14" s="450" t="str">
        <f>""</f>
        <v/>
      </c>
      <c r="G14" s="509">
        <v>5</v>
      </c>
      <c r="H14" s="451" t="str">
        <f t="array" aca="1" ref="H14" ca="1">IFERROR(INDEX($A$10:$A$19,SMALL((IF(LEN($A$10:$A$19),ROW(INDIRECT("1:"&amp;ROWS($A$10:$A$19))))),ROW(A5)),1),"")</f>
        <v>System 5 - Packaged VAV with Reheat</v>
      </c>
      <c r="I14" s="452" t="str">
        <f t="array" aca="1" ref="I14" ca="1">IFERROR(INDEX($A$10:$A$29,SMALL((IF(LEN($A$10:$A$29),ROW(INDIRECT("1:"&amp;ROWS($A$10:$A$29))))),ROW(A5)),1),"")</f>
        <v>System 5 - Packaged VAV with Reheat</v>
      </c>
      <c r="J14" s="341"/>
      <c r="K14" s="365">
        <v>1.2999999999999999E-3</v>
      </c>
      <c r="L14" s="368">
        <v>2.0999999999999999E-3</v>
      </c>
      <c r="M14" s="458">
        <v>1</v>
      </c>
      <c r="N14" s="461">
        <v>1</v>
      </c>
      <c r="O14" s="365">
        <v>0</v>
      </c>
      <c r="Q14" s="453">
        <v>3</v>
      </c>
      <c r="R14" s="463">
        <v>2.2000000000000002</v>
      </c>
      <c r="S14" s="464">
        <v>0.875</v>
      </c>
      <c r="T14" s="464">
        <v>0.875</v>
      </c>
      <c r="U14" s="520">
        <f t="shared" si="0"/>
        <v>1.1428571428571428</v>
      </c>
    </row>
    <row r="15" spans="1:21" s="361" customFormat="1" ht="33" customHeight="1" x14ac:dyDescent="0.3">
      <c r="A15" s="449" t="str">
        <f t="shared" si="1"/>
        <v>System 6 - Packaged VAV with PFP Boxes</v>
      </c>
      <c r="B15" s="449" t="s">
        <v>141</v>
      </c>
      <c r="C15" s="449" t="s">
        <v>163</v>
      </c>
      <c r="D15" s="450" t="str">
        <f>""</f>
        <v/>
      </c>
      <c r="E15" s="450" t="str">
        <f>""</f>
        <v/>
      </c>
      <c r="F15" s="450" t="str">
        <f>""</f>
        <v/>
      </c>
      <c r="G15" s="509">
        <v>6</v>
      </c>
      <c r="H15" s="451" t="str">
        <f t="array" aca="1" ref="H15" ca="1">IFERROR(INDEX($A$10:$A$19,SMALL((IF(LEN($A$10:$A$19),ROW(INDIRECT("1:"&amp;ROWS($A$10:$A$19))))),ROW(A6)),1),"")</f>
        <v>System 6 - Packaged VAV with PFP Boxes</v>
      </c>
      <c r="I15" s="452" t="str">
        <f t="array" aca="1" ref="I15" ca="1">IFERROR(INDEX($A$10:$A$29,SMALL((IF(LEN($A$10:$A$29),ROW(INDIRECT("1:"&amp;ROWS($A$10:$A$29))))),ROW(A6)),1),"")</f>
        <v>System 6 - Packaged VAV with PFP Boxes</v>
      </c>
      <c r="J15" s="341"/>
      <c r="K15" s="365">
        <v>1.2999999999999999E-3</v>
      </c>
      <c r="L15" s="368">
        <v>2.0999999999999999E-3</v>
      </c>
      <c r="M15" s="458">
        <v>1</v>
      </c>
      <c r="N15" s="461">
        <v>1</v>
      </c>
      <c r="O15" s="365">
        <v>0</v>
      </c>
      <c r="Q15" s="453">
        <v>5</v>
      </c>
      <c r="R15" s="463">
        <v>3.7</v>
      </c>
      <c r="S15" s="464">
        <v>0.875</v>
      </c>
      <c r="T15" s="464">
        <v>0.89500000000000002</v>
      </c>
      <c r="U15" s="520">
        <f t="shared" si="0"/>
        <v>1.1173184357541899</v>
      </c>
    </row>
    <row r="16" spans="1:21" s="361" customFormat="1" ht="33" customHeight="1" x14ac:dyDescent="0.3">
      <c r="A16" s="449" t="str">
        <f t="shared" si="1"/>
        <v>System 7 - VAV with Reheat</v>
      </c>
      <c r="B16" s="449" t="s">
        <v>142</v>
      </c>
      <c r="C16" s="449" t="s">
        <v>164</v>
      </c>
      <c r="D16" s="449" t="s">
        <v>168</v>
      </c>
      <c r="E16" s="449" t="s">
        <v>1038</v>
      </c>
      <c r="F16" s="450" t="str">
        <f>""</f>
        <v/>
      </c>
      <c r="G16" s="509">
        <v>7</v>
      </c>
      <c r="H16" s="451" t="str">
        <f t="array" aca="1" ref="H16" ca="1">IFERROR(INDEX($A$10:$A$19,SMALL((IF(LEN($A$10:$A$19),ROW(INDIRECT("1:"&amp;ROWS($A$10:$A$19))))),ROW(A7)),1),"")</f>
        <v>System 7 - VAV with Reheat</v>
      </c>
      <c r="I16" s="452" t="str">
        <f t="array" aca="1" ref="I16" ca="1">IFERROR(INDEX($A$10:$A$29,SMALL((IF(LEN($A$10:$A$29),ROW(INDIRECT("1:"&amp;ROWS($A$10:$A$29))))),ROW(A7)),1),"")</f>
        <v>System 7 - VAV with Reheat</v>
      </c>
      <c r="J16" s="341"/>
      <c r="K16" s="365">
        <v>1.2999999999999999E-3</v>
      </c>
      <c r="L16" s="368">
        <v>2.0999999999999999E-3</v>
      </c>
      <c r="M16" s="458">
        <v>1</v>
      </c>
      <c r="N16" s="461">
        <v>1</v>
      </c>
      <c r="O16" s="365">
        <v>0</v>
      </c>
      <c r="Q16" s="453">
        <v>7.5</v>
      </c>
      <c r="R16" s="463">
        <v>5.6</v>
      </c>
      <c r="S16" s="464">
        <v>0.89500000000000002</v>
      </c>
      <c r="T16" s="464">
        <v>0.89500000000000002</v>
      </c>
      <c r="U16" s="520">
        <f t="shared" si="0"/>
        <v>1.1173184357541899</v>
      </c>
    </row>
    <row r="17" spans="1:21" s="361" customFormat="1" ht="33" customHeight="1" x14ac:dyDescent="0.3">
      <c r="A17" s="449" t="str">
        <f t="shared" si="1"/>
        <v>System 8 - VAV with PFP Boxes</v>
      </c>
      <c r="B17" s="449" t="s">
        <v>143</v>
      </c>
      <c r="C17" s="449" t="s">
        <v>2042</v>
      </c>
      <c r="D17" s="450" t="str">
        <f>""</f>
        <v/>
      </c>
      <c r="E17" s="450" t="str">
        <f>""</f>
        <v/>
      </c>
      <c r="F17" s="450" t="str">
        <f>""</f>
        <v/>
      </c>
      <c r="G17" s="509">
        <v>8</v>
      </c>
      <c r="H17" s="451" t="str">
        <f t="array" aca="1" ref="H17" ca="1">IFERROR(INDEX($A$10:$A$19,SMALL((IF(LEN($A$10:$A$19),ROW(INDIRECT("1:"&amp;ROWS($A$10:$A$19))))),ROW(A8)),1),"")</f>
        <v>System 8 - VAV with PFP Boxes</v>
      </c>
      <c r="I17" s="452" t="str">
        <f t="array" aca="1" ref="I17" ca="1">IFERROR(INDEX($A$10:$A$29,SMALL((IF(LEN($A$10:$A$29),ROW(INDIRECT("1:"&amp;ROWS($A$10:$A$29))))),ROW(A8)),1),"")</f>
        <v>System 8 - VAV with PFP Boxes</v>
      </c>
      <c r="J17" s="341"/>
      <c r="K17" s="365">
        <v>1.2999999999999999E-3</v>
      </c>
      <c r="L17" s="368">
        <v>2.0999999999999999E-3</v>
      </c>
      <c r="M17" s="458">
        <v>1</v>
      </c>
      <c r="N17" s="461">
        <v>1</v>
      </c>
      <c r="O17" s="365">
        <v>0</v>
      </c>
      <c r="Q17" s="453">
        <v>10</v>
      </c>
      <c r="R17" s="463">
        <v>7.5</v>
      </c>
      <c r="S17" s="464">
        <v>0.89500000000000002</v>
      </c>
      <c r="T17" s="464">
        <v>0.91</v>
      </c>
      <c r="U17" s="520">
        <f t="shared" si="0"/>
        <v>1.0989010989010988</v>
      </c>
    </row>
    <row r="18" spans="1:21" s="361" customFormat="1" ht="33" customHeight="1" x14ac:dyDescent="0.3">
      <c r="A18" s="449" t="str">
        <f t="shared" si="1"/>
        <v>System 9 - Heating and Ventilation</v>
      </c>
      <c r="B18" s="449" t="s">
        <v>144</v>
      </c>
      <c r="C18" s="449" t="s">
        <v>144</v>
      </c>
      <c r="D18" s="449" t="s">
        <v>169</v>
      </c>
      <c r="E18" s="449" t="s">
        <v>169</v>
      </c>
      <c r="F18" s="450" t="str">
        <f>""</f>
        <v/>
      </c>
      <c r="G18" s="509">
        <v>9</v>
      </c>
      <c r="H18" s="451" t="str">
        <f t="array" aca="1" ref="H18" ca="1">IFERROR(INDEX($A$10:$A$19,SMALL((IF(LEN($A$10:$A$19),ROW(INDIRECT("1:"&amp;ROWS($A$10:$A$19))))),ROW(A9)),1),"")</f>
        <v>System 9 - Heating and Ventilation</v>
      </c>
      <c r="I18" s="452" t="str">
        <f t="array" aca="1" ref="I18" ca="1">IFERROR(INDEX($A$10:$A$29,SMALL((IF(LEN($A$10:$A$29),ROW(INDIRECT("1:"&amp;ROWS($A$10:$A$29))))),ROW(A9)),1),"")</f>
        <v>System 9 - Heating and Ventilation</v>
      </c>
      <c r="J18" s="341"/>
      <c r="K18" s="365">
        <v>2.9999999999999997E-4</v>
      </c>
      <c r="L18" s="368">
        <v>6.4000000000000005E-4</v>
      </c>
      <c r="M18" s="458">
        <v>0</v>
      </c>
      <c r="N18" s="461">
        <v>0</v>
      </c>
      <c r="O18" s="365">
        <v>1</v>
      </c>
      <c r="Q18" s="453">
        <v>15</v>
      </c>
      <c r="R18" s="463">
        <v>11.1</v>
      </c>
      <c r="S18" s="464">
        <v>0.91</v>
      </c>
      <c r="T18" s="464">
        <v>0.91</v>
      </c>
      <c r="U18" s="520">
        <f t="shared" si="0"/>
        <v>1.0989010989010988</v>
      </c>
    </row>
    <row r="19" spans="1:21" s="361" customFormat="1" ht="33" customHeight="1" x14ac:dyDescent="0.3">
      <c r="A19" s="449" t="str">
        <f t="shared" si="1"/>
        <v>System 10 - Heating and Ventilation</v>
      </c>
      <c r="B19" s="449" t="s">
        <v>145</v>
      </c>
      <c r="C19" s="449" t="s">
        <v>145</v>
      </c>
      <c r="D19" s="450" t="str">
        <f>""</f>
        <v/>
      </c>
      <c r="E19" s="450" t="str">
        <f>""</f>
        <v/>
      </c>
      <c r="F19" s="450" t="str">
        <f>""</f>
        <v/>
      </c>
      <c r="G19" s="509">
        <v>10</v>
      </c>
      <c r="H19" s="451" t="str">
        <f t="array" aca="1" ref="H19" ca="1">IFERROR(INDEX($A$10:$A$19,SMALL((IF(LEN($A$10:$A$19),ROW(INDIRECT("1:"&amp;ROWS($A$10:$A$19))))),ROW(A10)),1),"")</f>
        <v>System 10 - Heating and Ventilation</v>
      </c>
      <c r="I19" s="452" t="str">
        <f t="array" aca="1" ref="I19" ca="1">IFERROR(INDEX($A$10:$A$29,SMALL((IF(LEN($A$10:$A$29),ROW(INDIRECT("1:"&amp;ROWS($A$10:$A$29))))),ROW(A10)),1),"")</f>
        <v>System 10 - Heating and Ventilation</v>
      </c>
      <c r="J19" s="341"/>
      <c r="K19" s="365">
        <v>2.9999999999999997E-4</v>
      </c>
      <c r="L19" s="368">
        <v>6.4000000000000005E-4</v>
      </c>
      <c r="M19" s="458">
        <v>0</v>
      </c>
      <c r="N19" s="461">
        <v>0</v>
      </c>
      <c r="O19" s="365">
        <v>1</v>
      </c>
      <c r="Q19" s="453">
        <v>20</v>
      </c>
      <c r="R19" s="463">
        <v>14.9</v>
      </c>
      <c r="S19" s="464">
        <v>0.91</v>
      </c>
      <c r="T19" s="464">
        <v>0.92400000000000004</v>
      </c>
      <c r="U19" s="520">
        <f t="shared" si="0"/>
        <v>1.0822510822510822</v>
      </c>
    </row>
    <row r="20" spans="1:21" s="361" customFormat="1" ht="33" customHeight="1" x14ac:dyDescent="0.3">
      <c r="A20" s="449" t="str">
        <f t="shared" si="1"/>
        <v/>
      </c>
      <c r="B20" s="450" t="str">
        <f>""</f>
        <v/>
      </c>
      <c r="C20" s="449" t="s">
        <v>136</v>
      </c>
      <c r="D20" s="449" t="s">
        <v>136</v>
      </c>
      <c r="E20" s="449" t="s">
        <v>136</v>
      </c>
      <c r="F20" s="450" t="str">
        <f>""</f>
        <v/>
      </c>
      <c r="G20" s="509">
        <v>1</v>
      </c>
      <c r="H20" s="451" t="str">
        <f t="array" aca="1" ref="H20" ca="1">IFERROR(INDEX($A$10:$A$19,SMALL((IF(LEN($A$10:$A$19),ROW(INDIRECT("1:"&amp;ROWS($A$10:$A$19))))),ROW(A11)),1),"")</f>
        <v/>
      </c>
      <c r="I20" s="452" t="str">
        <f t="array" aca="1" ref="I20" ca="1">IFERROR(INDEX($A$10:$A$29,SMALL((IF(LEN($A$10:$A$29),ROW(INDIRECT("1:"&amp;ROWS($A$10:$A$29))))),ROW(A11)),1),"")</f>
        <v/>
      </c>
      <c r="J20" s="341"/>
      <c r="K20" s="365">
        <v>2.9999999999999997E-4</v>
      </c>
      <c r="L20" s="368">
        <v>6.4000000000000005E-4</v>
      </c>
      <c r="M20" s="458">
        <v>0</v>
      </c>
      <c r="N20" s="461">
        <v>0</v>
      </c>
      <c r="O20" s="365">
        <v>0</v>
      </c>
      <c r="Q20" s="453">
        <v>25</v>
      </c>
      <c r="R20" s="463">
        <v>18.7</v>
      </c>
      <c r="S20" s="464">
        <v>0.92400000000000004</v>
      </c>
      <c r="T20" s="464">
        <v>0.92400000000000004</v>
      </c>
      <c r="U20" s="520">
        <f t="shared" si="0"/>
        <v>1.0822510822510822</v>
      </c>
    </row>
    <row r="21" spans="1:21" s="361" customFormat="1" ht="33" customHeight="1" x14ac:dyDescent="0.3">
      <c r="A21" s="449" t="str">
        <f t="shared" si="1"/>
        <v/>
      </c>
      <c r="B21" s="450" t="str">
        <f>""</f>
        <v/>
      </c>
      <c r="C21" s="449" t="s">
        <v>137</v>
      </c>
      <c r="D21" s="449" t="s">
        <v>137</v>
      </c>
      <c r="E21" s="449" t="s">
        <v>137</v>
      </c>
      <c r="F21" s="450" t="str">
        <f>""</f>
        <v/>
      </c>
      <c r="G21" s="509">
        <v>2</v>
      </c>
      <c r="H21" s="451" t="str">
        <f t="array" aca="1" ref="H21" ca="1">IFERROR(INDEX($A$10:$A$19,SMALL((IF(LEN($A$10:$A$19),ROW(INDIRECT("1:"&amp;ROWS($A$10:$A$19))))),ROW(A12)),1),"")</f>
        <v/>
      </c>
      <c r="I21" s="452" t="str">
        <f t="array" aca="1" ref="I21" ca="1">IFERROR(INDEX($A$10:$A$29,SMALL((IF(LEN($A$10:$A$29),ROW(INDIRECT("1:"&amp;ROWS($A$10:$A$29))))),ROW(A12)),1),"")</f>
        <v/>
      </c>
      <c r="J21" s="341"/>
      <c r="K21" s="365">
        <v>2.9999999999999997E-4</v>
      </c>
      <c r="L21" s="368">
        <v>6.4000000000000005E-4</v>
      </c>
      <c r="M21" s="458">
        <v>0</v>
      </c>
      <c r="N21" s="461">
        <v>0</v>
      </c>
      <c r="O21" s="365">
        <v>0</v>
      </c>
      <c r="Q21" s="453">
        <v>30</v>
      </c>
      <c r="R21" s="463">
        <v>22.4</v>
      </c>
      <c r="S21" s="464">
        <v>0.92400000000000004</v>
      </c>
      <c r="T21" s="464">
        <v>0.93</v>
      </c>
      <c r="U21" s="520">
        <f t="shared" si="0"/>
        <v>1.075268817204301</v>
      </c>
    </row>
    <row r="22" spans="1:21" s="361" customFormat="1" ht="33" customHeight="1" x14ac:dyDescent="0.3">
      <c r="A22" s="449" t="str">
        <f t="shared" si="1"/>
        <v/>
      </c>
      <c r="B22" s="450" t="str">
        <f>""</f>
        <v/>
      </c>
      <c r="C22" s="449" t="s">
        <v>138</v>
      </c>
      <c r="D22" s="449" t="s">
        <v>138</v>
      </c>
      <c r="E22" s="449" t="s">
        <v>138</v>
      </c>
      <c r="F22" s="450" t="str">
        <f>""</f>
        <v/>
      </c>
      <c r="G22" s="509">
        <v>3</v>
      </c>
      <c r="H22" s="451" t="str">
        <f t="array" aca="1" ref="H22" ca="1">IFERROR(INDEX($A$10:$A$19,SMALL((IF(LEN($A$10:$A$19),ROW(INDIRECT("1:"&amp;ROWS($A$10:$A$19))))),ROW(A13)),1),"")</f>
        <v/>
      </c>
      <c r="I22" s="452" t="str">
        <f t="array" aca="1" ref="I22" ca="1">IFERROR(INDEX($A$10:$A$29,SMALL((IF(LEN($A$10:$A$29),ROW(INDIRECT("1:"&amp;ROWS($A$10:$A$29))))),ROW(A13)),1),"")</f>
        <v/>
      </c>
      <c r="J22" s="341"/>
      <c r="K22" s="365">
        <v>9.3999999999999997E-4</v>
      </c>
      <c r="L22" s="368">
        <v>1.5E-3</v>
      </c>
      <c r="M22" s="458">
        <v>1</v>
      </c>
      <c r="N22" s="461">
        <v>1</v>
      </c>
      <c r="O22" s="365">
        <v>0</v>
      </c>
      <c r="Q22" s="453">
        <v>40</v>
      </c>
      <c r="R22" s="463">
        <v>29.8</v>
      </c>
      <c r="S22" s="464">
        <v>0.93</v>
      </c>
      <c r="T22" s="464">
        <v>0.93</v>
      </c>
      <c r="U22" s="520">
        <f t="shared" si="0"/>
        <v>1.075268817204301</v>
      </c>
    </row>
    <row r="23" spans="1:21" s="361" customFormat="1" ht="33" customHeight="1" x14ac:dyDescent="0.3">
      <c r="A23" s="449" t="str">
        <f t="shared" si="1"/>
        <v/>
      </c>
      <c r="B23" s="450" t="str">
        <f>""</f>
        <v/>
      </c>
      <c r="C23" s="449" t="s">
        <v>139</v>
      </c>
      <c r="D23" s="449" t="s">
        <v>139</v>
      </c>
      <c r="E23" s="449" t="s">
        <v>139</v>
      </c>
      <c r="F23" s="450" t="str">
        <f>""</f>
        <v/>
      </c>
      <c r="G23" s="509">
        <v>4</v>
      </c>
      <c r="H23" s="451" t="str">
        <f t="array" aca="1" ref="H23" ca="1">IFERROR(INDEX($A$10:$A$19,SMALL((IF(LEN($A$10:$A$19),ROW(INDIRECT("1:"&amp;ROWS($A$10:$A$19))))),ROW(A14)),1),"")</f>
        <v/>
      </c>
      <c r="I23" s="452" t="str">
        <f t="array" aca="1" ref="I23" ca="1">IFERROR(INDEX($A$10:$A$29,SMALL((IF(LEN($A$10:$A$29),ROW(INDIRECT("1:"&amp;ROWS($A$10:$A$29))))),ROW(A14)),1),"")</f>
        <v/>
      </c>
      <c r="J23" s="341"/>
      <c r="K23" s="365">
        <v>9.3999999999999997E-4</v>
      </c>
      <c r="L23" s="368">
        <v>1.5E-3</v>
      </c>
      <c r="M23" s="458">
        <v>1</v>
      </c>
      <c r="N23" s="461">
        <v>1</v>
      </c>
      <c r="O23" s="365">
        <v>0</v>
      </c>
      <c r="Q23" s="453">
        <v>50</v>
      </c>
      <c r="R23" s="463">
        <v>37.299999999999997</v>
      </c>
      <c r="S23" s="464">
        <v>0.93</v>
      </c>
      <c r="T23" s="464">
        <v>0.93600000000000005</v>
      </c>
      <c r="U23" s="520">
        <f t="shared" si="0"/>
        <v>1.0683760683760684</v>
      </c>
    </row>
    <row r="24" spans="1:21" s="361" customFormat="1" ht="33" customHeight="1" x14ac:dyDescent="0.3">
      <c r="A24" s="449" t="str">
        <f t="shared" si="1"/>
        <v/>
      </c>
      <c r="B24" s="450" t="str">
        <f>""</f>
        <v/>
      </c>
      <c r="C24" s="449" t="s">
        <v>140</v>
      </c>
      <c r="D24" s="449" t="s">
        <v>140</v>
      </c>
      <c r="E24" s="449" t="s">
        <v>140</v>
      </c>
      <c r="F24" s="450" t="str">
        <f>""</f>
        <v/>
      </c>
      <c r="G24" s="509">
        <v>5</v>
      </c>
      <c r="H24" s="451" t="str">
        <f t="array" aca="1" ref="H24" ca="1">IFERROR(INDEX($A$10:$A$19,SMALL((IF(LEN($A$10:$A$19),ROW(INDIRECT("1:"&amp;ROWS($A$10:$A$19))))),ROW(A15)),1),"")</f>
        <v/>
      </c>
      <c r="I24" s="452" t="str">
        <f t="array" aca="1" ref="I24" ca="1">IFERROR(INDEX($A$10:$A$29,SMALL((IF(LEN($A$10:$A$29),ROW(INDIRECT("1:"&amp;ROWS($A$10:$A$29))))),ROW(A15)),1),"")</f>
        <v/>
      </c>
      <c r="J24" s="341"/>
      <c r="K24" s="365">
        <v>1.2999999999999999E-3</v>
      </c>
      <c r="L24" s="368">
        <v>2.0999999999999999E-3</v>
      </c>
      <c r="M24" s="458">
        <v>1</v>
      </c>
      <c r="N24" s="461">
        <v>1</v>
      </c>
      <c r="O24" s="365">
        <v>0</v>
      </c>
      <c r="Q24" s="453">
        <v>60</v>
      </c>
      <c r="R24" s="463">
        <v>44.8</v>
      </c>
      <c r="S24" s="464">
        <v>0.93600000000000005</v>
      </c>
      <c r="T24" s="464">
        <v>0.94099999999999995</v>
      </c>
      <c r="U24" s="520">
        <f t="shared" si="0"/>
        <v>1.0626992561105209</v>
      </c>
    </row>
    <row r="25" spans="1:21" s="361" customFormat="1" ht="33" customHeight="1" x14ac:dyDescent="0.3">
      <c r="A25" s="449" t="str">
        <f t="shared" si="1"/>
        <v/>
      </c>
      <c r="B25" s="450" t="str">
        <f>""</f>
        <v/>
      </c>
      <c r="C25" s="449" t="s">
        <v>141</v>
      </c>
      <c r="D25" s="449" t="s">
        <v>141</v>
      </c>
      <c r="E25" s="449" t="s">
        <v>141</v>
      </c>
      <c r="F25" s="450" t="str">
        <f>""</f>
        <v/>
      </c>
      <c r="G25" s="509">
        <v>6</v>
      </c>
      <c r="H25" s="451" t="str">
        <f t="array" aca="1" ref="H25" ca="1">IFERROR(INDEX($A$10:$A$19,SMALL((IF(LEN($A$10:$A$19),ROW(INDIRECT("1:"&amp;ROWS($A$10:$A$19))))),ROW(A16)),1),"")</f>
        <v/>
      </c>
      <c r="I25" s="452" t="str">
        <f t="array" aca="1" ref="I25" ca="1">IFERROR(INDEX($A$10:$A$29,SMALL((IF(LEN($A$10:$A$29),ROW(INDIRECT("1:"&amp;ROWS($A$10:$A$29))))),ROW(A16)),1),"")</f>
        <v/>
      </c>
      <c r="J25" s="341"/>
      <c r="K25" s="365">
        <v>1.2999999999999999E-3</v>
      </c>
      <c r="L25" s="368">
        <v>2.0999999999999999E-3</v>
      </c>
      <c r="M25" s="458">
        <v>1</v>
      </c>
      <c r="N25" s="461">
        <v>1</v>
      </c>
      <c r="O25" s="365">
        <v>0</v>
      </c>
      <c r="Q25" s="453">
        <v>75</v>
      </c>
      <c r="R25" s="463">
        <v>56</v>
      </c>
      <c r="S25" s="464">
        <v>0.94099999999999995</v>
      </c>
      <c r="T25" s="464">
        <v>0.94499999999999995</v>
      </c>
      <c r="U25" s="520">
        <f t="shared" si="0"/>
        <v>1.0582010582010584</v>
      </c>
    </row>
    <row r="26" spans="1:21" s="361" customFormat="1" ht="33" customHeight="1" x14ac:dyDescent="0.3">
      <c r="A26" s="449" t="str">
        <f t="shared" si="1"/>
        <v/>
      </c>
      <c r="B26" s="450" t="str">
        <f>""</f>
        <v/>
      </c>
      <c r="C26" s="449" t="s">
        <v>142</v>
      </c>
      <c r="D26" s="449" t="s">
        <v>142</v>
      </c>
      <c r="E26" s="449" t="s">
        <v>142</v>
      </c>
      <c r="F26" s="450" t="str">
        <f>""</f>
        <v/>
      </c>
      <c r="G26" s="509">
        <v>7</v>
      </c>
      <c r="H26" s="451" t="str">
        <f t="array" aca="1" ref="H26" ca="1">IFERROR(INDEX($A$10:$A$19,SMALL((IF(LEN($A$10:$A$19),ROW(INDIRECT("1:"&amp;ROWS($A$10:$A$19))))),ROW(A17)),1),"")</f>
        <v/>
      </c>
      <c r="I26" s="452" t="str">
        <f t="array" aca="1" ref="I26" ca="1">IFERROR(INDEX($A$10:$A$29,SMALL((IF(LEN($A$10:$A$29),ROW(INDIRECT("1:"&amp;ROWS($A$10:$A$29))))),ROW(A17)),1),"")</f>
        <v/>
      </c>
      <c r="J26" s="341"/>
      <c r="K26" s="365">
        <v>1.2999999999999999E-3</v>
      </c>
      <c r="L26" s="368">
        <v>2.0999999999999999E-3</v>
      </c>
      <c r="M26" s="458">
        <v>1</v>
      </c>
      <c r="N26" s="461">
        <v>1</v>
      </c>
      <c r="O26" s="365">
        <v>0</v>
      </c>
      <c r="Q26" s="453">
        <v>100</v>
      </c>
      <c r="R26" s="463">
        <v>74.599999999999994</v>
      </c>
      <c r="S26" s="464">
        <v>0.94499999999999995</v>
      </c>
      <c r="T26" s="464">
        <v>0.94499999999999995</v>
      </c>
      <c r="U26" s="520">
        <f t="shared" si="0"/>
        <v>1.0582010582010584</v>
      </c>
    </row>
    <row r="27" spans="1:21" s="361" customFormat="1" ht="33" customHeight="1" x14ac:dyDescent="0.3">
      <c r="A27" s="449" t="str">
        <f t="shared" si="1"/>
        <v/>
      </c>
      <c r="B27" s="450" t="str">
        <f>""</f>
        <v/>
      </c>
      <c r="C27" s="449" t="s">
        <v>143</v>
      </c>
      <c r="D27" s="449" t="s">
        <v>143</v>
      </c>
      <c r="E27" s="449" t="s">
        <v>143</v>
      </c>
      <c r="F27" s="450" t="str">
        <f>""</f>
        <v/>
      </c>
      <c r="G27" s="509">
        <v>8</v>
      </c>
      <c r="H27" s="451" t="str">
        <f t="array" aca="1" ref="H27" ca="1">IFERROR(INDEX($A$10:$A$19,SMALL((IF(LEN($A$10:$A$19),ROW(INDIRECT("1:"&amp;ROWS($A$10:$A$19))))),ROW(A18)),1),"")</f>
        <v/>
      </c>
      <c r="I27" s="452" t="str">
        <f t="array" aca="1" ref="I27" ca="1">IFERROR(INDEX($A$10:$A$29,SMALL((IF(LEN($A$10:$A$29),ROW(INDIRECT("1:"&amp;ROWS($A$10:$A$29))))),ROW(A18)),1),"")</f>
        <v/>
      </c>
      <c r="J27" s="341"/>
      <c r="K27" s="365">
        <v>1.2999999999999999E-3</v>
      </c>
      <c r="L27" s="368">
        <v>2.0999999999999999E-3</v>
      </c>
      <c r="M27" s="458">
        <v>1</v>
      </c>
      <c r="N27" s="461">
        <v>1</v>
      </c>
      <c r="O27" s="365">
        <v>0</v>
      </c>
      <c r="Q27" s="453">
        <v>125</v>
      </c>
      <c r="R27" s="463">
        <v>93.3</v>
      </c>
      <c r="S27" s="464">
        <v>0.94499999999999995</v>
      </c>
      <c r="T27" s="464">
        <v>0.95</v>
      </c>
      <c r="U27" s="520">
        <f t="shared" si="0"/>
        <v>1.0526315789473684</v>
      </c>
    </row>
    <row r="28" spans="1:21" s="361" customFormat="1" ht="33" customHeight="1" x14ac:dyDescent="0.3">
      <c r="A28" s="449" t="str">
        <f t="shared" si="1"/>
        <v/>
      </c>
      <c r="B28" s="450" t="str">
        <f>""</f>
        <v/>
      </c>
      <c r="C28" s="450" t="str">
        <f>""</f>
        <v/>
      </c>
      <c r="D28" s="449" t="s">
        <v>144</v>
      </c>
      <c r="E28" s="449" t="s">
        <v>144</v>
      </c>
      <c r="F28" s="450" t="str">
        <f>""</f>
        <v/>
      </c>
      <c r="G28" s="509">
        <v>9</v>
      </c>
      <c r="H28" s="451" t="str">
        <f t="array" aca="1" ref="H28" ca="1">IFERROR(INDEX($A$10:$A$19,SMALL((IF(LEN($A$10:$A$19),ROW(INDIRECT("1:"&amp;ROWS($A$10:$A$19))))),ROW(A19)),1),"")</f>
        <v/>
      </c>
      <c r="I28" s="452" t="str">
        <f t="array" aca="1" ref="I28" ca="1">IFERROR(INDEX($A$10:$A$29,SMALL((IF(LEN($A$10:$A$29),ROW(INDIRECT("1:"&amp;ROWS($A$10:$A$29))))),ROW(A19)),1),"")</f>
        <v/>
      </c>
      <c r="J28" s="341"/>
      <c r="K28" s="365">
        <v>2.9999999999999997E-4</v>
      </c>
      <c r="L28" s="368">
        <v>6.4000000000000005E-4</v>
      </c>
      <c r="M28" s="458">
        <v>0</v>
      </c>
      <c r="N28" s="461">
        <v>0</v>
      </c>
      <c r="O28" s="365">
        <v>1</v>
      </c>
      <c r="Q28" s="453">
        <v>150</v>
      </c>
      <c r="R28" s="463">
        <v>111.9</v>
      </c>
      <c r="S28" s="464">
        <v>0.95</v>
      </c>
      <c r="T28" s="464">
        <v>0.95</v>
      </c>
      <c r="U28" s="520">
        <f t="shared" si="0"/>
        <v>1.0526315789473684</v>
      </c>
    </row>
    <row r="29" spans="1:21" s="361" customFormat="1" ht="33" customHeight="1" x14ac:dyDescent="0.3">
      <c r="A29" s="454" t="str">
        <f t="shared" si="1"/>
        <v/>
      </c>
      <c r="B29" s="455" t="str">
        <f>""</f>
        <v/>
      </c>
      <c r="C29" s="455" t="str">
        <f>""</f>
        <v/>
      </c>
      <c r="D29" s="454" t="s">
        <v>145</v>
      </c>
      <c r="E29" s="454" t="s">
        <v>145</v>
      </c>
      <c r="F29" s="455" t="str">
        <f>""</f>
        <v/>
      </c>
      <c r="G29" s="509">
        <v>10</v>
      </c>
      <c r="H29" s="451" t="str">
        <f t="array" aca="1" ref="H29" ca="1">IFERROR(INDEX($A$10:$A$19,SMALL((IF(LEN($A$10:$A$19),ROW(INDIRECT("1:"&amp;ROWS($A$10:$A$19))))),ROW(A20)),1),"")</f>
        <v/>
      </c>
      <c r="I29" s="452" t="str">
        <f t="array" aca="1" ref="I29" ca="1">IFERROR(INDEX($A$10:$A$29,SMALL((IF(LEN($A$10:$A$29),ROW(INDIRECT("1:"&amp;ROWS($A$10:$A$29))))),ROW(A20)),1),"")</f>
        <v/>
      </c>
      <c r="J29" s="341"/>
      <c r="K29" s="369">
        <v>2.9999999999999997E-4</v>
      </c>
      <c r="L29" s="372">
        <v>6.4000000000000005E-4</v>
      </c>
      <c r="M29" s="459">
        <v>0</v>
      </c>
      <c r="N29" s="462">
        <v>0</v>
      </c>
      <c r="O29" s="369">
        <v>1</v>
      </c>
      <c r="Q29" s="474">
        <v>200</v>
      </c>
      <c r="R29" s="475">
        <v>149.19999999999999</v>
      </c>
      <c r="S29" s="476">
        <v>0.95</v>
      </c>
      <c r="T29" s="476">
        <v>0.95</v>
      </c>
      <c r="U29" s="520">
        <f t="shared" si="0"/>
        <v>1.0526315789473684</v>
      </c>
    </row>
    <row r="30" spans="1:21" ht="30.75" customHeight="1" x14ac:dyDescent="0.3">
      <c r="Q30" s="3023" t="s">
        <v>1029</v>
      </c>
      <c r="R30" s="3023"/>
      <c r="S30" s="3023"/>
      <c r="T30" s="3023"/>
    </row>
    <row r="31" spans="1:21" x14ac:dyDescent="0.3">
      <c r="F31" s="24"/>
    </row>
  </sheetData>
  <sheetProtection algorithmName="SHA-512" hashValue="k9EuMw4Xz/sq/xrIXhsFJS+2iRcBlGPXhIj2P0afoi3JfSZqAxYN8iuDPiLH1wKiyWW/at2Lc8BTQk794V/PYA==" saltValue="oulqi/LG6hTbjc8irIWNzA==" spinCount="100000" sheet="1" objects="1" scenarios="1"/>
  <customSheetViews>
    <customSheetView guid="{75D6F8CE-A4F4-4FDD-BA92-7996F9E19FA9}" scale="80" showGridLines="0">
      <pageMargins left="0.7" right="0.7" top="0.75" bottom="0.75" header="0.3" footer="0.3"/>
      <pageSetup orientation="portrait"/>
    </customSheetView>
  </customSheetViews>
  <mergeCells count="14">
    <mergeCell ref="G8:G9"/>
    <mergeCell ref="U8:U9"/>
    <mergeCell ref="Q7:U7"/>
    <mergeCell ref="Q30:T30"/>
    <mergeCell ref="H8:H9"/>
    <mergeCell ref="I8:I9"/>
    <mergeCell ref="K7:O7"/>
    <mergeCell ref="R8:R9"/>
    <mergeCell ref="S8:S9"/>
    <mergeCell ref="T8:T9"/>
    <mergeCell ref="K8:L8"/>
    <mergeCell ref="M8:M9"/>
    <mergeCell ref="N8:N9"/>
    <mergeCell ref="Q8:Q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9">
    <tabColor theme="0"/>
  </sheetPr>
  <dimension ref="A1:V127"/>
  <sheetViews>
    <sheetView workbookViewId="0">
      <selection activeCell="D4" sqref="D4"/>
    </sheetView>
  </sheetViews>
  <sheetFormatPr defaultColWidth="8.6640625" defaultRowHeight="14.4" x14ac:dyDescent="0.3"/>
  <cols>
    <col min="1" max="1" width="8.6640625" style="152"/>
    <col min="2" max="2" width="21.109375" style="152" customWidth="1"/>
    <col min="3" max="3" width="21" style="152" customWidth="1"/>
    <col min="4" max="4" width="14.33203125" style="152" bestFit="1" customWidth="1"/>
    <col min="5" max="5" width="12.44140625" style="152" bestFit="1" customWidth="1"/>
    <col min="6" max="6" width="14.109375" style="152" customWidth="1"/>
    <col min="7" max="7" width="12.44140625" style="152" bestFit="1" customWidth="1"/>
    <col min="8" max="9" width="8.6640625" style="152"/>
    <col min="10" max="10" width="17.6640625" style="152" bestFit="1" customWidth="1"/>
    <col min="11" max="13" width="8.6640625" style="152"/>
    <col min="14" max="14" width="11.33203125" style="152" customWidth="1"/>
    <col min="15" max="15" width="11" style="152" bestFit="1" customWidth="1"/>
    <col min="16" max="16" width="8.6640625" style="152"/>
    <col min="17" max="17" width="11.44140625" style="152" bestFit="1" customWidth="1"/>
    <col min="18" max="18" width="8.6640625" style="152"/>
    <col min="19" max="19" width="11" style="152" bestFit="1" customWidth="1"/>
    <col min="20" max="16384" width="8.6640625" style="152"/>
  </cols>
  <sheetData>
    <row r="1" spans="1:22" ht="21" x14ac:dyDescent="0.4">
      <c r="A1" s="190" t="s">
        <v>807</v>
      </c>
      <c r="B1" s="153"/>
      <c r="C1" s="153"/>
      <c r="D1" s="153"/>
      <c r="E1" s="153"/>
      <c r="F1" s="153"/>
      <c r="G1" s="153"/>
      <c r="H1" s="153"/>
      <c r="I1" s="153"/>
      <c r="J1" s="153"/>
      <c r="K1" s="153"/>
      <c r="L1" s="153"/>
      <c r="M1" s="153"/>
      <c r="N1" s="153"/>
      <c r="O1" s="153"/>
      <c r="P1" s="153"/>
      <c r="Q1" s="153"/>
      <c r="R1" s="153"/>
      <c r="S1" s="153"/>
      <c r="T1" s="153"/>
      <c r="U1" s="153"/>
      <c r="V1" s="153"/>
    </row>
    <row r="2" spans="1:22" ht="21" x14ac:dyDescent="0.4">
      <c r="A2" s="190"/>
      <c r="B2" s="153"/>
      <c r="C2" s="153"/>
      <c r="D2" s="153"/>
      <c r="E2" s="153"/>
      <c r="F2" s="153"/>
      <c r="G2" s="153"/>
      <c r="H2" s="153"/>
      <c r="I2" s="153"/>
      <c r="J2" s="153"/>
      <c r="K2" s="153"/>
      <c r="L2" s="153"/>
      <c r="M2" s="153"/>
      <c r="N2" s="153"/>
      <c r="O2" s="153"/>
      <c r="P2" s="153"/>
      <c r="Q2" s="153"/>
      <c r="R2" s="153"/>
      <c r="S2" s="153"/>
      <c r="T2" s="153"/>
      <c r="U2" s="153"/>
      <c r="V2" s="153"/>
    </row>
    <row r="3" spans="1:22" x14ac:dyDescent="0.3">
      <c r="A3" s="153"/>
      <c r="B3" s="189" t="s">
        <v>806</v>
      </c>
      <c r="C3" s="174"/>
      <c r="D3" s="174"/>
      <c r="E3" s="174"/>
      <c r="F3" s="174"/>
      <c r="G3" s="174"/>
      <c r="H3" s="174"/>
      <c r="I3" s="174"/>
      <c r="J3" s="174"/>
      <c r="K3" s="174"/>
      <c r="L3" s="188"/>
      <c r="M3" s="174"/>
      <c r="N3" s="188"/>
      <c r="O3" s="174"/>
      <c r="P3" s="174"/>
      <c r="Q3" s="174"/>
      <c r="R3" s="174"/>
      <c r="S3" s="174"/>
      <c r="T3" s="174"/>
      <c r="U3" s="174"/>
      <c r="V3" s="173"/>
    </row>
    <row r="4" spans="1:22" x14ac:dyDescent="0.3">
      <c r="A4" s="153"/>
      <c r="B4" s="187" t="s">
        <v>805</v>
      </c>
      <c r="C4" s="153"/>
      <c r="D4" s="153"/>
      <c r="E4" s="153"/>
      <c r="F4" s="153"/>
      <c r="G4" s="153"/>
      <c r="H4" s="153"/>
      <c r="I4" s="153"/>
      <c r="J4" s="153"/>
      <c r="K4" s="153"/>
      <c r="L4" s="153"/>
      <c r="M4" s="153"/>
      <c r="N4" s="153"/>
      <c r="O4" s="153"/>
      <c r="P4" s="153"/>
      <c r="Q4" s="153"/>
      <c r="R4" s="153"/>
      <c r="S4" s="153"/>
      <c r="T4" s="153"/>
      <c r="U4" s="153"/>
      <c r="V4" s="167"/>
    </row>
    <row r="5" spans="1:22" x14ac:dyDescent="0.3">
      <c r="A5" s="153"/>
      <c r="B5" s="187" t="s">
        <v>804</v>
      </c>
      <c r="C5" s="153"/>
      <c r="D5" s="153"/>
      <c r="E5" s="153"/>
      <c r="F5" s="153"/>
      <c r="G5" s="153"/>
      <c r="H5" s="153"/>
      <c r="I5" s="153"/>
      <c r="J5" s="153"/>
      <c r="K5" s="153"/>
      <c r="L5" s="153"/>
      <c r="M5" s="153"/>
      <c r="N5" s="153"/>
      <c r="O5" s="153"/>
      <c r="P5" s="153"/>
      <c r="Q5" s="153"/>
      <c r="R5" s="153"/>
      <c r="S5" s="153"/>
      <c r="T5" s="153"/>
      <c r="U5" s="153"/>
      <c r="V5" s="167"/>
    </row>
    <row r="6" spans="1:22" x14ac:dyDescent="0.3">
      <c r="A6" s="153"/>
      <c r="B6" s="187" t="s">
        <v>803</v>
      </c>
      <c r="C6" s="153"/>
      <c r="D6" s="153"/>
      <c r="E6" s="153"/>
      <c r="F6" s="153"/>
      <c r="G6" s="153"/>
      <c r="H6" s="153"/>
      <c r="I6" s="153"/>
      <c r="J6" s="153"/>
      <c r="K6" s="153"/>
      <c r="L6" s="153"/>
      <c r="M6" s="153"/>
      <c r="N6" s="153"/>
      <c r="O6" s="153"/>
      <c r="P6" s="153"/>
      <c r="Q6" s="153"/>
      <c r="R6" s="153"/>
      <c r="S6" s="153"/>
      <c r="T6" s="153"/>
      <c r="U6" s="153"/>
      <c r="V6" s="167"/>
    </row>
    <row r="7" spans="1:22" x14ac:dyDescent="0.3">
      <c r="A7" s="153"/>
      <c r="B7" s="187" t="s">
        <v>802</v>
      </c>
      <c r="C7" s="153"/>
      <c r="D7" s="153"/>
      <c r="E7" s="153"/>
      <c r="F7" s="153"/>
      <c r="G7" s="153"/>
      <c r="H7" s="153"/>
      <c r="I7" s="153"/>
      <c r="J7" s="153"/>
      <c r="K7" s="153"/>
      <c r="L7" s="153"/>
      <c r="M7" s="153"/>
      <c r="N7" s="153"/>
      <c r="O7" s="153"/>
      <c r="P7" s="153"/>
      <c r="Q7" s="153"/>
      <c r="R7" s="153"/>
      <c r="S7" s="153"/>
      <c r="T7" s="153"/>
      <c r="U7" s="153"/>
      <c r="V7" s="167"/>
    </row>
    <row r="8" spans="1:22" x14ac:dyDescent="0.3">
      <c r="A8" s="153"/>
      <c r="B8" s="187" t="s">
        <v>801</v>
      </c>
      <c r="C8" s="153"/>
      <c r="D8" s="153"/>
      <c r="E8" s="153"/>
      <c r="F8" s="153"/>
      <c r="G8" s="153"/>
      <c r="H8" s="153"/>
      <c r="I8" s="153"/>
      <c r="J8" s="153"/>
      <c r="K8" s="153"/>
      <c r="L8" s="153"/>
      <c r="M8" s="153"/>
      <c r="N8" s="153"/>
      <c r="O8" s="153"/>
      <c r="P8" s="153"/>
      <c r="Q8" s="153"/>
      <c r="R8" s="153"/>
      <c r="S8" s="153"/>
      <c r="T8" s="153"/>
      <c r="U8" s="153"/>
      <c r="V8" s="167"/>
    </row>
    <row r="9" spans="1:22" x14ac:dyDescent="0.3">
      <c r="A9" s="153"/>
      <c r="B9" s="187" t="s">
        <v>800</v>
      </c>
      <c r="C9" s="153"/>
      <c r="D9" s="153"/>
      <c r="E9" s="153"/>
      <c r="F9" s="153"/>
      <c r="G9" s="153"/>
      <c r="H9" s="153"/>
      <c r="I9" s="153"/>
      <c r="J9" s="153"/>
      <c r="K9" s="153"/>
      <c r="L9" s="153"/>
      <c r="M9" s="153"/>
      <c r="N9" s="153"/>
      <c r="O9" s="153"/>
      <c r="P9" s="153"/>
      <c r="Q9" s="153"/>
      <c r="R9" s="153"/>
      <c r="S9" s="153"/>
      <c r="T9" s="153"/>
      <c r="U9" s="153"/>
      <c r="V9" s="167"/>
    </row>
    <row r="10" spans="1:22" x14ac:dyDescent="0.3">
      <c r="A10" s="153"/>
      <c r="B10" s="187" t="s">
        <v>799</v>
      </c>
      <c r="C10" s="153"/>
      <c r="D10" s="153"/>
      <c r="E10" s="153"/>
      <c r="F10" s="153"/>
      <c r="G10" s="153"/>
      <c r="H10" s="153"/>
      <c r="I10" s="153"/>
      <c r="J10" s="153"/>
      <c r="K10" s="153"/>
      <c r="L10" s="153"/>
      <c r="M10" s="153"/>
      <c r="N10" s="153"/>
      <c r="O10" s="153"/>
      <c r="P10" s="153"/>
      <c r="Q10" s="153"/>
      <c r="R10" s="153"/>
      <c r="S10" s="153"/>
      <c r="T10" s="153"/>
      <c r="U10" s="153"/>
      <c r="V10" s="167"/>
    </row>
    <row r="11" spans="1:22" x14ac:dyDescent="0.3">
      <c r="A11" s="153"/>
      <c r="B11" s="187" t="s">
        <v>798</v>
      </c>
      <c r="C11" s="153"/>
      <c r="D11" s="153"/>
      <c r="E11" s="153"/>
      <c r="F11" s="153"/>
      <c r="G11" s="153"/>
      <c r="H11" s="153"/>
      <c r="I11" s="153"/>
      <c r="J11" s="153"/>
      <c r="K11" s="153"/>
      <c r="L11" s="153"/>
      <c r="M11" s="153"/>
      <c r="N11" s="153"/>
      <c r="O11" s="153"/>
      <c r="P11" s="153"/>
      <c r="Q11" s="153"/>
      <c r="R11" s="153"/>
      <c r="S11" s="153"/>
      <c r="T11" s="153"/>
      <c r="U11" s="153"/>
      <c r="V11" s="167"/>
    </row>
    <row r="12" spans="1:22" x14ac:dyDescent="0.3">
      <c r="A12" s="153"/>
      <c r="B12" s="187" t="s">
        <v>744</v>
      </c>
      <c r="C12" s="153"/>
      <c r="D12" s="153"/>
      <c r="E12" s="153"/>
      <c r="F12" s="153"/>
      <c r="G12" s="153"/>
      <c r="H12" s="153"/>
      <c r="I12" s="153"/>
      <c r="J12" s="153"/>
      <c r="K12" s="153"/>
      <c r="L12" s="153"/>
      <c r="M12" s="153"/>
      <c r="N12" s="153"/>
      <c r="O12" s="153"/>
      <c r="P12" s="153"/>
      <c r="Q12" s="153"/>
      <c r="R12" s="153"/>
      <c r="S12" s="153"/>
      <c r="T12" s="153"/>
      <c r="U12" s="153"/>
      <c r="V12" s="167"/>
    </row>
    <row r="13" spans="1:22" x14ac:dyDescent="0.3">
      <c r="A13" s="153"/>
      <c r="B13" s="186" t="s">
        <v>743</v>
      </c>
      <c r="C13" s="185"/>
      <c r="D13" s="185"/>
      <c r="E13" s="185"/>
      <c r="F13" s="185"/>
      <c r="G13" s="185"/>
      <c r="H13" s="185"/>
      <c r="I13" s="185"/>
      <c r="J13" s="185"/>
      <c r="K13" s="185"/>
      <c r="L13" s="185"/>
      <c r="M13" s="185"/>
      <c r="N13" s="185"/>
      <c r="O13" s="185"/>
      <c r="P13" s="185"/>
      <c r="Q13" s="185"/>
      <c r="R13" s="185"/>
      <c r="S13" s="185"/>
      <c r="T13" s="185"/>
      <c r="U13" s="185"/>
      <c r="V13" s="184"/>
    </row>
    <row r="14" spans="1:22" x14ac:dyDescent="0.3">
      <c r="A14" s="153"/>
      <c r="B14" s="153"/>
      <c r="C14" s="153"/>
      <c r="D14" s="153"/>
      <c r="E14" s="153"/>
      <c r="F14" s="153"/>
      <c r="G14" s="153"/>
      <c r="H14" s="153"/>
      <c r="I14" s="153"/>
      <c r="J14" s="153"/>
      <c r="K14" s="153"/>
      <c r="L14" s="153"/>
      <c r="M14" s="153"/>
      <c r="N14" s="153"/>
      <c r="O14" s="153"/>
      <c r="P14" s="153"/>
      <c r="Q14" s="153"/>
      <c r="R14" s="153"/>
      <c r="S14" s="153"/>
      <c r="T14" s="153"/>
      <c r="U14" s="153"/>
      <c r="V14" s="153"/>
    </row>
    <row r="15" spans="1:22" x14ac:dyDescent="0.3">
      <c r="A15" s="153"/>
      <c r="B15" s="175" t="s">
        <v>797</v>
      </c>
      <c r="C15" s="174"/>
      <c r="D15" s="174"/>
      <c r="E15" s="174"/>
      <c r="F15" s="174"/>
      <c r="G15" s="174"/>
      <c r="H15" s="174"/>
      <c r="I15" s="174"/>
      <c r="J15" s="174"/>
      <c r="K15" s="174"/>
      <c r="L15" s="174"/>
      <c r="M15" s="174"/>
      <c r="N15" s="174"/>
      <c r="O15" s="174"/>
      <c r="P15" s="174"/>
      <c r="Q15" s="174"/>
      <c r="R15" s="174"/>
      <c r="S15" s="174"/>
      <c r="T15" s="174"/>
      <c r="U15" s="174"/>
      <c r="V15" s="173"/>
    </row>
    <row r="16" spans="1:22" x14ac:dyDescent="0.3">
      <c r="A16" s="153"/>
      <c r="B16" s="187"/>
      <c r="C16" s="154" t="s">
        <v>796</v>
      </c>
      <c r="D16" s="153"/>
      <c r="E16" s="215">
        <v>3000</v>
      </c>
      <c r="F16" s="153"/>
      <c r="G16" s="153"/>
      <c r="H16" s="153"/>
      <c r="I16" s="153"/>
      <c r="J16" s="153"/>
      <c r="K16" s="153"/>
      <c r="L16" s="153"/>
      <c r="M16" s="153"/>
      <c r="N16" s="153"/>
      <c r="O16" s="153"/>
      <c r="P16" s="153"/>
      <c r="Q16" s="153"/>
      <c r="R16" s="153"/>
      <c r="S16" s="153"/>
      <c r="T16" s="153"/>
      <c r="U16" s="153"/>
      <c r="V16" s="167"/>
    </row>
    <row r="17" spans="1:22" x14ac:dyDescent="0.3">
      <c r="A17" s="153"/>
      <c r="B17" s="187"/>
      <c r="C17" s="154" t="s">
        <v>795</v>
      </c>
      <c r="D17" s="153"/>
      <c r="E17" s="215">
        <v>1500</v>
      </c>
      <c r="F17" s="153"/>
      <c r="G17" s="153"/>
      <c r="H17" s="153"/>
      <c r="I17" s="153"/>
      <c r="J17" s="153"/>
      <c r="K17" s="153"/>
      <c r="L17" s="153"/>
      <c r="M17" s="153"/>
      <c r="N17" s="153"/>
      <c r="O17" s="153"/>
      <c r="P17" s="153"/>
      <c r="Q17" s="153"/>
      <c r="R17" s="153"/>
      <c r="S17" s="153"/>
      <c r="T17" s="153"/>
      <c r="U17" s="153"/>
      <c r="V17" s="167"/>
    </row>
    <row r="18" spans="1:22" x14ac:dyDescent="0.3">
      <c r="A18" s="153"/>
      <c r="B18" s="170"/>
      <c r="C18" s="153"/>
      <c r="D18" s="153"/>
      <c r="E18" s="153"/>
      <c r="F18" s="153"/>
      <c r="G18" s="153"/>
      <c r="H18" s="153"/>
      <c r="I18" s="153"/>
      <c r="J18" s="153"/>
      <c r="K18" s="153"/>
      <c r="L18" s="153"/>
      <c r="M18" s="153"/>
      <c r="N18" s="153"/>
      <c r="O18" s="153"/>
      <c r="P18" s="153"/>
      <c r="Q18" s="153"/>
      <c r="R18" s="153"/>
      <c r="S18" s="153"/>
      <c r="T18" s="153"/>
      <c r="U18" s="153"/>
      <c r="V18" s="167"/>
    </row>
    <row r="19" spans="1:22" x14ac:dyDescent="0.3">
      <c r="A19" s="153"/>
      <c r="B19" s="170"/>
      <c r="C19" s="153"/>
      <c r="D19" s="153"/>
      <c r="E19" s="153"/>
      <c r="F19" s="153"/>
      <c r="G19" s="153"/>
      <c r="H19" s="153"/>
      <c r="I19" s="153"/>
      <c r="J19" s="153"/>
      <c r="K19" s="153"/>
      <c r="L19" s="153"/>
      <c r="M19" s="153"/>
      <c r="N19" s="153"/>
      <c r="O19" s="153"/>
      <c r="P19" s="153"/>
      <c r="Q19" s="153"/>
      <c r="R19" s="153"/>
      <c r="S19" s="153"/>
      <c r="T19" s="153"/>
      <c r="U19" s="153"/>
      <c r="V19" s="167"/>
    </row>
    <row r="20" spans="1:22" x14ac:dyDescent="0.3">
      <c r="A20" s="153"/>
      <c r="B20" s="187"/>
      <c r="C20" s="199"/>
      <c r="D20" s="199" t="s">
        <v>794</v>
      </c>
      <c r="E20" s="199" t="s">
        <v>793</v>
      </c>
      <c r="F20" s="199" t="s">
        <v>792</v>
      </c>
      <c r="G20" s="199" t="s">
        <v>761</v>
      </c>
      <c r="H20" s="199" t="s">
        <v>760</v>
      </c>
      <c r="I20" s="199" t="s">
        <v>791</v>
      </c>
      <c r="J20" s="199" t="s">
        <v>758</v>
      </c>
      <c r="K20" s="199" t="s">
        <v>757</v>
      </c>
      <c r="L20" s="199" t="s">
        <v>756</v>
      </c>
      <c r="M20" s="199" t="s">
        <v>790</v>
      </c>
      <c r="N20" s="153"/>
      <c r="O20" s="153"/>
      <c r="P20" s="153"/>
      <c r="Q20" s="153"/>
      <c r="R20" s="153"/>
      <c r="S20" s="153"/>
      <c r="T20" s="153"/>
      <c r="U20" s="153"/>
      <c r="V20" s="167"/>
    </row>
    <row r="21" spans="1:22" x14ac:dyDescent="0.3">
      <c r="A21" s="153"/>
      <c r="B21" s="187"/>
      <c r="C21" s="214" t="s">
        <v>789</v>
      </c>
      <c r="D21" s="213">
        <f>$E$16</f>
        <v>3000</v>
      </c>
      <c r="E21" s="199"/>
      <c r="F21" s="213"/>
      <c r="G21" s="213">
        <f>$E$16</f>
        <v>3000</v>
      </c>
      <c r="H21" s="199"/>
      <c r="I21" s="213"/>
      <c r="J21" s="213">
        <f t="shared" ref="J21:K23" si="0">$E$16</f>
        <v>3000</v>
      </c>
      <c r="K21" s="213">
        <f t="shared" si="0"/>
        <v>3000</v>
      </c>
      <c r="L21" s="199"/>
      <c r="M21" s="213"/>
      <c r="N21" s="153"/>
      <c r="O21" s="153"/>
      <c r="P21" s="153"/>
      <c r="Q21" s="153"/>
      <c r="R21" s="153"/>
      <c r="S21" s="153"/>
      <c r="T21" s="153"/>
      <c r="U21" s="153"/>
      <c r="V21" s="167"/>
    </row>
    <row r="22" spans="1:22" x14ac:dyDescent="0.3">
      <c r="A22" s="153"/>
      <c r="B22" s="187"/>
      <c r="C22" s="214" t="s">
        <v>788</v>
      </c>
      <c r="D22" s="213">
        <f>$E$16</f>
        <v>3000</v>
      </c>
      <c r="E22" s="213">
        <f>40%*D21</f>
        <v>1200</v>
      </c>
      <c r="F22" s="213"/>
      <c r="G22" s="213">
        <f>$E$16</f>
        <v>3000</v>
      </c>
      <c r="H22" s="213">
        <f>40%*G21</f>
        <v>1200</v>
      </c>
      <c r="I22" s="213"/>
      <c r="J22" s="213">
        <f t="shared" si="0"/>
        <v>3000</v>
      </c>
      <c r="K22" s="213">
        <f t="shared" si="0"/>
        <v>3000</v>
      </c>
      <c r="L22" s="213">
        <f>40%*K21</f>
        <v>1200</v>
      </c>
      <c r="M22" s="213"/>
      <c r="N22" s="153"/>
      <c r="O22" s="153"/>
      <c r="P22" s="153"/>
      <c r="Q22" s="153"/>
      <c r="R22" s="153"/>
      <c r="S22" s="153"/>
      <c r="T22" s="153"/>
      <c r="U22" s="153"/>
      <c r="V22" s="167"/>
    </row>
    <row r="23" spans="1:22" x14ac:dyDescent="0.3">
      <c r="A23" s="153"/>
      <c r="B23" s="187"/>
      <c r="C23" s="214" t="s">
        <v>787</v>
      </c>
      <c r="D23" s="213">
        <f>$E$16</f>
        <v>3000</v>
      </c>
      <c r="E23" s="213">
        <f>50%*D22</f>
        <v>1500</v>
      </c>
      <c r="F23" s="213">
        <f>20%*D23</f>
        <v>600</v>
      </c>
      <c r="G23" s="213">
        <f>$E$16</f>
        <v>3000</v>
      </c>
      <c r="H23" s="213">
        <f>50%*G22</f>
        <v>1500</v>
      </c>
      <c r="I23" s="213">
        <f>20%*G23</f>
        <v>600</v>
      </c>
      <c r="J23" s="213">
        <f t="shared" si="0"/>
        <v>3000</v>
      </c>
      <c r="K23" s="213">
        <f t="shared" si="0"/>
        <v>3000</v>
      </c>
      <c r="L23" s="213">
        <f>50%*K22</f>
        <v>1500</v>
      </c>
      <c r="M23" s="213">
        <f>20%*K23</f>
        <v>600</v>
      </c>
      <c r="N23" s="153"/>
      <c r="O23" s="153"/>
      <c r="P23" s="153"/>
      <c r="Q23" s="153"/>
      <c r="R23" s="153"/>
      <c r="S23" s="153"/>
      <c r="T23" s="153"/>
      <c r="U23" s="153"/>
      <c r="V23" s="167"/>
    </row>
    <row r="24" spans="1:22" x14ac:dyDescent="0.3">
      <c r="A24" s="153"/>
      <c r="B24" s="186"/>
      <c r="C24" s="185"/>
      <c r="D24" s="185"/>
      <c r="E24" s="185"/>
      <c r="F24" s="185"/>
      <c r="G24" s="185"/>
      <c r="H24" s="185"/>
      <c r="I24" s="185"/>
      <c r="J24" s="185"/>
      <c r="K24" s="185"/>
      <c r="L24" s="185"/>
      <c r="M24" s="185"/>
      <c r="N24" s="185"/>
      <c r="O24" s="185"/>
      <c r="P24" s="185"/>
      <c r="Q24" s="185"/>
      <c r="R24" s="185"/>
      <c r="S24" s="185"/>
      <c r="T24" s="185"/>
      <c r="U24" s="185"/>
      <c r="V24" s="184"/>
    </row>
    <row r="25" spans="1:22" x14ac:dyDescent="0.3">
      <c r="A25" s="153"/>
      <c r="B25" s="154" t="s">
        <v>786</v>
      </c>
      <c r="C25" s="153"/>
      <c r="D25" s="153"/>
      <c r="E25" s="153"/>
      <c r="F25" s="153"/>
      <c r="G25" s="153"/>
      <c r="H25" s="153"/>
      <c r="I25" s="153"/>
      <c r="J25" s="153"/>
      <c r="K25" s="153"/>
      <c r="L25" s="153"/>
      <c r="M25" s="153"/>
      <c r="N25" s="153"/>
      <c r="O25" s="153"/>
      <c r="P25" s="153"/>
      <c r="Q25" s="153"/>
      <c r="R25" s="153"/>
      <c r="S25" s="153"/>
      <c r="T25" s="153"/>
      <c r="U25" s="153"/>
      <c r="V25" s="153"/>
    </row>
    <row r="26" spans="1:22" x14ac:dyDescent="0.3">
      <c r="A26" s="153"/>
      <c r="B26" s="154"/>
      <c r="C26" s="153"/>
      <c r="D26" s="153"/>
      <c r="E26" s="153"/>
      <c r="F26" s="153"/>
      <c r="G26" s="153"/>
      <c r="H26" s="153"/>
      <c r="I26" s="153"/>
      <c r="J26" s="153"/>
      <c r="K26" s="153"/>
      <c r="L26" s="153"/>
      <c r="M26" s="153"/>
      <c r="N26" s="153"/>
      <c r="O26" s="153"/>
      <c r="P26" s="153"/>
      <c r="Q26" s="153"/>
      <c r="R26" s="153"/>
      <c r="S26" s="153"/>
      <c r="T26" s="153"/>
      <c r="U26" s="153"/>
      <c r="V26" s="153"/>
    </row>
    <row r="27" spans="1:22" x14ac:dyDescent="0.3">
      <c r="A27" s="153"/>
      <c r="B27" s="154" t="s">
        <v>785</v>
      </c>
      <c r="C27" s="153">
        <v>38.200000000000003</v>
      </c>
      <c r="D27" s="153" t="s">
        <v>784</v>
      </c>
      <c r="E27" s="153"/>
      <c r="F27" s="153"/>
      <c r="G27" s="153"/>
      <c r="H27" s="153"/>
      <c r="I27" s="153"/>
      <c r="J27" s="153"/>
      <c r="K27" s="153"/>
      <c r="L27" s="153"/>
      <c r="M27" s="153"/>
      <c r="N27" s="153"/>
      <c r="O27" s="153"/>
      <c r="P27" s="153"/>
      <c r="Q27" s="153"/>
      <c r="R27" s="153"/>
      <c r="S27" s="153"/>
      <c r="T27" s="153"/>
      <c r="U27" s="153"/>
      <c r="V27" s="153"/>
    </row>
    <row r="28" spans="1:22" x14ac:dyDescent="0.3">
      <c r="A28" s="153"/>
      <c r="B28" s="153"/>
      <c r="C28" s="153"/>
      <c r="D28" s="153"/>
      <c r="E28" s="153"/>
      <c r="F28" s="153"/>
      <c r="G28" s="153"/>
      <c r="H28" s="153"/>
      <c r="I28" s="153"/>
      <c r="J28" s="153"/>
      <c r="K28" s="153"/>
      <c r="L28" s="153"/>
      <c r="M28" s="153"/>
      <c r="N28" s="153"/>
      <c r="O28" s="153"/>
      <c r="P28" s="153"/>
      <c r="Q28" s="153"/>
      <c r="R28" s="153"/>
      <c r="S28" s="153"/>
      <c r="T28" s="153"/>
      <c r="U28" s="153"/>
      <c r="V28" s="153"/>
    </row>
    <row r="29" spans="1:22" x14ac:dyDescent="0.3">
      <c r="A29" s="153"/>
      <c r="B29" s="153"/>
      <c r="C29" s="153" t="s">
        <v>723</v>
      </c>
      <c r="D29" s="153" t="s">
        <v>772</v>
      </c>
      <c r="E29" s="172" t="s">
        <v>722</v>
      </c>
      <c r="F29" s="153">
        <v>3</v>
      </c>
      <c r="G29" s="153" t="s">
        <v>773</v>
      </c>
      <c r="H29" s="171" t="s">
        <v>720</v>
      </c>
      <c r="I29" s="153">
        <f>C27</f>
        <v>38.200000000000003</v>
      </c>
      <c r="J29" s="153" t="s">
        <v>784</v>
      </c>
      <c r="K29" s="171" t="s">
        <v>720</v>
      </c>
      <c r="L29" s="209">
        <v>0.9</v>
      </c>
      <c r="M29" s="153" t="s">
        <v>783</v>
      </c>
      <c r="N29" s="153"/>
      <c r="O29" s="153"/>
      <c r="P29" s="153" t="s">
        <v>465</v>
      </c>
      <c r="Q29" s="153">
        <v>0.746</v>
      </c>
      <c r="R29" s="153" t="s">
        <v>782</v>
      </c>
      <c r="S29" s="153"/>
      <c r="T29" s="153"/>
      <c r="U29" s="153"/>
      <c r="V29" s="153"/>
    </row>
    <row r="30" spans="1:22" x14ac:dyDescent="0.3">
      <c r="A30" s="153"/>
      <c r="B30" s="154"/>
      <c r="C30" s="212">
        <f>3/38.2/90%*0.746</f>
        <v>6.5095986038394421E-2</v>
      </c>
      <c r="D30" s="153" t="s">
        <v>772</v>
      </c>
      <c r="E30" s="153"/>
      <c r="F30" s="153"/>
      <c r="G30" s="153"/>
      <c r="H30" s="153"/>
      <c r="I30" s="153"/>
      <c r="J30" s="153"/>
      <c r="K30" s="153"/>
      <c r="L30" s="153"/>
      <c r="M30" s="153"/>
      <c r="N30" s="153"/>
      <c r="O30" s="153"/>
      <c r="P30" s="153"/>
      <c r="Q30" s="153"/>
      <c r="R30" s="153"/>
      <c r="S30" s="153"/>
      <c r="T30" s="153"/>
      <c r="U30" s="153"/>
      <c r="V30" s="153"/>
    </row>
    <row r="31" spans="1:22" x14ac:dyDescent="0.3">
      <c r="A31" s="153"/>
      <c r="B31" s="154"/>
      <c r="C31" s="153"/>
      <c r="D31" s="153"/>
      <c r="E31" s="153"/>
      <c r="F31" s="153"/>
      <c r="G31" s="153"/>
      <c r="H31" s="153"/>
      <c r="I31" s="153"/>
      <c r="J31" s="153"/>
      <c r="K31" s="153"/>
      <c r="L31" s="153"/>
      <c r="M31" s="153"/>
      <c r="N31" s="153"/>
      <c r="O31" s="153"/>
      <c r="P31" s="153"/>
      <c r="Q31" s="153"/>
      <c r="R31" s="153"/>
      <c r="S31" s="153"/>
      <c r="T31" s="153"/>
      <c r="U31" s="153"/>
      <c r="V31" s="153"/>
    </row>
    <row r="32" spans="1:22" x14ac:dyDescent="0.3">
      <c r="A32" s="153"/>
      <c r="B32" s="154"/>
      <c r="C32" s="153" t="s">
        <v>723</v>
      </c>
      <c r="D32" s="153" t="s">
        <v>778</v>
      </c>
      <c r="E32" s="153" t="s">
        <v>722</v>
      </c>
      <c r="F32" s="210">
        <f>C30</f>
        <v>6.5095986038394421E-2</v>
      </c>
      <c r="G32" s="153" t="s">
        <v>772</v>
      </c>
      <c r="H32" s="171" t="s">
        <v>465</v>
      </c>
      <c r="I32" s="209">
        <v>0.38</v>
      </c>
      <c r="J32" s="153" t="s">
        <v>781</v>
      </c>
      <c r="K32" s="153"/>
      <c r="L32" s="153" t="s">
        <v>465</v>
      </c>
      <c r="M32" s="211">
        <f>$E$16</f>
        <v>3000</v>
      </c>
      <c r="N32" s="153" t="s">
        <v>780</v>
      </c>
      <c r="O32" s="153"/>
      <c r="P32" s="171" t="s">
        <v>720</v>
      </c>
      <c r="Q32" s="211">
        <f>$E$17</f>
        <v>1500</v>
      </c>
      <c r="R32" s="153" t="s">
        <v>779</v>
      </c>
      <c r="S32" s="153"/>
      <c r="T32" s="153"/>
      <c r="U32" s="153"/>
      <c r="V32" s="153"/>
    </row>
    <row r="33" spans="1:22" x14ac:dyDescent="0.3">
      <c r="A33" s="153"/>
      <c r="B33" s="154"/>
      <c r="C33" s="207">
        <f>F32*I32*M32/Q32</f>
        <v>4.9472949389179753E-2</v>
      </c>
      <c r="D33" s="168" t="s">
        <v>778</v>
      </c>
      <c r="E33" s="153"/>
      <c r="F33" s="210"/>
      <c r="G33" s="153"/>
      <c r="H33" s="171"/>
      <c r="I33" s="209"/>
      <c r="J33" s="153"/>
      <c r="K33" s="153"/>
      <c r="L33" s="153"/>
      <c r="M33" s="153"/>
      <c r="N33" s="153"/>
      <c r="O33" s="153"/>
      <c r="P33" s="171"/>
      <c r="Q33" s="153"/>
      <c r="R33" s="153"/>
      <c r="S33" s="153"/>
      <c r="T33" s="153"/>
      <c r="U33" s="153"/>
      <c r="V33" s="153"/>
    </row>
    <row r="34" spans="1:22" x14ac:dyDescent="0.3">
      <c r="A34" s="153"/>
      <c r="B34" s="154"/>
      <c r="C34" s="153"/>
      <c r="D34" s="153"/>
      <c r="E34" s="153"/>
      <c r="F34" s="153"/>
      <c r="G34" s="153"/>
      <c r="H34" s="153"/>
      <c r="I34" s="153"/>
      <c r="J34" s="153"/>
      <c r="K34" s="153"/>
      <c r="L34" s="153"/>
      <c r="M34" s="153"/>
      <c r="N34" s="153"/>
      <c r="O34" s="153"/>
      <c r="P34" s="153"/>
      <c r="Q34" s="153"/>
      <c r="R34" s="153"/>
      <c r="S34" s="153"/>
      <c r="T34" s="153"/>
      <c r="U34" s="153"/>
      <c r="V34" s="153"/>
    </row>
    <row r="35" spans="1:22" x14ac:dyDescent="0.3">
      <c r="A35" s="153"/>
      <c r="B35" s="154"/>
      <c r="C35" s="153"/>
      <c r="D35" s="153"/>
      <c r="E35" s="153"/>
      <c r="F35" s="153"/>
      <c r="G35" s="153"/>
      <c r="H35" s="153"/>
      <c r="I35" s="153"/>
      <c r="J35" s="153"/>
      <c r="K35" s="153"/>
      <c r="L35" s="153"/>
      <c r="M35" s="153"/>
      <c r="N35" s="153"/>
      <c r="O35" s="153"/>
      <c r="P35" s="153"/>
      <c r="Q35" s="153"/>
      <c r="R35" s="153"/>
      <c r="S35" s="153"/>
      <c r="T35" s="153"/>
      <c r="U35" s="153"/>
      <c r="V35" s="153"/>
    </row>
    <row r="36" spans="1:22" x14ac:dyDescent="0.3">
      <c r="A36" s="153"/>
      <c r="B36" s="154" t="s">
        <v>777</v>
      </c>
      <c r="C36" s="153"/>
      <c r="D36" s="153"/>
      <c r="E36" s="153"/>
      <c r="F36" s="153"/>
      <c r="G36" s="153"/>
      <c r="H36" s="153"/>
      <c r="I36" s="153"/>
      <c r="J36" s="153"/>
      <c r="K36" s="153"/>
      <c r="L36" s="153"/>
      <c r="M36" s="153"/>
      <c r="N36" s="153"/>
      <c r="O36" s="153"/>
      <c r="P36" s="153"/>
      <c r="Q36" s="153"/>
      <c r="R36" s="153"/>
      <c r="S36" s="153"/>
      <c r="T36" s="153"/>
      <c r="U36" s="153"/>
      <c r="V36" s="153"/>
    </row>
    <row r="37" spans="1:22" x14ac:dyDescent="0.3">
      <c r="A37" s="153"/>
      <c r="B37" s="154"/>
      <c r="C37" s="153">
        <v>19</v>
      </c>
      <c r="D37" s="153" t="s">
        <v>257</v>
      </c>
      <c r="E37" s="153"/>
      <c r="F37" s="153"/>
      <c r="G37" s="153"/>
      <c r="H37" s="153"/>
      <c r="I37" s="153"/>
      <c r="J37" s="153"/>
      <c r="K37" s="153"/>
      <c r="L37" s="153"/>
      <c r="M37" s="153"/>
      <c r="N37" s="153"/>
      <c r="O37" s="153"/>
      <c r="P37" s="153"/>
      <c r="Q37" s="153"/>
      <c r="R37" s="153"/>
      <c r="S37" s="153"/>
      <c r="T37" s="153"/>
      <c r="U37" s="153"/>
      <c r="V37" s="153"/>
    </row>
    <row r="38" spans="1:22" x14ac:dyDescent="0.3">
      <c r="A38" s="153"/>
      <c r="B38" s="154"/>
      <c r="C38" s="153"/>
      <c r="D38" s="153"/>
      <c r="E38" s="153"/>
      <c r="F38" s="153"/>
      <c r="G38" s="153"/>
      <c r="H38" s="153"/>
      <c r="I38" s="153"/>
      <c r="J38" s="153"/>
      <c r="K38" s="153"/>
      <c r="L38" s="153"/>
      <c r="M38" s="153"/>
      <c r="N38" s="153"/>
      <c r="O38" s="153"/>
      <c r="P38" s="153"/>
      <c r="Q38" s="153"/>
      <c r="R38" s="153"/>
      <c r="S38" s="153"/>
      <c r="T38" s="153"/>
      <c r="U38" s="153"/>
      <c r="V38" s="153"/>
    </row>
    <row r="39" spans="1:22" x14ac:dyDescent="0.3">
      <c r="A39" s="153"/>
      <c r="B39" s="154"/>
      <c r="C39" s="153" t="s">
        <v>723</v>
      </c>
      <c r="D39" s="153" t="s">
        <v>772</v>
      </c>
      <c r="E39" s="153" t="s">
        <v>774</v>
      </c>
      <c r="F39" s="153">
        <f>C37</f>
        <v>19</v>
      </c>
      <c r="G39" s="153" t="s">
        <v>257</v>
      </c>
      <c r="H39" s="153" t="s">
        <v>465</v>
      </c>
      <c r="I39" s="153">
        <v>3</v>
      </c>
      <c r="J39" s="153" t="s">
        <v>773</v>
      </c>
      <c r="K39" s="171" t="s">
        <v>720</v>
      </c>
      <c r="L39" s="153" t="s">
        <v>719</v>
      </c>
      <c r="M39" s="153"/>
      <c r="N39" s="153"/>
      <c r="O39" s="153"/>
      <c r="P39" s="153"/>
      <c r="Q39" s="153"/>
      <c r="R39" s="153"/>
      <c r="S39" s="153"/>
      <c r="T39" s="153"/>
      <c r="U39" s="153"/>
      <c r="V39" s="153"/>
    </row>
    <row r="40" spans="1:22" x14ac:dyDescent="0.3">
      <c r="A40" s="153"/>
      <c r="B40" s="154"/>
      <c r="C40" s="208">
        <f>F39*I39/1000</f>
        <v>5.7000000000000002E-2</v>
      </c>
      <c r="D40" s="168" t="s">
        <v>772</v>
      </c>
      <c r="E40" s="153"/>
      <c r="F40" s="153"/>
      <c r="G40" s="153"/>
      <c r="H40" s="153"/>
      <c r="I40" s="153"/>
      <c r="J40" s="153"/>
      <c r="K40" s="153"/>
      <c r="L40" s="153"/>
      <c r="M40" s="153"/>
      <c r="N40" s="153"/>
      <c r="O40" s="153"/>
      <c r="P40" s="153"/>
      <c r="Q40" s="153"/>
      <c r="R40" s="153"/>
      <c r="S40" s="153"/>
      <c r="T40" s="153"/>
      <c r="U40" s="153"/>
      <c r="V40" s="153"/>
    </row>
    <row r="41" spans="1:22" x14ac:dyDescent="0.3">
      <c r="A41" s="153"/>
      <c r="B41" s="154"/>
      <c r="C41" s="153"/>
      <c r="D41" s="153"/>
      <c r="E41" s="153"/>
      <c r="F41" s="153"/>
      <c r="G41" s="153"/>
      <c r="H41" s="153"/>
      <c r="I41" s="153"/>
      <c r="J41" s="153"/>
      <c r="K41" s="153"/>
      <c r="L41" s="153"/>
      <c r="M41" s="153"/>
      <c r="N41" s="153"/>
      <c r="O41" s="153"/>
      <c r="P41" s="153"/>
      <c r="Q41" s="153"/>
      <c r="R41" s="153"/>
      <c r="S41" s="153"/>
      <c r="T41" s="153"/>
      <c r="U41" s="153"/>
      <c r="V41" s="153"/>
    </row>
    <row r="42" spans="1:22" x14ac:dyDescent="0.3">
      <c r="A42" s="153"/>
      <c r="B42" s="154" t="s">
        <v>776</v>
      </c>
      <c r="C42" s="153"/>
      <c r="D42" s="153"/>
      <c r="E42" s="153"/>
      <c r="F42" s="153"/>
      <c r="G42" s="153"/>
      <c r="H42" s="153"/>
      <c r="I42" s="153"/>
      <c r="J42" s="153"/>
      <c r="K42" s="153"/>
      <c r="L42" s="153"/>
      <c r="M42" s="153"/>
      <c r="N42" s="153"/>
      <c r="O42" s="153"/>
      <c r="P42" s="153"/>
      <c r="Q42" s="153"/>
      <c r="R42" s="153"/>
      <c r="S42" s="153"/>
      <c r="T42" s="153"/>
      <c r="U42" s="153"/>
      <c r="V42" s="153"/>
    </row>
    <row r="43" spans="1:22" x14ac:dyDescent="0.3">
      <c r="A43" s="153"/>
      <c r="B43" s="154"/>
      <c r="C43" s="153">
        <v>11</v>
      </c>
      <c r="D43" s="153" t="s">
        <v>257</v>
      </c>
      <c r="E43" s="153"/>
      <c r="F43" s="153"/>
      <c r="G43" s="153"/>
      <c r="H43" s="153"/>
      <c r="I43" s="153"/>
      <c r="J43" s="153"/>
      <c r="K43" s="153"/>
      <c r="L43" s="153"/>
      <c r="M43" s="153"/>
      <c r="N43" s="153"/>
      <c r="O43" s="153"/>
      <c r="P43" s="153"/>
      <c r="Q43" s="153"/>
      <c r="R43" s="153"/>
      <c r="S43" s="153"/>
      <c r="T43" s="153"/>
      <c r="U43" s="153"/>
      <c r="V43" s="153"/>
    </row>
    <row r="44" spans="1:22" x14ac:dyDescent="0.3">
      <c r="A44" s="153"/>
      <c r="B44" s="154"/>
      <c r="C44" s="153"/>
      <c r="D44" s="153"/>
      <c r="E44" s="153"/>
      <c r="F44" s="153"/>
      <c r="G44" s="153"/>
      <c r="H44" s="153"/>
      <c r="I44" s="153"/>
      <c r="J44" s="153"/>
      <c r="K44" s="153"/>
      <c r="L44" s="153"/>
      <c r="M44" s="153"/>
      <c r="N44" s="153"/>
      <c r="O44" s="153"/>
      <c r="P44" s="153"/>
      <c r="Q44" s="153"/>
      <c r="R44" s="153"/>
      <c r="S44" s="153"/>
      <c r="T44" s="153"/>
      <c r="U44" s="153"/>
      <c r="V44" s="153"/>
    </row>
    <row r="45" spans="1:22" x14ac:dyDescent="0.3">
      <c r="A45" s="153"/>
      <c r="B45" s="154"/>
      <c r="C45" s="153" t="s">
        <v>723</v>
      </c>
      <c r="D45" s="153" t="s">
        <v>772</v>
      </c>
      <c r="E45" s="153" t="s">
        <v>774</v>
      </c>
      <c r="F45" s="153">
        <f>C43</f>
        <v>11</v>
      </c>
      <c r="G45" s="153" t="s">
        <v>257</v>
      </c>
      <c r="H45" s="153" t="s">
        <v>465</v>
      </c>
      <c r="I45" s="153">
        <v>2</v>
      </c>
      <c r="J45" s="153" t="s">
        <v>773</v>
      </c>
      <c r="K45" s="171" t="s">
        <v>720</v>
      </c>
      <c r="L45" s="153" t="s">
        <v>719</v>
      </c>
      <c r="M45" s="153"/>
      <c r="N45" s="153"/>
      <c r="O45" s="153"/>
      <c r="P45" s="153"/>
      <c r="Q45" s="153"/>
      <c r="R45" s="153"/>
      <c r="S45" s="153"/>
      <c r="T45" s="153"/>
      <c r="U45" s="153"/>
      <c r="V45" s="153"/>
    </row>
    <row r="46" spans="1:22" x14ac:dyDescent="0.3">
      <c r="A46" s="153"/>
      <c r="B46" s="154"/>
      <c r="C46" s="207">
        <f>F45*I45/1000</f>
        <v>2.1999999999999999E-2</v>
      </c>
      <c r="D46" s="168" t="s">
        <v>772</v>
      </c>
      <c r="E46" s="153"/>
      <c r="F46" s="153"/>
      <c r="G46" s="153"/>
      <c r="H46" s="153"/>
      <c r="I46" s="153"/>
      <c r="J46" s="153"/>
      <c r="K46" s="153"/>
      <c r="L46" s="153"/>
      <c r="M46" s="153"/>
      <c r="N46" s="153"/>
      <c r="O46" s="153"/>
      <c r="P46" s="153"/>
      <c r="Q46" s="153"/>
      <c r="R46" s="153"/>
      <c r="S46" s="153"/>
      <c r="T46" s="153"/>
      <c r="U46" s="153"/>
      <c r="V46" s="153"/>
    </row>
    <row r="47" spans="1:22" x14ac:dyDescent="0.3">
      <c r="A47" s="153"/>
      <c r="B47" s="154"/>
      <c r="C47" s="153"/>
      <c r="D47" s="153"/>
      <c r="E47" s="153"/>
      <c r="F47" s="153"/>
      <c r="G47" s="153"/>
      <c r="H47" s="153"/>
      <c r="I47" s="153"/>
      <c r="J47" s="153"/>
      <c r="K47" s="153"/>
      <c r="L47" s="153"/>
      <c r="M47" s="153"/>
      <c r="N47" s="153"/>
      <c r="O47" s="153"/>
      <c r="P47" s="153"/>
      <c r="Q47" s="153"/>
      <c r="R47" s="153"/>
      <c r="S47" s="153"/>
      <c r="T47" s="153"/>
      <c r="U47" s="153"/>
      <c r="V47" s="153"/>
    </row>
    <row r="48" spans="1:22" x14ac:dyDescent="0.3">
      <c r="A48" s="153"/>
      <c r="B48" s="154" t="s">
        <v>775</v>
      </c>
      <c r="C48" s="153"/>
      <c r="D48" s="153"/>
      <c r="E48" s="153"/>
      <c r="F48" s="153"/>
      <c r="G48" s="153"/>
      <c r="H48" s="153"/>
      <c r="I48" s="153"/>
      <c r="J48" s="153"/>
      <c r="K48" s="153"/>
      <c r="L48" s="153"/>
      <c r="M48" s="153"/>
      <c r="N48" s="153"/>
      <c r="O48" s="153"/>
      <c r="P48" s="153"/>
      <c r="Q48" s="153"/>
      <c r="R48" s="153"/>
      <c r="S48" s="153"/>
      <c r="T48" s="153"/>
      <c r="U48" s="153"/>
      <c r="V48" s="153"/>
    </row>
    <row r="49" spans="1:22" x14ac:dyDescent="0.3">
      <c r="A49" s="153"/>
      <c r="B49" s="154"/>
      <c r="C49" s="153">
        <v>11</v>
      </c>
      <c r="D49" s="153" t="s">
        <v>257</v>
      </c>
      <c r="E49" s="153"/>
      <c r="F49" s="153"/>
      <c r="G49" s="153"/>
      <c r="H49" s="153"/>
      <c r="I49" s="153"/>
      <c r="J49" s="153"/>
      <c r="K49" s="153"/>
      <c r="L49" s="153"/>
      <c r="M49" s="153"/>
      <c r="N49" s="153"/>
      <c r="O49" s="153"/>
      <c r="P49" s="153"/>
      <c r="Q49" s="153"/>
      <c r="R49" s="153"/>
      <c r="S49" s="153"/>
      <c r="T49" s="153"/>
      <c r="U49" s="153"/>
      <c r="V49" s="153"/>
    </row>
    <row r="50" spans="1:22" x14ac:dyDescent="0.3">
      <c r="A50" s="153"/>
      <c r="B50" s="154"/>
      <c r="C50" s="153"/>
      <c r="D50" s="153"/>
      <c r="E50" s="153"/>
      <c r="F50" s="153"/>
      <c r="G50" s="153"/>
      <c r="H50" s="153"/>
      <c r="I50" s="153"/>
      <c r="J50" s="153"/>
      <c r="K50" s="153"/>
      <c r="L50" s="153"/>
      <c r="M50" s="153"/>
      <c r="N50" s="153"/>
      <c r="O50" s="153"/>
      <c r="P50" s="153"/>
      <c r="Q50" s="153"/>
      <c r="R50" s="153"/>
      <c r="S50" s="153"/>
      <c r="T50" s="153"/>
      <c r="U50" s="153"/>
      <c r="V50" s="153"/>
    </row>
    <row r="51" spans="1:22" x14ac:dyDescent="0.3">
      <c r="A51" s="153"/>
      <c r="B51" s="154"/>
      <c r="C51" s="153" t="s">
        <v>723</v>
      </c>
      <c r="D51" s="153" t="s">
        <v>772</v>
      </c>
      <c r="E51" s="153" t="s">
        <v>774</v>
      </c>
      <c r="F51" s="153">
        <f>C49</f>
        <v>11</v>
      </c>
      <c r="G51" s="153" t="s">
        <v>257</v>
      </c>
      <c r="H51" s="153" t="s">
        <v>465</v>
      </c>
      <c r="I51" s="153">
        <v>2</v>
      </c>
      <c r="J51" s="153" t="s">
        <v>773</v>
      </c>
      <c r="K51" s="171" t="s">
        <v>720</v>
      </c>
      <c r="L51" s="153" t="s">
        <v>719</v>
      </c>
      <c r="M51" s="153"/>
      <c r="N51" s="153"/>
      <c r="O51" s="153"/>
      <c r="P51" s="153"/>
      <c r="Q51" s="153"/>
      <c r="R51" s="153"/>
      <c r="S51" s="153"/>
      <c r="T51" s="153"/>
      <c r="U51" s="153"/>
      <c r="V51" s="153"/>
    </row>
    <row r="52" spans="1:22" x14ac:dyDescent="0.3">
      <c r="A52" s="153"/>
      <c r="B52" s="154"/>
      <c r="C52" s="207">
        <f>F51*I51/1000</f>
        <v>2.1999999999999999E-2</v>
      </c>
      <c r="D52" s="168" t="s">
        <v>772</v>
      </c>
      <c r="E52" s="153"/>
      <c r="F52" s="153"/>
      <c r="G52" s="153"/>
      <c r="H52" s="153"/>
      <c r="I52" s="153"/>
      <c r="J52" s="153"/>
      <c r="K52" s="153"/>
      <c r="L52" s="153"/>
      <c r="M52" s="153"/>
      <c r="N52" s="153"/>
      <c r="O52" s="153"/>
      <c r="P52" s="153"/>
      <c r="Q52" s="153"/>
      <c r="R52" s="153"/>
      <c r="S52" s="153"/>
      <c r="T52" s="153"/>
      <c r="U52" s="153"/>
      <c r="V52" s="153"/>
    </row>
    <row r="53" spans="1:22" x14ac:dyDescent="0.3">
      <c r="A53" s="153"/>
      <c r="B53" s="154"/>
      <c r="C53" s="153"/>
      <c r="D53" s="153"/>
      <c r="E53" s="153"/>
      <c r="F53" s="153"/>
      <c r="G53" s="153"/>
      <c r="H53" s="153"/>
      <c r="I53" s="153"/>
      <c r="J53" s="153"/>
      <c r="K53" s="153"/>
      <c r="L53" s="153"/>
      <c r="M53" s="153"/>
      <c r="N53" s="153"/>
      <c r="O53" s="153"/>
      <c r="P53" s="153"/>
      <c r="Q53" s="153"/>
      <c r="R53" s="153"/>
      <c r="S53" s="153"/>
      <c r="T53" s="153"/>
      <c r="U53" s="153"/>
      <c r="V53" s="153"/>
    </row>
    <row r="54" spans="1:22" x14ac:dyDescent="0.3">
      <c r="A54" s="153"/>
      <c r="B54" s="154" t="s">
        <v>771</v>
      </c>
      <c r="C54" s="153"/>
      <c r="D54" s="153"/>
      <c r="E54" s="153"/>
      <c r="F54" s="153"/>
      <c r="G54" s="153"/>
      <c r="H54" s="153"/>
      <c r="I54" s="153"/>
      <c r="J54" s="153"/>
      <c r="K54" s="153"/>
      <c r="L54" s="153"/>
      <c r="M54" s="153"/>
      <c r="N54" s="153"/>
      <c r="O54" s="153"/>
      <c r="P54" s="153"/>
      <c r="Q54" s="153"/>
      <c r="R54" s="153"/>
      <c r="S54" s="153"/>
      <c r="T54" s="153"/>
      <c r="U54" s="153"/>
      <c r="V54" s="153"/>
    </row>
    <row r="55" spans="1:22" x14ac:dyDescent="0.3">
      <c r="A55" s="153"/>
      <c r="B55" s="154" t="s">
        <v>770</v>
      </c>
      <c r="C55" s="153"/>
      <c r="D55" s="153"/>
      <c r="E55" s="153"/>
      <c r="F55" s="153"/>
      <c r="G55" s="153"/>
      <c r="H55" s="153"/>
      <c r="I55" s="153"/>
      <c r="J55" s="153"/>
      <c r="K55" s="153"/>
      <c r="L55" s="153"/>
      <c r="M55" s="153"/>
      <c r="N55" s="153"/>
      <c r="O55" s="153"/>
      <c r="P55" s="153"/>
      <c r="Q55" s="153"/>
      <c r="R55" s="153"/>
      <c r="S55" s="153"/>
      <c r="T55" s="153"/>
      <c r="U55" s="153"/>
      <c r="V55" s="153"/>
    </row>
    <row r="56" spans="1:22" x14ac:dyDescent="0.3">
      <c r="A56" s="153"/>
      <c r="C56" s="154" t="s">
        <v>715</v>
      </c>
      <c r="D56" s="199">
        <v>1.1499999999999999</v>
      </c>
      <c r="E56" s="153"/>
      <c r="F56" s="153"/>
      <c r="G56" s="153"/>
      <c r="H56" s="153" t="s">
        <v>769</v>
      </c>
      <c r="I56" s="153"/>
      <c r="J56" s="153"/>
      <c r="K56" s="153"/>
      <c r="L56" s="153"/>
      <c r="M56" s="153"/>
      <c r="N56" s="153"/>
      <c r="O56" s="153"/>
      <c r="P56" s="206">
        <f>3413/12000</f>
        <v>0.28441666666666665</v>
      </c>
      <c r="Q56" s="153"/>
      <c r="R56" s="153"/>
      <c r="S56" s="153"/>
      <c r="T56" s="153"/>
      <c r="U56" s="153"/>
      <c r="V56" s="153"/>
    </row>
    <row r="57" spans="1:22" x14ac:dyDescent="0.3">
      <c r="A57" s="153"/>
      <c r="B57" s="154"/>
      <c r="C57" s="153"/>
      <c r="D57" s="153"/>
      <c r="E57" s="153"/>
      <c r="F57" s="153"/>
      <c r="G57" s="153"/>
      <c r="Q57" s="153"/>
      <c r="R57" s="153"/>
      <c r="S57" s="153"/>
      <c r="T57" s="153"/>
      <c r="U57" s="153"/>
      <c r="V57" s="153"/>
    </row>
    <row r="58" spans="1:22" x14ac:dyDescent="0.3">
      <c r="A58" s="153"/>
      <c r="B58" s="3037" t="s">
        <v>768</v>
      </c>
      <c r="C58" s="3038"/>
      <c r="D58" s="205"/>
      <c r="E58" s="204"/>
      <c r="F58" s="203"/>
      <c r="G58" s="3039" t="s">
        <v>767</v>
      </c>
      <c r="H58" s="3040"/>
      <c r="I58" s="3040"/>
      <c r="J58" s="3040"/>
      <c r="K58" s="3040"/>
      <c r="L58" s="3040"/>
      <c r="M58" s="3040"/>
      <c r="N58" s="3040"/>
      <c r="O58" s="3040"/>
      <c r="P58" s="3038"/>
      <c r="Q58" s="1103" t="s">
        <v>766</v>
      </c>
      <c r="T58" s="153"/>
      <c r="U58" s="153"/>
      <c r="V58" s="153"/>
    </row>
    <row r="59" spans="1:22" x14ac:dyDescent="0.3">
      <c r="A59" s="153"/>
      <c r="B59" s="200" t="s">
        <v>248</v>
      </c>
      <c r="C59" s="200" t="s">
        <v>243</v>
      </c>
      <c r="D59" s="199" t="s">
        <v>765</v>
      </c>
      <c r="E59" s="199" t="s">
        <v>764</v>
      </c>
      <c r="F59" s="199" t="s">
        <v>763</v>
      </c>
      <c r="G59" s="199" t="s">
        <v>762</v>
      </c>
      <c r="H59" s="199" t="s">
        <v>761</v>
      </c>
      <c r="I59" s="199" t="s">
        <v>760</v>
      </c>
      <c r="J59" s="199" t="s">
        <v>759</v>
      </c>
      <c r="K59" s="199" t="s">
        <v>758</v>
      </c>
      <c r="L59" s="199" t="s">
        <v>757</v>
      </c>
      <c r="M59" s="199" t="s">
        <v>756</v>
      </c>
      <c r="N59" s="199" t="s">
        <v>755</v>
      </c>
      <c r="O59" s="199" t="s">
        <v>754</v>
      </c>
      <c r="P59" s="191" t="s">
        <v>445</v>
      </c>
      <c r="Q59" s="1104"/>
      <c r="T59" s="153"/>
      <c r="U59" s="153"/>
      <c r="V59" s="153"/>
    </row>
    <row r="60" spans="1:22" x14ac:dyDescent="0.3">
      <c r="A60" s="153"/>
      <c r="B60" s="202">
        <v>0</v>
      </c>
      <c r="C60" s="202">
        <v>0</v>
      </c>
      <c r="D60" s="200">
        <v>1</v>
      </c>
      <c r="E60" s="199" t="s">
        <v>753</v>
      </c>
      <c r="F60" s="198">
        <v>5.5819999999999999</v>
      </c>
      <c r="G60" s="197">
        <f t="shared" ref="G60:G65" si="1">1/F60</f>
        <v>0.1791472590469366</v>
      </c>
      <c r="H60" s="195">
        <f>C$46*$G$21/$E$17*$P56</f>
        <v>1.2514333333333332E-2</v>
      </c>
      <c r="I60" s="199"/>
      <c r="J60" s="199"/>
      <c r="K60" s="197">
        <f>0.72*$C$52*$J$21/$E$17*$P56</f>
        <v>9.0103199999999987E-3</v>
      </c>
      <c r="L60" s="196">
        <f>$C$40/$D60*K$21/$E$17*$P56</f>
        <v>3.2423500000000001E-2</v>
      </c>
      <c r="M60" s="195"/>
      <c r="N60" s="195"/>
      <c r="O60" s="195">
        <f>$C$33*$P56</f>
        <v>1.4070931355439208E-2</v>
      </c>
      <c r="P60" s="194">
        <f t="shared" ref="P60:P65" si="2">SUM(G60:O60)</f>
        <v>0.24716634373570912</v>
      </c>
      <c r="Q60" s="193">
        <f t="shared" ref="Q60:Q65" si="3">1/P60</f>
        <v>4.0458582867143251</v>
      </c>
      <c r="T60" s="153"/>
      <c r="U60" s="153"/>
      <c r="V60" s="153"/>
    </row>
    <row r="61" spans="1:22" x14ac:dyDescent="0.3">
      <c r="A61" s="153"/>
      <c r="B61" s="201">
        <f>75/$D$56</f>
        <v>65.217391304347828</v>
      </c>
      <c r="C61" s="201">
        <f>264/$D$56</f>
        <v>229.56521739130437</v>
      </c>
      <c r="D61" s="200">
        <v>1</v>
      </c>
      <c r="E61" s="199" t="s">
        <v>753</v>
      </c>
      <c r="F61" s="198">
        <v>5.718</v>
      </c>
      <c r="G61" s="197">
        <f t="shared" si="1"/>
        <v>0.17488632388947184</v>
      </c>
      <c r="H61" s="195">
        <f>C$46*$G$21/$E$17*$P56</f>
        <v>1.2514333333333332E-2</v>
      </c>
      <c r="I61" s="199"/>
      <c r="J61" s="199"/>
      <c r="K61" s="197">
        <f>0.72*$C$52*$J$21/$E$17*$P56</f>
        <v>9.0103199999999987E-3</v>
      </c>
      <c r="L61" s="196">
        <f>$C$40/$D61*K$21/$E$17*$P56</f>
        <v>3.2423500000000001E-2</v>
      </c>
      <c r="M61" s="195"/>
      <c r="N61" s="195"/>
      <c r="O61" s="195">
        <f>$C$33*$P56</f>
        <v>1.4070931355439208E-2</v>
      </c>
      <c r="P61" s="194">
        <f t="shared" si="2"/>
        <v>0.24290540857824436</v>
      </c>
      <c r="Q61" s="193">
        <f t="shared" si="3"/>
        <v>4.1168288752939866</v>
      </c>
      <c r="T61" s="153"/>
      <c r="U61" s="153"/>
      <c r="V61" s="153"/>
    </row>
    <row r="62" spans="1:22" x14ac:dyDescent="0.3">
      <c r="A62" s="153"/>
      <c r="B62" s="201">
        <f>150/$D$56</f>
        <v>130.43478260869566</v>
      </c>
      <c r="C62" s="201">
        <f>528/$D$56</f>
        <v>459.13043478260875</v>
      </c>
      <c r="D62" s="200">
        <v>1</v>
      </c>
      <c r="E62" s="199" t="s">
        <v>753</v>
      </c>
      <c r="F62" s="198">
        <v>6.0640000000000001</v>
      </c>
      <c r="G62" s="197">
        <f t="shared" si="1"/>
        <v>0.16490765171503957</v>
      </c>
      <c r="H62" s="195">
        <f>C$46*$G$21/$E$17*$P56</f>
        <v>1.2514333333333332E-2</v>
      </c>
      <c r="I62" s="199"/>
      <c r="J62" s="199"/>
      <c r="K62" s="197">
        <f>0.72*$C$52*$J$21/$E$17*$P56</f>
        <v>9.0103199999999987E-3</v>
      </c>
      <c r="L62" s="196">
        <f>$C$40/$D62*K$21/$E$17*$P56</f>
        <v>3.2423500000000001E-2</v>
      </c>
      <c r="M62" s="195"/>
      <c r="N62" s="195"/>
      <c r="O62" s="195">
        <f>$C$33*$P56</f>
        <v>1.4070931355439208E-2</v>
      </c>
      <c r="P62" s="194">
        <f t="shared" si="2"/>
        <v>0.23292673640381209</v>
      </c>
      <c r="Q62" s="193">
        <f t="shared" si="3"/>
        <v>4.2931954289109848</v>
      </c>
      <c r="T62" s="153"/>
      <c r="U62" s="153"/>
      <c r="V62" s="153"/>
    </row>
    <row r="63" spans="1:22" x14ac:dyDescent="0.3">
      <c r="A63" s="153"/>
      <c r="B63" s="201">
        <f>300/$D$56</f>
        <v>260.86956521739131</v>
      </c>
      <c r="C63" s="201">
        <f>1055/$D$56</f>
        <v>917.39130434782612</v>
      </c>
      <c r="D63" s="200">
        <v>2</v>
      </c>
      <c r="E63" s="199" t="s">
        <v>753</v>
      </c>
      <c r="F63" s="198">
        <v>6.0640000000000001</v>
      </c>
      <c r="G63" s="197">
        <f t="shared" si="1"/>
        <v>0.16490765171503957</v>
      </c>
      <c r="H63" s="195">
        <f>C$46/D63*$G$22/$E$17*$P56</f>
        <v>6.2571666666666661E-3</v>
      </c>
      <c r="I63" s="197">
        <f>C$46/D63*$H$22/$E$17*$P56</f>
        <v>2.5028666666666662E-3</v>
      </c>
      <c r="J63" s="199"/>
      <c r="K63" s="197">
        <f>$C$52*0.42*$J$22/$E$17*$P56</f>
        <v>5.2560199999999993E-3</v>
      </c>
      <c r="L63" s="196">
        <f>$C$40/$D63*K$22/$E$17*$P56</f>
        <v>1.621175E-2</v>
      </c>
      <c r="M63" s="195">
        <f>$C$40/$D63*L$22/$E$17*$P56</f>
        <v>6.4846999999999995E-3</v>
      </c>
      <c r="N63" s="195"/>
      <c r="O63" s="195">
        <f>$C$33*$P56</f>
        <v>1.4070931355439208E-2</v>
      </c>
      <c r="P63" s="194">
        <f t="shared" si="2"/>
        <v>0.21569108640381213</v>
      </c>
      <c r="Q63" s="193">
        <f t="shared" si="3"/>
        <v>4.6362602028338893</v>
      </c>
      <c r="T63" s="153"/>
      <c r="U63" s="153"/>
      <c r="V63" s="153"/>
    </row>
    <row r="64" spans="1:22" x14ac:dyDescent="0.3">
      <c r="A64" s="153"/>
      <c r="B64" s="201">
        <f>600/$D$56</f>
        <v>521.73913043478262</v>
      </c>
      <c r="C64" s="201">
        <f>2110/$D$56</f>
        <v>1834.7826086956522</v>
      </c>
      <c r="D64" s="200">
        <v>2</v>
      </c>
      <c r="E64" s="199" t="s">
        <v>752</v>
      </c>
      <c r="F64" s="198">
        <v>5.9009999999999998</v>
      </c>
      <c r="G64" s="197">
        <f t="shared" si="1"/>
        <v>0.16946280291476021</v>
      </c>
      <c r="H64" s="195">
        <f>C$46/D64*$G$22/$E$17*$P56</f>
        <v>6.2571666666666661E-3</v>
      </c>
      <c r="I64" s="197">
        <f>C$46/D64*$H$22/$E$17*$P56</f>
        <v>2.5028666666666662E-3</v>
      </c>
      <c r="J64" s="199"/>
      <c r="K64" s="197">
        <f>$C$52*0.42*$J$22/$E$17*$P56</f>
        <v>5.2560199999999993E-3</v>
      </c>
      <c r="L64" s="196">
        <f>$C$40/$D64*K$22/$E$17*$P56</f>
        <v>1.621175E-2</v>
      </c>
      <c r="M64" s="195">
        <f>$C$40/$D64*L$22/$E$17*$P56</f>
        <v>6.4846999999999995E-3</v>
      </c>
      <c r="N64" s="195"/>
      <c r="O64" s="195">
        <f>$C$33*$P56</f>
        <v>1.4070931355439208E-2</v>
      </c>
      <c r="P64" s="194">
        <f t="shared" si="2"/>
        <v>0.22024623760353276</v>
      </c>
      <c r="Q64" s="193">
        <f t="shared" si="3"/>
        <v>4.5403726796010426</v>
      </c>
      <c r="T64" s="153"/>
      <c r="U64" s="153"/>
      <c r="V64" s="153"/>
    </row>
    <row r="65" spans="1:22" x14ac:dyDescent="0.3">
      <c r="A65" s="153"/>
      <c r="B65" s="201">
        <f>1200/$D$56</f>
        <v>1043.4782608695652</v>
      </c>
      <c r="C65" s="201">
        <f>4220/$D$56</f>
        <v>3669.5652173913045</v>
      </c>
      <c r="D65" s="200">
        <v>3</v>
      </c>
      <c r="E65" s="199" t="s">
        <v>752</v>
      </c>
      <c r="F65" s="198">
        <v>6.4059999999999997</v>
      </c>
      <c r="G65" s="197">
        <f t="shared" si="1"/>
        <v>0.15610365282547611</v>
      </c>
      <c r="H65" s="195">
        <f>C$46/D65*$G$23/$E$17*$P56</f>
        <v>4.1714444444444438E-3</v>
      </c>
      <c r="I65" s="197">
        <f>C$46/D65*$H$23/$E$17*$P56</f>
        <v>2.0857222222222219E-3</v>
      </c>
      <c r="J65" s="197">
        <f>C$46/D65*$I$23/$E$17*$P56</f>
        <v>8.3428888888888891E-4</v>
      </c>
      <c r="K65" s="197">
        <f>$C$52*0.42*$J$23/$E$17*$P56</f>
        <v>5.2560199999999993E-3</v>
      </c>
      <c r="L65" s="196">
        <f>$C$40/$D65*K$23/$E$17*$P56</f>
        <v>1.0807833333333332E-2</v>
      </c>
      <c r="M65" s="195">
        <f>$C$40/D$65*L$23/$E$17*$P56</f>
        <v>5.4039166666666662E-3</v>
      </c>
      <c r="N65" s="195">
        <f>$C$40/D$65*M$23/$E$17*$P56</f>
        <v>2.1615666666666665E-3</v>
      </c>
      <c r="O65" s="195">
        <f>$C$33*$P56</f>
        <v>1.4070931355439208E-2</v>
      </c>
      <c r="P65" s="194">
        <f t="shared" si="2"/>
        <v>0.20089537640313757</v>
      </c>
      <c r="Q65" s="193">
        <f t="shared" si="3"/>
        <v>4.977715355645099</v>
      </c>
      <c r="T65" s="153"/>
      <c r="U65" s="153"/>
      <c r="V65" s="153"/>
    </row>
    <row r="66" spans="1:22" x14ac:dyDescent="0.3">
      <c r="A66" s="153"/>
      <c r="B66" s="192"/>
      <c r="C66" s="174"/>
      <c r="D66" s="153"/>
      <c r="E66" s="153"/>
      <c r="F66" s="153"/>
      <c r="G66" s="153"/>
      <c r="H66" s="153"/>
      <c r="I66" s="153"/>
      <c r="J66" s="153"/>
      <c r="K66" s="153"/>
      <c r="L66" s="153"/>
      <c r="M66" s="153"/>
      <c r="N66" s="153"/>
      <c r="O66" s="153"/>
      <c r="P66" s="153"/>
      <c r="Q66" s="153"/>
      <c r="R66" s="153"/>
      <c r="S66" s="153"/>
      <c r="T66" s="153"/>
      <c r="U66" s="153"/>
      <c r="V66" s="153"/>
    </row>
    <row r="67" spans="1:22" x14ac:dyDescent="0.3">
      <c r="A67" s="153"/>
      <c r="B67" s="159" t="s">
        <v>707</v>
      </c>
      <c r="C67" s="153"/>
      <c r="D67" s="153"/>
      <c r="E67" s="153"/>
      <c r="F67" s="153"/>
      <c r="G67" s="153"/>
      <c r="H67" s="153"/>
      <c r="I67" s="153"/>
      <c r="J67" s="153"/>
      <c r="K67" s="153"/>
      <c r="L67" s="153"/>
      <c r="M67" s="153"/>
      <c r="N67" s="153"/>
      <c r="O67" s="153"/>
      <c r="P67" s="153"/>
      <c r="Q67" s="153"/>
      <c r="R67" s="153"/>
      <c r="S67" s="153"/>
      <c r="T67" s="153"/>
      <c r="U67" s="153"/>
      <c r="V67" s="153"/>
    </row>
    <row r="68" spans="1:22" x14ac:dyDescent="0.3">
      <c r="A68" s="153"/>
      <c r="B68" s="158"/>
      <c r="C68" s="153"/>
      <c r="D68" s="153"/>
      <c r="E68" s="153"/>
      <c r="F68" s="153"/>
      <c r="G68" s="153"/>
      <c r="H68" s="153"/>
      <c r="I68" s="153"/>
      <c r="J68" s="153"/>
      <c r="K68" s="153"/>
      <c r="L68" s="153"/>
      <c r="M68" s="153"/>
      <c r="N68" s="153"/>
      <c r="O68" s="153"/>
      <c r="P68" s="153"/>
      <c r="Q68" s="153"/>
      <c r="R68" s="153"/>
      <c r="S68" s="153"/>
      <c r="T68" s="153"/>
      <c r="U68" s="153"/>
      <c r="V68" s="153"/>
    </row>
    <row r="69" spans="1:22" x14ac:dyDescent="0.3">
      <c r="A69" s="153"/>
      <c r="B69" s="153"/>
      <c r="C69" s="153" t="s">
        <v>706</v>
      </c>
      <c r="D69" s="153"/>
      <c r="E69" s="153"/>
      <c r="F69" s="153"/>
      <c r="G69" s="153"/>
      <c r="H69" s="153"/>
      <c r="I69" s="153"/>
      <c r="J69" s="153"/>
      <c r="K69" s="153"/>
      <c r="L69" s="153"/>
      <c r="M69" s="153"/>
      <c r="N69" s="153"/>
      <c r="O69" s="153"/>
      <c r="P69" s="153"/>
      <c r="Q69" s="153"/>
      <c r="R69" s="153"/>
      <c r="S69" s="153"/>
      <c r="T69" s="153"/>
      <c r="U69" s="153"/>
      <c r="V69" s="153"/>
    </row>
    <row r="70" spans="1:22" x14ac:dyDescent="0.3">
      <c r="A70" s="153"/>
      <c r="B70" s="153"/>
      <c r="C70" s="191">
        <f>IF(OR(SUMIF(Performance_Outputs_1!$R$170:$R$217,"District Cooling",Performance_Outputs_1!$G$170:$G$217)=0,ISERROR(VLOOKUP(VLOOKUP("District Cooling",Performance_Outputs_1!$B$17:$F$18,5,FALSE),DemandTable,3,FALSE)/12)),1200,(SUMIF(Performance_Outputs_1!$R$170:$R$217,"District Cooling",Performance_Outputs_1!$G$170:$G$217)*VLOOKUP(VLOOKUP("District Cooling",Performance_Outputs_1!$B$17:$F$18,5,FALSE),DemandTable,3,FALSE)/12))</f>
        <v>1200</v>
      </c>
      <c r="D70" s="154" t="s">
        <v>248</v>
      </c>
      <c r="E70" s="153"/>
      <c r="F70" s="153"/>
      <c r="G70" s="153"/>
      <c r="H70" s="153"/>
      <c r="I70" s="153"/>
      <c r="J70" s="153"/>
      <c r="K70" s="153"/>
      <c r="L70" s="153"/>
      <c r="M70" s="153"/>
      <c r="N70" s="153"/>
      <c r="O70" s="153"/>
      <c r="P70" s="153"/>
      <c r="Q70" s="153"/>
      <c r="R70" s="153"/>
      <c r="S70" s="153"/>
      <c r="T70" s="153"/>
      <c r="U70" s="153"/>
      <c r="V70" s="153"/>
    </row>
    <row r="71" spans="1:22" x14ac:dyDescent="0.3">
      <c r="A71" s="153"/>
      <c r="B71" s="153"/>
      <c r="C71" s="153"/>
      <c r="D71" s="153"/>
      <c r="E71" s="153"/>
      <c r="F71" s="153"/>
      <c r="G71" s="153"/>
      <c r="H71" s="153"/>
      <c r="I71" s="153"/>
      <c r="J71" s="153"/>
      <c r="K71" s="153"/>
      <c r="L71" s="153"/>
      <c r="M71" s="153"/>
      <c r="N71" s="153"/>
      <c r="O71" s="153"/>
      <c r="P71" s="153"/>
      <c r="Q71" s="153"/>
      <c r="R71" s="153"/>
      <c r="S71" s="153"/>
      <c r="T71" s="153"/>
      <c r="U71" s="153"/>
      <c r="V71" s="153"/>
    </row>
    <row r="72" spans="1:22" x14ac:dyDescent="0.3">
      <c r="A72" s="153"/>
      <c r="B72" s="153"/>
      <c r="C72" s="153" t="s">
        <v>751</v>
      </c>
      <c r="D72" s="153"/>
      <c r="E72" s="153"/>
      <c r="F72" s="153"/>
      <c r="G72" s="153"/>
      <c r="H72" s="153"/>
      <c r="I72" s="153"/>
      <c r="J72" s="153"/>
      <c r="K72" s="153"/>
      <c r="L72" s="153"/>
      <c r="M72" s="153"/>
      <c r="N72" s="153"/>
      <c r="O72" s="153"/>
      <c r="P72" s="153"/>
      <c r="Q72" s="153"/>
      <c r="R72" s="153"/>
      <c r="S72" s="153"/>
      <c r="T72" s="153"/>
      <c r="U72" s="153"/>
      <c r="V72" s="153"/>
    </row>
    <row r="73" spans="1:22" x14ac:dyDescent="0.3">
      <c r="A73" s="153"/>
      <c r="B73" s="153"/>
      <c r="C73" s="156">
        <f>IF(ISERROR(VLOOKUP($C$70,DESBaseCHWTable,16)),$Q$65,VLOOKUP($C$70,DESBaseCHWTable,16))</f>
        <v>4.977715355645099</v>
      </c>
      <c r="D73" s="154" t="s">
        <v>750</v>
      </c>
      <c r="E73" s="153"/>
      <c r="F73" s="153"/>
      <c r="G73" s="153"/>
      <c r="H73" s="153"/>
      <c r="I73" s="153"/>
      <c r="J73" s="153"/>
      <c r="K73" s="153"/>
      <c r="L73" s="153"/>
      <c r="M73" s="153"/>
      <c r="N73" s="153"/>
      <c r="O73" s="153"/>
      <c r="P73" s="153"/>
      <c r="Q73" s="153"/>
      <c r="R73" s="153"/>
      <c r="S73" s="153"/>
      <c r="T73" s="153"/>
      <c r="U73" s="153"/>
      <c r="V73" s="153"/>
    </row>
    <row r="74" spans="1:22" x14ac:dyDescent="0.3">
      <c r="A74" s="153"/>
      <c r="B74" s="153"/>
      <c r="C74" s="153"/>
      <c r="D74" s="153"/>
      <c r="E74" s="153"/>
      <c r="F74" s="153"/>
      <c r="G74" s="153"/>
      <c r="H74" s="153"/>
      <c r="I74" s="153"/>
      <c r="J74" s="153"/>
      <c r="K74" s="153"/>
      <c r="L74" s="153"/>
      <c r="M74" s="153"/>
      <c r="N74" s="153"/>
      <c r="O74" s="153"/>
      <c r="P74" s="153"/>
      <c r="Q74" s="153"/>
      <c r="R74" s="153"/>
      <c r="S74" s="153"/>
      <c r="T74" s="153"/>
      <c r="U74" s="153"/>
      <c r="V74" s="153"/>
    </row>
    <row r="75" spans="1:22" ht="21" x14ac:dyDescent="0.4">
      <c r="A75" s="190" t="s">
        <v>749</v>
      </c>
      <c r="B75" s="153"/>
      <c r="C75" s="153"/>
      <c r="D75" s="153"/>
      <c r="E75" s="153"/>
      <c r="F75" s="153"/>
      <c r="G75" s="153"/>
      <c r="H75" s="153"/>
      <c r="I75" s="153"/>
      <c r="J75" s="153"/>
      <c r="K75" s="153"/>
      <c r="L75" s="153"/>
      <c r="M75" s="153"/>
      <c r="N75" s="153"/>
      <c r="O75" s="153"/>
      <c r="P75" s="153"/>
      <c r="Q75" s="153"/>
      <c r="R75" s="153"/>
      <c r="S75" s="153"/>
      <c r="T75" s="153"/>
      <c r="U75" s="153"/>
      <c r="V75" s="153"/>
    </row>
    <row r="76" spans="1:22" ht="21" x14ac:dyDescent="0.4">
      <c r="A76" s="190"/>
      <c r="B76" s="153"/>
      <c r="C76" s="153"/>
      <c r="D76" s="153"/>
      <c r="E76" s="153"/>
      <c r="F76" s="153"/>
      <c r="G76" s="153"/>
      <c r="H76" s="153"/>
      <c r="I76" s="153"/>
      <c r="J76" s="153"/>
      <c r="K76" s="153"/>
      <c r="L76" s="153"/>
      <c r="M76" s="153"/>
      <c r="N76" s="153"/>
      <c r="O76" s="153"/>
      <c r="P76" s="153"/>
      <c r="Q76" s="153"/>
      <c r="R76" s="153"/>
      <c r="S76" s="153"/>
      <c r="T76" s="153"/>
      <c r="U76" s="153"/>
      <c r="V76" s="153"/>
    </row>
    <row r="77" spans="1:22" x14ac:dyDescent="0.3">
      <c r="A77" s="153"/>
      <c r="B77" s="189" t="s">
        <v>748</v>
      </c>
      <c r="C77" s="174"/>
      <c r="D77" s="174"/>
      <c r="E77" s="174"/>
      <c r="F77" s="174"/>
      <c r="G77" s="174"/>
      <c r="H77" s="174"/>
      <c r="I77" s="174"/>
      <c r="J77" s="174"/>
      <c r="K77" s="174"/>
      <c r="L77" s="188"/>
      <c r="M77" s="174"/>
      <c r="N77" s="188"/>
      <c r="O77" s="174"/>
      <c r="P77" s="174"/>
      <c r="Q77" s="174"/>
      <c r="R77" s="174"/>
      <c r="S77" s="174"/>
      <c r="T77" s="174"/>
      <c r="U77" s="174"/>
      <c r="V77" s="173"/>
    </row>
    <row r="78" spans="1:22" x14ac:dyDescent="0.3">
      <c r="A78" s="153"/>
      <c r="B78" s="187" t="s">
        <v>747</v>
      </c>
      <c r="C78" s="153"/>
      <c r="D78" s="153"/>
      <c r="E78" s="153"/>
      <c r="F78" s="153"/>
      <c r="G78" s="153"/>
      <c r="H78" s="153"/>
      <c r="I78" s="153"/>
      <c r="J78" s="153"/>
      <c r="K78" s="153"/>
      <c r="L78" s="153"/>
      <c r="M78" s="153"/>
      <c r="N78" s="153"/>
      <c r="O78" s="153"/>
      <c r="P78" s="153"/>
      <c r="Q78" s="153"/>
      <c r="R78" s="153"/>
      <c r="S78" s="153"/>
      <c r="T78" s="153"/>
      <c r="U78" s="153"/>
      <c r="V78" s="167"/>
    </row>
    <row r="79" spans="1:22" x14ac:dyDescent="0.3">
      <c r="A79" s="153"/>
      <c r="B79" s="187" t="s">
        <v>746</v>
      </c>
      <c r="C79" s="153"/>
      <c r="D79" s="153"/>
      <c r="E79" s="153"/>
      <c r="F79" s="153"/>
      <c r="G79" s="153"/>
      <c r="H79" s="153"/>
      <c r="I79" s="153"/>
      <c r="J79" s="153"/>
      <c r="K79" s="153"/>
      <c r="L79" s="153"/>
      <c r="M79" s="153"/>
      <c r="N79" s="153"/>
      <c r="O79" s="153"/>
      <c r="P79" s="153"/>
      <c r="Q79" s="153"/>
      <c r="R79" s="153"/>
      <c r="S79" s="153"/>
      <c r="T79" s="153"/>
      <c r="U79" s="153"/>
      <c r="V79" s="167"/>
    </row>
    <row r="80" spans="1:22" x14ac:dyDescent="0.3">
      <c r="A80" s="153"/>
      <c r="B80" s="187" t="s">
        <v>745</v>
      </c>
      <c r="C80" s="153"/>
      <c r="D80" s="153"/>
      <c r="E80" s="153"/>
      <c r="F80" s="153"/>
      <c r="G80" s="153"/>
      <c r="H80" s="153"/>
      <c r="I80" s="153"/>
      <c r="J80" s="153"/>
      <c r="K80" s="153"/>
      <c r="L80" s="153"/>
      <c r="M80" s="153"/>
      <c r="N80" s="153"/>
      <c r="O80" s="153"/>
      <c r="P80" s="153"/>
      <c r="Q80" s="153"/>
      <c r="R80" s="153"/>
      <c r="S80" s="153"/>
      <c r="T80" s="153"/>
      <c r="U80" s="153"/>
      <c r="V80" s="167"/>
    </row>
    <row r="81" spans="1:22" x14ac:dyDescent="0.3">
      <c r="A81" s="153"/>
      <c r="B81" s="187" t="s">
        <v>744</v>
      </c>
      <c r="C81" s="153"/>
      <c r="D81" s="153"/>
      <c r="E81" s="153"/>
      <c r="F81" s="153"/>
      <c r="G81" s="153"/>
      <c r="H81" s="153"/>
      <c r="I81" s="153"/>
      <c r="J81" s="153"/>
      <c r="K81" s="153"/>
      <c r="L81" s="153"/>
      <c r="M81" s="153"/>
      <c r="N81" s="153"/>
      <c r="O81" s="153"/>
      <c r="P81" s="153"/>
      <c r="Q81" s="153"/>
      <c r="R81" s="153"/>
      <c r="S81" s="153"/>
      <c r="T81" s="153"/>
      <c r="U81" s="153"/>
      <c r="V81" s="167"/>
    </row>
    <row r="82" spans="1:22" x14ac:dyDescent="0.3">
      <c r="A82" s="153"/>
      <c r="B82" s="187" t="s">
        <v>743</v>
      </c>
      <c r="C82" s="153"/>
      <c r="D82" s="153"/>
      <c r="E82" s="153"/>
      <c r="F82" s="153"/>
      <c r="G82" s="153"/>
      <c r="H82" s="153"/>
      <c r="I82" s="153"/>
      <c r="J82" s="153"/>
      <c r="K82" s="153"/>
      <c r="L82" s="153"/>
      <c r="M82" s="153"/>
      <c r="N82" s="153"/>
      <c r="O82" s="153"/>
      <c r="P82" s="153"/>
      <c r="Q82" s="153"/>
      <c r="R82" s="153"/>
      <c r="S82" s="153"/>
      <c r="T82" s="153"/>
      <c r="U82" s="153"/>
      <c r="V82" s="167"/>
    </row>
    <row r="83" spans="1:22" x14ac:dyDescent="0.3">
      <c r="A83" s="153"/>
      <c r="B83" s="186" t="s">
        <v>742</v>
      </c>
      <c r="C83" s="185"/>
      <c r="D83" s="185"/>
      <c r="E83" s="185"/>
      <c r="F83" s="185"/>
      <c r="G83" s="185"/>
      <c r="H83" s="185"/>
      <c r="I83" s="185"/>
      <c r="J83" s="185"/>
      <c r="K83" s="185"/>
      <c r="L83" s="185"/>
      <c r="M83" s="185"/>
      <c r="N83" s="185"/>
      <c r="O83" s="185"/>
      <c r="P83" s="185"/>
      <c r="Q83" s="185"/>
      <c r="R83" s="185"/>
      <c r="S83" s="185"/>
      <c r="T83" s="185"/>
      <c r="U83" s="185"/>
      <c r="V83" s="184"/>
    </row>
    <row r="84" spans="1:22" x14ac:dyDescent="0.3">
      <c r="A84" s="153"/>
      <c r="B84" s="153"/>
      <c r="C84" s="153"/>
      <c r="D84" s="153"/>
      <c r="E84" s="153"/>
      <c r="F84" s="153"/>
      <c r="G84" s="153"/>
      <c r="H84" s="153"/>
      <c r="I84" s="153"/>
      <c r="J84" s="153"/>
      <c r="K84" s="153"/>
      <c r="L84" s="153"/>
      <c r="M84" s="153"/>
      <c r="N84" s="153"/>
      <c r="O84" s="153"/>
      <c r="P84" s="153"/>
      <c r="Q84" s="153"/>
      <c r="R84" s="153"/>
      <c r="S84" s="153"/>
      <c r="T84" s="153"/>
      <c r="U84" s="153"/>
      <c r="V84" s="153"/>
    </row>
    <row r="85" spans="1:22" x14ac:dyDescent="0.3">
      <c r="A85" s="153"/>
      <c r="C85" s="153"/>
      <c r="D85" s="153"/>
      <c r="E85" s="153"/>
      <c r="F85" s="153"/>
      <c r="G85" s="153"/>
      <c r="H85" s="153"/>
      <c r="I85" s="153"/>
      <c r="J85" s="153"/>
      <c r="K85" s="153"/>
      <c r="L85" s="153"/>
      <c r="M85" s="153"/>
      <c r="N85" s="153"/>
      <c r="O85" s="153"/>
      <c r="P85" s="153"/>
      <c r="Q85" s="153"/>
      <c r="R85" s="153"/>
      <c r="S85" s="153"/>
      <c r="T85" s="153"/>
      <c r="U85" s="153"/>
      <c r="V85" s="153"/>
    </row>
    <row r="86" spans="1:22" x14ac:dyDescent="0.3">
      <c r="A86" s="153"/>
      <c r="B86" s="175" t="s">
        <v>741</v>
      </c>
      <c r="C86" s="174"/>
      <c r="D86" s="174"/>
      <c r="E86" s="174"/>
      <c r="F86" s="174"/>
      <c r="G86" s="174"/>
      <c r="H86" s="174"/>
      <c r="I86" s="174"/>
      <c r="J86" s="174"/>
      <c r="K86" s="174"/>
      <c r="L86" s="174"/>
      <c r="M86" s="174"/>
      <c r="N86" s="174"/>
      <c r="O86" s="174"/>
      <c r="P86" s="174"/>
      <c r="Q86" s="174"/>
      <c r="R86" s="174"/>
      <c r="S86" s="174"/>
      <c r="T86" s="174"/>
      <c r="U86" s="174"/>
      <c r="V86" s="173"/>
    </row>
    <row r="87" spans="1:22" x14ac:dyDescent="0.3">
      <c r="A87" s="153"/>
      <c r="B87" s="183" t="s">
        <v>740</v>
      </c>
      <c r="C87" s="153"/>
      <c r="D87" s="153"/>
      <c r="E87" s="153"/>
      <c r="F87" s="153"/>
      <c r="G87" s="153"/>
      <c r="H87" s="153"/>
      <c r="I87" s="153"/>
      <c r="J87" s="153"/>
      <c r="K87" s="153"/>
      <c r="L87" s="153"/>
      <c r="M87" s="153"/>
      <c r="N87" s="153"/>
      <c r="O87" s="153"/>
      <c r="P87" s="153"/>
      <c r="Q87" s="153"/>
      <c r="R87" s="153"/>
      <c r="S87" s="153"/>
      <c r="T87" s="153"/>
      <c r="U87" s="153"/>
      <c r="V87" s="167"/>
    </row>
    <row r="88" spans="1:22" x14ac:dyDescent="0.3">
      <c r="A88" s="153"/>
      <c r="B88" s="183" t="s">
        <v>739</v>
      </c>
      <c r="C88" s="153"/>
      <c r="D88" s="153"/>
      <c r="E88" s="153"/>
      <c r="F88" s="153"/>
      <c r="G88" s="153"/>
      <c r="H88" s="153"/>
      <c r="I88" s="153"/>
      <c r="J88" s="153"/>
      <c r="K88" s="153"/>
      <c r="L88" s="153"/>
      <c r="M88" s="153"/>
      <c r="N88" s="153"/>
      <c r="O88" s="153"/>
      <c r="P88" s="153"/>
      <c r="Q88" s="153"/>
      <c r="R88" s="153"/>
      <c r="S88" s="153"/>
      <c r="T88" s="153"/>
      <c r="U88" s="153"/>
      <c r="V88" s="167"/>
    </row>
    <row r="89" spans="1:22" x14ac:dyDescent="0.3">
      <c r="A89" s="153"/>
      <c r="B89" s="180" t="s">
        <v>738</v>
      </c>
      <c r="C89" s="153"/>
      <c r="D89" s="153"/>
      <c r="E89" s="153"/>
      <c r="F89" s="153"/>
      <c r="G89" s="153"/>
      <c r="H89" s="153"/>
      <c r="I89" s="153"/>
      <c r="J89" s="153"/>
      <c r="K89" s="153"/>
      <c r="L89" s="153"/>
      <c r="M89" s="153"/>
      <c r="N89" s="153"/>
      <c r="O89" s="153"/>
      <c r="P89" s="153"/>
      <c r="Q89" s="153"/>
      <c r="R89" s="153"/>
      <c r="S89" s="153"/>
      <c r="T89" s="153"/>
      <c r="U89" s="153"/>
      <c r="V89" s="167"/>
    </row>
    <row r="90" spans="1:22" x14ac:dyDescent="0.3">
      <c r="A90" s="153"/>
      <c r="B90" s="179" t="s">
        <v>737</v>
      </c>
      <c r="C90" s="153"/>
      <c r="D90" s="153"/>
      <c r="E90" s="182"/>
      <c r="F90" s="153"/>
      <c r="G90" s="153"/>
      <c r="H90" s="153"/>
      <c r="I90" s="153"/>
      <c r="J90" s="153"/>
      <c r="K90" s="153"/>
      <c r="L90" s="153"/>
      <c r="M90" s="153"/>
      <c r="N90" s="153"/>
      <c r="O90" s="153"/>
      <c r="P90" s="153"/>
      <c r="Q90" s="153"/>
      <c r="R90" s="153"/>
      <c r="S90" s="153"/>
      <c r="T90" s="153"/>
      <c r="U90" s="153"/>
      <c r="V90" s="167"/>
    </row>
    <row r="91" spans="1:22" x14ac:dyDescent="0.3">
      <c r="A91" s="153"/>
      <c r="B91" s="183"/>
      <c r="C91" s="153"/>
      <c r="D91" s="153"/>
      <c r="E91" s="153"/>
      <c r="F91" s="153"/>
      <c r="G91" s="153"/>
      <c r="H91" s="153"/>
      <c r="I91" s="153"/>
      <c r="J91" s="153"/>
      <c r="K91" s="153"/>
      <c r="L91" s="153"/>
      <c r="M91" s="153"/>
      <c r="N91" s="153"/>
      <c r="O91" s="153"/>
      <c r="P91" s="153"/>
      <c r="Q91" s="153"/>
      <c r="R91" s="153"/>
      <c r="S91" s="153"/>
      <c r="T91" s="153"/>
      <c r="U91" s="153"/>
      <c r="V91" s="167"/>
    </row>
    <row r="92" spans="1:22" x14ac:dyDescent="0.3">
      <c r="A92" s="153"/>
      <c r="B92" s="183" t="s">
        <v>736</v>
      </c>
      <c r="C92" s="153"/>
      <c r="D92" s="153"/>
      <c r="E92" s="153"/>
      <c r="F92" s="153"/>
      <c r="G92" s="153"/>
      <c r="H92" s="153"/>
      <c r="I92" s="153"/>
      <c r="J92" s="153"/>
      <c r="K92" s="153"/>
      <c r="L92" s="153"/>
      <c r="M92" s="153"/>
      <c r="N92" s="153"/>
      <c r="O92" s="153"/>
      <c r="P92" s="153"/>
      <c r="Q92" s="153"/>
      <c r="R92" s="153"/>
      <c r="S92" s="153"/>
      <c r="T92" s="153"/>
      <c r="U92" s="153"/>
      <c r="V92" s="167"/>
    </row>
    <row r="93" spans="1:22" x14ac:dyDescent="0.3">
      <c r="A93" s="153"/>
      <c r="B93" s="180" t="s">
        <v>735</v>
      </c>
      <c r="C93" s="153" t="s">
        <v>731</v>
      </c>
      <c r="D93" s="153" t="s">
        <v>730</v>
      </c>
      <c r="E93" s="153"/>
      <c r="F93" s="153"/>
      <c r="G93" s="153"/>
      <c r="H93" s="153"/>
      <c r="I93" s="153"/>
      <c r="J93" s="153"/>
      <c r="K93" s="153"/>
      <c r="L93" s="153"/>
      <c r="M93" s="153"/>
      <c r="N93" s="153"/>
      <c r="O93" s="153"/>
      <c r="P93" s="153"/>
      <c r="Q93" s="153"/>
      <c r="R93" s="153"/>
      <c r="S93" s="153"/>
      <c r="T93" s="153"/>
      <c r="U93" s="153"/>
      <c r="V93" s="167"/>
    </row>
    <row r="94" spans="1:22" x14ac:dyDescent="0.3">
      <c r="A94" s="153"/>
      <c r="B94" s="179"/>
      <c r="C94" s="153" t="s">
        <v>729</v>
      </c>
      <c r="D94" s="153" t="s">
        <v>734</v>
      </c>
      <c r="E94" s="182"/>
      <c r="F94" s="153"/>
      <c r="G94" s="153"/>
      <c r="H94" s="153"/>
      <c r="I94" s="153"/>
      <c r="J94" s="153"/>
      <c r="K94" s="153"/>
      <c r="L94" s="153"/>
      <c r="M94" s="153"/>
      <c r="N94" s="153"/>
      <c r="O94" s="153"/>
      <c r="P94" s="153"/>
      <c r="Q94" s="153"/>
      <c r="R94" s="153"/>
      <c r="S94" s="153"/>
      <c r="T94" s="153"/>
      <c r="U94" s="153"/>
      <c r="V94" s="167"/>
    </row>
    <row r="95" spans="1:22" x14ac:dyDescent="0.3">
      <c r="B95" s="178"/>
      <c r="C95" s="177" t="s">
        <v>727</v>
      </c>
      <c r="D95" s="152" t="s">
        <v>733</v>
      </c>
      <c r="V95" s="176"/>
    </row>
    <row r="96" spans="1:22" x14ac:dyDescent="0.3">
      <c r="B96" s="181"/>
      <c r="V96" s="176"/>
    </row>
    <row r="97" spans="1:22" x14ac:dyDescent="0.3">
      <c r="B97" s="180" t="s">
        <v>732</v>
      </c>
      <c r="C97" s="153" t="s">
        <v>731</v>
      </c>
      <c r="D97" s="153" t="s">
        <v>730</v>
      </c>
      <c r="V97" s="176"/>
    </row>
    <row r="98" spans="1:22" x14ac:dyDescent="0.3">
      <c r="B98" s="179"/>
      <c r="C98" s="153" t="s">
        <v>729</v>
      </c>
      <c r="D98" s="153" t="s">
        <v>728</v>
      </c>
      <c r="V98" s="176"/>
    </row>
    <row r="99" spans="1:22" x14ac:dyDescent="0.3">
      <c r="B99" s="178"/>
      <c r="C99" s="177" t="s">
        <v>727</v>
      </c>
      <c r="D99" s="152" t="s">
        <v>726</v>
      </c>
      <c r="V99" s="176"/>
    </row>
    <row r="100" spans="1:22" x14ac:dyDescent="0.3">
      <c r="B100" s="166"/>
      <c r="C100" s="165"/>
      <c r="D100" s="165"/>
      <c r="E100" s="165"/>
      <c r="F100" s="165"/>
      <c r="G100" s="165"/>
      <c r="H100" s="165"/>
      <c r="I100" s="165"/>
      <c r="J100" s="165"/>
      <c r="K100" s="165"/>
      <c r="L100" s="165"/>
      <c r="M100" s="165"/>
      <c r="N100" s="165"/>
      <c r="O100" s="165"/>
      <c r="P100" s="165"/>
      <c r="Q100" s="165"/>
      <c r="R100" s="165"/>
      <c r="S100" s="165"/>
      <c r="T100" s="165"/>
      <c r="U100" s="165"/>
      <c r="V100" s="164"/>
    </row>
    <row r="102" spans="1:22" x14ac:dyDescent="0.3">
      <c r="A102" s="153"/>
      <c r="B102" s="175" t="s">
        <v>725</v>
      </c>
      <c r="C102" s="174"/>
      <c r="D102" s="174"/>
      <c r="E102" s="174"/>
      <c r="F102" s="174"/>
      <c r="G102" s="174"/>
      <c r="H102" s="174"/>
      <c r="I102" s="174"/>
      <c r="J102" s="174"/>
      <c r="K102" s="174"/>
      <c r="L102" s="174"/>
      <c r="M102" s="174"/>
      <c r="N102" s="174"/>
      <c r="O102" s="174"/>
      <c r="P102" s="174"/>
      <c r="Q102" s="174"/>
      <c r="R102" s="174"/>
      <c r="S102" s="174"/>
      <c r="T102" s="174"/>
      <c r="U102" s="174"/>
      <c r="V102" s="173"/>
    </row>
    <row r="103" spans="1:22" x14ac:dyDescent="0.3">
      <c r="A103" s="153"/>
      <c r="B103" s="170"/>
      <c r="C103" s="153">
        <v>19</v>
      </c>
      <c r="D103" s="153" t="s">
        <v>257</v>
      </c>
      <c r="E103" s="153"/>
      <c r="F103" s="153"/>
      <c r="G103" s="153"/>
      <c r="H103" s="153"/>
      <c r="I103" s="153"/>
      <c r="J103" s="153"/>
      <c r="K103" s="153"/>
      <c r="L103" s="153"/>
      <c r="M103" s="153"/>
      <c r="N103" s="153"/>
      <c r="O103" s="153"/>
      <c r="P103" s="153"/>
      <c r="Q103" s="153"/>
      <c r="R103" s="153"/>
      <c r="S103" s="153"/>
      <c r="T103" s="153"/>
      <c r="U103" s="153"/>
      <c r="V103" s="167"/>
    </row>
    <row r="104" spans="1:22" x14ac:dyDescent="0.3">
      <c r="A104" s="153"/>
      <c r="B104" s="170"/>
      <c r="C104" s="153" t="s">
        <v>724</v>
      </c>
      <c r="D104" s="153"/>
      <c r="E104" s="153"/>
      <c r="F104" s="153"/>
      <c r="G104" s="153"/>
      <c r="H104" s="153"/>
      <c r="I104" s="153"/>
      <c r="J104" s="153"/>
      <c r="K104" s="153"/>
      <c r="L104" s="153"/>
      <c r="M104" s="153"/>
      <c r="N104" s="153"/>
      <c r="O104" s="153"/>
      <c r="P104" s="153"/>
      <c r="Q104" s="153"/>
      <c r="R104" s="153"/>
      <c r="S104" s="153"/>
      <c r="T104" s="153"/>
      <c r="U104" s="153"/>
      <c r="V104" s="167"/>
    </row>
    <row r="105" spans="1:22" x14ac:dyDescent="0.3">
      <c r="A105" s="153"/>
      <c r="B105" s="170"/>
      <c r="C105" s="153" t="s">
        <v>723</v>
      </c>
      <c r="D105" s="153" t="s">
        <v>718</v>
      </c>
      <c r="E105" s="172" t="s">
        <v>722</v>
      </c>
      <c r="F105" s="153">
        <f>C103</f>
        <v>19</v>
      </c>
      <c r="G105" s="153" t="s">
        <v>257</v>
      </c>
      <c r="H105" s="153" t="s">
        <v>465</v>
      </c>
      <c r="I105" s="153">
        <v>0.1366</v>
      </c>
      <c r="J105" s="153" t="s">
        <v>721</v>
      </c>
      <c r="K105" s="171" t="s">
        <v>720</v>
      </c>
      <c r="L105" s="153" t="s">
        <v>719</v>
      </c>
      <c r="M105" s="153"/>
      <c r="N105" s="153"/>
      <c r="O105" s="153"/>
      <c r="P105" s="153"/>
      <c r="Q105" s="153"/>
      <c r="R105" s="153"/>
      <c r="S105" s="153"/>
      <c r="T105" s="153"/>
      <c r="U105" s="153"/>
      <c r="V105" s="167"/>
    </row>
    <row r="106" spans="1:22" x14ac:dyDescent="0.3">
      <c r="A106" s="153"/>
      <c r="B106" s="170"/>
      <c r="C106" s="169">
        <f>F105*I105/1000</f>
        <v>2.5954000000000003E-3</v>
      </c>
      <c r="D106" s="168" t="s">
        <v>718</v>
      </c>
      <c r="E106" s="153"/>
      <c r="F106" s="153"/>
      <c r="G106" s="153"/>
      <c r="H106" s="153"/>
      <c r="I106" s="153"/>
      <c r="J106" s="153"/>
      <c r="K106" s="153"/>
      <c r="L106" s="153"/>
      <c r="M106" s="153"/>
      <c r="N106" s="153"/>
      <c r="O106" s="153"/>
      <c r="P106" s="153"/>
      <c r="Q106" s="153"/>
      <c r="R106" s="153"/>
      <c r="S106" s="153"/>
      <c r="T106" s="153"/>
      <c r="U106" s="153"/>
      <c r="V106" s="167"/>
    </row>
    <row r="107" spans="1:22" x14ac:dyDescent="0.3">
      <c r="B107" s="166"/>
      <c r="C107" s="165"/>
      <c r="D107" s="165"/>
      <c r="E107" s="165"/>
      <c r="F107" s="165"/>
      <c r="G107" s="165"/>
      <c r="H107" s="165"/>
      <c r="I107" s="165"/>
      <c r="J107" s="165"/>
      <c r="K107" s="165"/>
      <c r="L107" s="165"/>
      <c r="M107" s="165"/>
      <c r="N107" s="165"/>
      <c r="O107" s="165"/>
      <c r="P107" s="165"/>
      <c r="Q107" s="165"/>
      <c r="R107" s="165"/>
      <c r="S107" s="165"/>
      <c r="T107" s="165"/>
      <c r="U107" s="165"/>
      <c r="V107" s="164"/>
    </row>
    <row r="109" spans="1:22" x14ac:dyDescent="0.3">
      <c r="A109" s="153"/>
      <c r="B109" s="1105" t="s">
        <v>717</v>
      </c>
      <c r="C109" s="1106"/>
      <c r="D109" s="1106"/>
      <c r="E109" s="1106"/>
      <c r="F109" s="1106"/>
      <c r="G109" s="1106"/>
      <c r="H109" s="1106"/>
      <c r="I109" s="1106"/>
      <c r="J109" s="1106"/>
      <c r="K109" s="1106"/>
      <c r="L109" s="1106"/>
      <c r="M109" s="1106"/>
      <c r="N109" s="1106"/>
      <c r="O109" s="1106"/>
      <c r="P109" s="1106"/>
      <c r="Q109" s="1106"/>
      <c r="R109" s="1106"/>
      <c r="S109" s="1106"/>
      <c r="T109" s="1106"/>
      <c r="U109" s="1106"/>
      <c r="V109" s="1106"/>
    </row>
    <row r="110" spans="1:22" x14ac:dyDescent="0.3">
      <c r="A110" s="153"/>
      <c r="B110" s="1105" t="s">
        <v>716</v>
      </c>
      <c r="C110" s="1106"/>
      <c r="D110" s="1106"/>
      <c r="E110" s="1106"/>
      <c r="F110" s="1106"/>
      <c r="G110" s="1106"/>
      <c r="H110" s="1106"/>
      <c r="I110" s="1106"/>
      <c r="J110" s="1106"/>
      <c r="K110" s="1106"/>
      <c r="L110" s="1106"/>
      <c r="M110" s="1106"/>
      <c r="N110" s="1106"/>
      <c r="O110" s="1106"/>
      <c r="P110" s="1106"/>
      <c r="Q110" s="1106"/>
      <c r="R110" s="1106"/>
      <c r="S110" s="1106"/>
      <c r="T110" s="1106"/>
      <c r="U110" s="1106"/>
      <c r="V110" s="1106"/>
    </row>
    <row r="111" spans="1:22" x14ac:dyDescent="0.3">
      <c r="A111" s="153"/>
      <c r="B111" s="1107"/>
      <c r="C111" s="1105" t="s">
        <v>715</v>
      </c>
      <c r="D111" s="1108">
        <v>1.25</v>
      </c>
      <c r="E111" s="1106"/>
      <c r="F111" s="1106"/>
      <c r="G111" s="1106"/>
      <c r="H111" s="1106"/>
      <c r="I111" s="1106"/>
      <c r="J111" s="1106"/>
      <c r="K111" s="1106"/>
      <c r="L111" s="1106"/>
      <c r="M111" s="1106"/>
      <c r="N111" s="1106"/>
      <c r="O111" s="1106"/>
      <c r="P111" s="1106"/>
      <c r="Q111" s="1106"/>
      <c r="R111" s="1106"/>
      <c r="S111" s="1106"/>
      <c r="T111" s="1106"/>
      <c r="U111" s="1106"/>
      <c r="V111" s="1106"/>
    </row>
    <row r="112" spans="1:22" x14ac:dyDescent="0.3">
      <c r="A112" s="153"/>
      <c r="B112" s="1105"/>
      <c r="C112" s="1106"/>
      <c r="D112" s="1106"/>
      <c r="E112" s="1106"/>
      <c r="F112" s="1106"/>
      <c r="G112" s="1106"/>
      <c r="H112" s="1106"/>
      <c r="I112" s="1106"/>
      <c r="J112" s="1106"/>
      <c r="K112" s="1106"/>
      <c r="L112" s="1106"/>
      <c r="M112" s="1106"/>
      <c r="N112" s="1106"/>
      <c r="O112" s="1106"/>
      <c r="P112" s="1106"/>
      <c r="Q112" s="1106"/>
      <c r="R112" s="1106"/>
      <c r="S112" s="1106"/>
      <c r="T112" s="1106"/>
      <c r="U112" s="1106"/>
      <c r="V112" s="1106"/>
    </row>
    <row r="113" spans="1:22" ht="66.599999999999994" x14ac:dyDescent="0.3">
      <c r="B113" s="3041" t="s">
        <v>714</v>
      </c>
      <c r="C113" s="3041"/>
      <c r="D113" s="3041" t="s">
        <v>713</v>
      </c>
      <c r="E113" s="3041"/>
      <c r="F113" s="1109" t="s">
        <v>712</v>
      </c>
      <c r="G113" s="3042" t="s">
        <v>704</v>
      </c>
      <c r="H113" s="3042"/>
      <c r="I113" s="3043" t="s">
        <v>703</v>
      </c>
      <c r="J113" s="1107"/>
      <c r="K113" s="1107"/>
      <c r="L113" s="1107"/>
      <c r="M113" s="1107"/>
      <c r="N113" s="1107"/>
      <c r="O113" s="1107"/>
      <c r="P113" s="1107"/>
      <c r="Q113" s="1107"/>
      <c r="R113" s="1107"/>
      <c r="S113" s="1107"/>
      <c r="T113" s="1107"/>
      <c r="U113" s="1107"/>
      <c r="V113" s="1107"/>
    </row>
    <row r="114" spans="1:22" x14ac:dyDescent="0.3">
      <c r="B114" s="3041"/>
      <c r="C114" s="3041"/>
      <c r="D114" s="3041" t="s">
        <v>710</v>
      </c>
      <c r="E114" s="3041"/>
      <c r="F114" s="1110" t="s">
        <v>711</v>
      </c>
      <c r="G114" s="3042" t="s">
        <v>710</v>
      </c>
      <c r="H114" s="3042"/>
      <c r="I114" s="3044"/>
      <c r="J114" s="1107"/>
      <c r="K114" s="1107"/>
      <c r="L114" s="1107"/>
      <c r="M114" s="1107"/>
      <c r="N114" s="1107"/>
      <c r="O114" s="1107"/>
      <c r="P114" s="1107"/>
      <c r="Q114" s="1107"/>
      <c r="R114" s="1107"/>
      <c r="S114" s="1107"/>
      <c r="T114" s="1107"/>
      <c r="U114" s="1107"/>
      <c r="V114" s="1107"/>
    </row>
    <row r="115" spans="1:22" x14ac:dyDescent="0.3">
      <c r="B115" s="1110" t="s">
        <v>245</v>
      </c>
      <c r="C115" s="1110" t="s">
        <v>243</v>
      </c>
      <c r="D115" s="1110" t="s">
        <v>709</v>
      </c>
      <c r="E115" s="1110" t="s">
        <v>708</v>
      </c>
      <c r="F115" s="1110"/>
      <c r="G115" s="1111" t="s">
        <v>709</v>
      </c>
      <c r="H115" s="1111" t="s">
        <v>708</v>
      </c>
      <c r="I115" s="3045"/>
      <c r="J115" s="1107"/>
      <c r="K115" s="1107"/>
      <c r="L115" s="1107"/>
      <c r="M115" s="1107"/>
      <c r="N115" s="1107"/>
      <c r="O115" s="1107"/>
      <c r="P115" s="1107"/>
      <c r="Q115" s="1107"/>
      <c r="R115" s="1107"/>
      <c r="S115" s="1107"/>
      <c r="T115" s="1107"/>
      <c r="U115" s="1107"/>
      <c r="V115" s="1107"/>
    </row>
    <row r="116" spans="1:22" x14ac:dyDescent="0.3">
      <c r="B116" s="163">
        <v>0</v>
      </c>
      <c r="C116" s="1110">
        <v>0</v>
      </c>
      <c r="D116" s="1112">
        <v>0.8</v>
      </c>
      <c r="E116" s="1112">
        <v>0.8</v>
      </c>
      <c r="F116" s="161">
        <f>$C$106*3000/1500*0.72</f>
        <v>3.7373760000000002E-3</v>
      </c>
      <c r="G116" s="160">
        <f t="shared" ref="G116:H118" si="4">D116</f>
        <v>0.8</v>
      </c>
      <c r="H116" s="160">
        <f t="shared" si="4"/>
        <v>0.8</v>
      </c>
      <c r="I116" s="1113">
        <f>1/F116</f>
        <v>267.5674055808139</v>
      </c>
      <c r="J116" s="1107"/>
      <c r="K116" s="1107"/>
      <c r="L116" s="1107"/>
      <c r="M116" s="1107"/>
      <c r="N116" s="1107"/>
      <c r="O116" s="1107"/>
      <c r="P116" s="1107"/>
      <c r="Q116" s="1107"/>
      <c r="R116" s="1107"/>
      <c r="S116" s="1107"/>
      <c r="T116" s="1107"/>
      <c r="U116" s="1107"/>
      <c r="V116" s="1107"/>
    </row>
    <row r="117" spans="1:22" x14ac:dyDescent="0.3">
      <c r="B117" s="162">
        <f>300000/$D$111</f>
        <v>240000</v>
      </c>
      <c r="C117" s="1110">
        <v>88</v>
      </c>
      <c r="D117" s="1112">
        <v>0.8</v>
      </c>
      <c r="E117" s="1112">
        <v>0.82</v>
      </c>
      <c r="F117" s="161">
        <f>$C$106*3000/1500*0.42</f>
        <v>2.1801360000000001E-3</v>
      </c>
      <c r="G117" s="160">
        <f t="shared" si="4"/>
        <v>0.8</v>
      </c>
      <c r="H117" s="160">
        <f t="shared" si="4"/>
        <v>0.82</v>
      </c>
      <c r="I117" s="1113">
        <f>1/F117</f>
        <v>458.68698099568098</v>
      </c>
      <c r="J117" s="1107"/>
      <c r="K117" s="1107"/>
      <c r="L117" s="1107"/>
      <c r="M117" s="1107"/>
      <c r="N117" s="1107"/>
      <c r="O117" s="1107"/>
      <c r="P117" s="1107"/>
      <c r="Q117" s="1107"/>
      <c r="R117" s="1107"/>
      <c r="S117" s="1107"/>
      <c r="T117" s="1107"/>
      <c r="U117" s="1107"/>
      <c r="V117" s="1107"/>
    </row>
    <row r="118" spans="1:22" x14ac:dyDescent="0.3">
      <c r="B118" s="162">
        <f>2500000/$D$111</f>
        <v>2000000</v>
      </c>
      <c r="C118" s="1110">
        <v>733</v>
      </c>
      <c r="D118" s="1112">
        <v>0.82</v>
      </c>
      <c r="E118" s="1112">
        <v>0.84</v>
      </c>
      <c r="F118" s="161">
        <f>$C$106*3000/1500*0.42</f>
        <v>2.1801360000000001E-3</v>
      </c>
      <c r="G118" s="160">
        <f t="shared" si="4"/>
        <v>0.82</v>
      </c>
      <c r="H118" s="160">
        <f t="shared" si="4"/>
        <v>0.84</v>
      </c>
      <c r="I118" s="1113">
        <f>1/F118</f>
        <v>458.68698099568098</v>
      </c>
      <c r="J118" s="1107"/>
      <c r="K118" s="1107"/>
      <c r="L118" s="1107"/>
      <c r="M118" s="1107"/>
      <c r="N118" s="1107"/>
      <c r="O118" s="1107"/>
      <c r="P118" s="1107"/>
      <c r="Q118" s="1107"/>
      <c r="R118" s="1107"/>
      <c r="S118" s="1107"/>
      <c r="T118" s="1107"/>
      <c r="U118" s="1107"/>
      <c r="V118" s="1107"/>
    </row>
    <row r="119" spans="1:22" x14ac:dyDescent="0.3">
      <c r="B119" s="1107"/>
      <c r="C119" s="1107"/>
      <c r="D119" s="1107"/>
      <c r="E119" s="1107"/>
      <c r="F119" s="1107"/>
      <c r="G119" s="1107"/>
      <c r="H119" s="1107"/>
      <c r="I119" s="1107"/>
      <c r="J119" s="1107"/>
      <c r="K119" s="1107"/>
      <c r="L119" s="1107"/>
      <c r="M119" s="1107"/>
      <c r="N119" s="1107"/>
      <c r="O119" s="1107"/>
      <c r="P119" s="1107"/>
      <c r="Q119" s="1107"/>
      <c r="R119" s="1107"/>
      <c r="S119" s="1107"/>
      <c r="T119" s="1107"/>
      <c r="U119" s="1107"/>
      <c r="V119" s="1107"/>
    </row>
    <row r="120" spans="1:22" x14ac:dyDescent="0.3">
      <c r="A120" s="153"/>
      <c r="B120" s="159" t="s">
        <v>1196</v>
      </c>
      <c r="C120" s="153"/>
      <c r="D120" s="153"/>
      <c r="E120" s="153"/>
      <c r="F120" s="153"/>
      <c r="G120" s="153"/>
      <c r="H120" s="153"/>
      <c r="I120" s="153"/>
      <c r="J120" s="153"/>
      <c r="K120" s="153"/>
      <c r="L120" s="153"/>
      <c r="M120" s="153"/>
      <c r="N120" s="153"/>
      <c r="O120" s="153"/>
      <c r="P120" s="153"/>
      <c r="Q120" s="153"/>
      <c r="R120" s="153"/>
      <c r="S120" s="153"/>
      <c r="T120" s="153"/>
      <c r="U120" s="153"/>
      <c r="V120" s="153"/>
    </row>
    <row r="121" spans="1:22" x14ac:dyDescent="0.3">
      <c r="A121" s="153"/>
      <c r="B121" s="158"/>
      <c r="C121" s="153"/>
      <c r="D121" s="153"/>
      <c r="E121" s="153"/>
      <c r="F121" s="153"/>
      <c r="G121" s="153"/>
      <c r="H121" s="153"/>
      <c r="I121" s="153"/>
      <c r="J121" s="153"/>
      <c r="K121" s="153"/>
      <c r="L121" s="153"/>
      <c r="M121" s="153"/>
      <c r="N121" s="153"/>
      <c r="O121" s="153"/>
      <c r="P121" s="153"/>
      <c r="Q121" s="153"/>
      <c r="R121" s="153"/>
      <c r="S121" s="153"/>
      <c r="T121" s="153"/>
      <c r="U121" s="153"/>
      <c r="V121" s="153"/>
    </row>
    <row r="122" spans="1:22" x14ac:dyDescent="0.3">
      <c r="A122" s="153"/>
      <c r="B122" s="153"/>
      <c r="C122" s="588" t="s">
        <v>1197</v>
      </c>
      <c r="D122" s="153"/>
      <c r="E122" s="153"/>
      <c r="F122" s="153"/>
      <c r="G122" s="153"/>
      <c r="H122" s="153"/>
      <c r="I122" s="153"/>
      <c r="J122" s="153"/>
      <c r="K122" s="153"/>
      <c r="L122" s="153"/>
      <c r="M122" s="153"/>
      <c r="N122" s="153"/>
      <c r="O122" s="153"/>
      <c r="P122" s="153"/>
      <c r="Q122" s="153"/>
      <c r="R122" s="153"/>
      <c r="S122" s="153"/>
      <c r="T122" s="153"/>
      <c r="U122" s="153"/>
      <c r="V122" s="153"/>
    </row>
    <row r="123" spans="1:22" x14ac:dyDescent="0.3">
      <c r="A123" s="153"/>
      <c r="B123" s="153"/>
      <c r="C123" s="157">
        <f>IF(SUMIF(Performance_Outputs_1!$R$170:$R$217,"District Hot Water",Performance_Outputs_1!$G$170:$G$217)+SUMIF(Performance_Outputs_1!$R$170:$R$217,"District Steam",Performance_Outputs_1!$G$170:$G$217)=0,3000000,IF(ISERROR(VLOOKUP(VLOOKUP("District Hot Water",Performance_Outputs_1!$B$17:$F$18,5,FALSE),DemandTable,3,FALSE)),IF(ISERROR(VLOOKUP(VLOOKUP("District Steam",Performance_Outputs_1!$B$17:$F$18,5,FALSE),DemandTable,3,FALSE)),3000000,(SUMIF(Performance_Outputs_1!$R$170:$R$217,"District Steam",Performance_Outputs_1!$G$170:$G$217)*(VLOOKUP(VLOOKUP("District Steam",Performance_Outputs_1!$B$17:$F$18,5,FALSE),DemandTable,3,FALSE))/VLOOKUP("Btuh",DemandTable,3,FALSE))),(SUMIF(Performance_Outputs_1!$R$170:$R$217,"District Hot Water",Performance_Outputs_1!$G$170:$G$217)*(VLOOKUP(VLOOKUP("District Hot Water",Performance_Outputs_1!$B$17:$F$18,5,FALSE),DemandTable,3,FALSE))/VLOOKUP("Btuh",DemandTable,3,FALSE))))</f>
        <v>3000000</v>
      </c>
      <c r="D123" s="154" t="s">
        <v>245</v>
      </c>
      <c r="E123" s="153"/>
      <c r="F123" s="153"/>
      <c r="G123" s="153"/>
      <c r="H123" s="153"/>
      <c r="I123" s="153"/>
      <c r="J123" s="153"/>
      <c r="K123" s="153"/>
      <c r="L123" s="153"/>
      <c r="M123" s="153"/>
      <c r="N123" s="153"/>
      <c r="O123" s="153"/>
      <c r="P123" s="153"/>
      <c r="Q123" s="153"/>
      <c r="R123" s="153"/>
      <c r="S123" s="153"/>
      <c r="T123" s="153"/>
      <c r="U123" s="153"/>
      <c r="V123" s="153"/>
    </row>
    <row r="124" spans="1:22" x14ac:dyDescent="0.3">
      <c r="A124" s="153"/>
      <c r="B124" s="153"/>
      <c r="C124" s="153"/>
      <c r="D124" s="153"/>
      <c r="E124" s="153"/>
      <c r="F124" s="153"/>
      <c r="G124" s="153"/>
      <c r="H124" s="153"/>
      <c r="I124" s="153"/>
      <c r="J124" s="153"/>
      <c r="K124" s="153"/>
      <c r="L124" s="153"/>
      <c r="M124" s="153"/>
      <c r="N124" s="153"/>
      <c r="O124" s="153"/>
      <c r="P124" s="153"/>
      <c r="Q124" s="153"/>
      <c r="R124" s="153"/>
      <c r="S124" s="153"/>
      <c r="T124" s="153"/>
      <c r="U124" s="153"/>
      <c r="V124" s="153"/>
    </row>
    <row r="125" spans="1:22" x14ac:dyDescent="0.3">
      <c r="A125" s="153"/>
      <c r="B125" s="153"/>
      <c r="C125" s="153" t="s">
        <v>705</v>
      </c>
      <c r="D125" s="153"/>
      <c r="E125" s="153"/>
      <c r="F125" s="153"/>
      <c r="G125" s="153"/>
      <c r="H125" s="153"/>
      <c r="I125" s="153"/>
      <c r="J125" s="153"/>
      <c r="K125" s="153"/>
      <c r="L125" s="153"/>
      <c r="M125" s="153"/>
      <c r="N125" s="153"/>
      <c r="O125" s="153"/>
      <c r="P125" s="153"/>
      <c r="Q125" s="153"/>
      <c r="R125" s="153"/>
      <c r="S125" s="153"/>
      <c r="T125" s="153"/>
      <c r="U125" s="153"/>
      <c r="V125" s="153"/>
    </row>
    <row r="126" spans="1:22" x14ac:dyDescent="0.3">
      <c r="A126" s="153"/>
      <c r="B126" s="153"/>
      <c r="C126" s="156">
        <f>(IF(ISERROR(VLOOKUP(Performance_Outputs_1!$B$252,DropdownData!$B$2:$D$14,3,FALSE)),$H$118,IF(VLOOKUP(Performance_Outputs_1!$B$252,DropdownData!$B$2:$D$14,3,FALSE)="Yes",IF(ISERROR(VLOOKUP($C$123,DESBaseHHWTable,6)),$H$118,VLOOKUP($C$123,DESBaseHHWTable,6)),IF(ISERROR(VLOOKUP($C$123,DESBaseHHWTable,7)),$H$118,VLOOKUP($C$123,DESBaseHHWTable,7)))))</f>
        <v>0.84</v>
      </c>
      <c r="D126" s="154" t="s">
        <v>704</v>
      </c>
      <c r="E126" s="153"/>
      <c r="F126" s="155">
        <f>IF(ISERROR(VLOOKUP($C$123,DESBaseHHWTable,8)),$I$118,VLOOKUP($C$123,DESBaseHHWTable,8))</f>
        <v>458.68698099568098</v>
      </c>
      <c r="G126" s="154" t="s">
        <v>703</v>
      </c>
      <c r="H126" s="153"/>
      <c r="I126" s="153"/>
      <c r="J126" s="153"/>
      <c r="K126" s="153"/>
      <c r="L126" s="153"/>
      <c r="M126" s="153"/>
      <c r="N126" s="153"/>
      <c r="O126" s="153"/>
      <c r="P126" s="153"/>
      <c r="Q126" s="153"/>
      <c r="R126" s="153"/>
      <c r="S126" s="153"/>
      <c r="T126" s="153"/>
      <c r="U126" s="153"/>
      <c r="V126" s="153"/>
    </row>
    <row r="127" spans="1:22" x14ac:dyDescent="0.3">
      <c r="A127" s="153"/>
      <c r="B127" s="153"/>
      <c r="C127" s="153"/>
      <c r="D127" s="153"/>
      <c r="E127" s="153"/>
      <c r="F127" s="153"/>
      <c r="G127" s="153"/>
      <c r="H127" s="153"/>
      <c r="I127" s="153"/>
      <c r="J127" s="153"/>
      <c r="K127" s="153"/>
      <c r="L127" s="153"/>
      <c r="M127" s="153"/>
      <c r="N127" s="153"/>
      <c r="O127" s="153"/>
      <c r="P127" s="153"/>
      <c r="Q127" s="153"/>
      <c r="R127" s="153"/>
      <c r="S127" s="153"/>
      <c r="T127" s="153"/>
      <c r="U127" s="153"/>
      <c r="V127" s="153"/>
    </row>
  </sheetData>
  <sheetProtection algorithmName="SHA-512" hashValue="ZVq1X1mWYbQ/iOGJ8dqN/3t4VAMjNqOv2w8igOLtLKoHHY8yODma8N4+ZELov8x74HtL/rAYP4fKc2MsmXFQYw==" saltValue="aw/GP+RetSJuYAc7ECkFgw==" spinCount="100000" sheet="1" objects="1" scenarios="1"/>
  <mergeCells count="8">
    <mergeCell ref="B58:C58"/>
    <mergeCell ref="G58:P58"/>
    <mergeCell ref="B113:C114"/>
    <mergeCell ref="D113:E113"/>
    <mergeCell ref="G113:H113"/>
    <mergeCell ref="I113:I115"/>
    <mergeCell ref="D114:E114"/>
    <mergeCell ref="G114:H11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583</vt:i4>
      </vt:variant>
    </vt:vector>
  </HeadingPairs>
  <TitlesOfParts>
    <vt:vector size="609" baseType="lpstr">
      <vt:lpstr>Instructions</vt:lpstr>
      <vt:lpstr>Definitions</vt:lpstr>
      <vt:lpstr>General Information</vt:lpstr>
      <vt:lpstr>Multiple Buildings Details</vt:lpstr>
      <vt:lpstr>Schedules</vt:lpstr>
      <vt:lpstr>EFLH Calculator</vt:lpstr>
      <vt:lpstr>Multifamily Details</vt:lpstr>
      <vt:lpstr>Opaque Assemblies</vt:lpstr>
      <vt:lpstr>Shading and Fenestration</vt:lpstr>
      <vt:lpstr>Envelope Assumptions</vt:lpstr>
      <vt:lpstr>Lighting</vt:lpstr>
      <vt:lpstr>Lighting Assumptions</vt:lpstr>
      <vt:lpstr>Process Loads</vt:lpstr>
      <vt:lpstr>Service Water Heating</vt:lpstr>
      <vt:lpstr>General HVAC</vt:lpstr>
      <vt:lpstr>Air-Side HVAC</vt:lpstr>
      <vt:lpstr>Water-Side HVAC</vt:lpstr>
      <vt:lpstr>Results from eQuest</vt:lpstr>
      <vt:lpstr>Results from Trace</vt:lpstr>
      <vt:lpstr>Performance_Outputs_1</vt:lpstr>
      <vt:lpstr>Performance_Outputs_0</vt:lpstr>
      <vt:lpstr>Performance_Outputs_Summary</vt:lpstr>
      <vt:lpstr>Summary</vt:lpstr>
      <vt:lpstr>DropdownData</vt:lpstr>
      <vt:lpstr>HVAC Lookup</vt:lpstr>
      <vt:lpstr>District Energy Path 3</vt:lpstr>
      <vt:lpstr>AddPowAnchor</vt:lpstr>
      <vt:lpstr>AHVAC_Base_CoolingCap</vt:lpstr>
      <vt:lpstr>AHVAC_Base_FanFlow</vt:lpstr>
      <vt:lpstr>AHVAC_Base_FanPower</vt:lpstr>
      <vt:lpstr>AHVAC_Base_HeatingCap</vt:lpstr>
      <vt:lpstr>AHVAC_Base_ID</vt:lpstr>
      <vt:lpstr>AHVAC_Base_OAFlow</vt:lpstr>
      <vt:lpstr>AHVAC_BaseSystemList</vt:lpstr>
      <vt:lpstr>AHVAC_Design_CoolingCap</vt:lpstr>
      <vt:lpstr>AHVAC_Design_FanFlow</vt:lpstr>
      <vt:lpstr>AHVAC_Design_FanPower</vt:lpstr>
      <vt:lpstr>AHVAC_Design_HeatingCap</vt:lpstr>
      <vt:lpstr>AHVAC_Design_ID</vt:lpstr>
      <vt:lpstr>AHVAC_Design_OAFlow</vt:lpstr>
      <vt:lpstr>AreaUnits</vt:lpstr>
      <vt:lpstr>AshraeClimate</vt:lpstr>
      <vt:lpstr>DropdownData!AshraeCZ</vt:lpstr>
      <vt:lpstr>Avg_Bedroom_Area</vt:lpstr>
      <vt:lpstr>Avg_Bedrooms</vt:lpstr>
      <vt:lpstr>BAequipTable</vt:lpstr>
      <vt:lpstr>BAManchor</vt:lpstr>
      <vt:lpstr>BAMCategories</vt:lpstr>
      <vt:lpstr>BaselineAnchor</vt:lpstr>
      <vt:lpstr>BaselineHVACModeled</vt:lpstr>
      <vt:lpstr>BaselineOrientationExemptions</vt:lpstr>
      <vt:lpstr>'Air-Side HVAC'!Building_ID_Entry</vt:lpstr>
      <vt:lpstr>'General HVAC'!Building_ID_Entry</vt:lpstr>
      <vt:lpstr>Lighting!Building_ID_Entry</vt:lpstr>
      <vt:lpstr>'Multifamily Details'!Building_ID_Entry</vt:lpstr>
      <vt:lpstr>'Opaque Assemblies'!Building_ID_Entry</vt:lpstr>
      <vt:lpstr>'Process Loads'!Building_ID_Entry</vt:lpstr>
      <vt:lpstr>'Service Water Heating'!Building_ID_Entry</vt:lpstr>
      <vt:lpstr>'Shading and Fenestration'!Building_ID_Entry</vt:lpstr>
      <vt:lpstr>'Water-Side HVAC'!Building_ID_Entry</vt:lpstr>
      <vt:lpstr>BuildingNames</vt:lpstr>
      <vt:lpstr>BuildingNames2</vt:lpstr>
      <vt:lpstr>BuildingOrientationExemptionRange</vt:lpstr>
      <vt:lpstr>BuildingRotationModeled</vt:lpstr>
      <vt:lpstr>Performance_Outputs_0!BvPUnregCheck</vt:lpstr>
      <vt:lpstr>Performance_Outputs_Summary!BvPUnregCheck</vt:lpstr>
      <vt:lpstr>BvPUnregCheck</vt:lpstr>
      <vt:lpstr>CaliforniaClimate</vt:lpstr>
      <vt:lpstr>CampusEndUses</vt:lpstr>
      <vt:lpstr>CAZones</vt:lpstr>
      <vt:lpstr>ClimateZone</vt:lpstr>
      <vt:lpstr>CodeUsed</vt:lpstr>
      <vt:lpstr>ConsumptionUnits</vt:lpstr>
      <vt:lpstr>Datacenter_Avg</vt:lpstr>
      <vt:lpstr>DD_GH_BaseSysList</vt:lpstr>
      <vt:lpstr>DemandTable</vt:lpstr>
      <vt:lpstr>DemandUnits</vt:lpstr>
      <vt:lpstr>DESBaseCHWTable</vt:lpstr>
      <vt:lpstr>DESBaseHHWTable</vt:lpstr>
      <vt:lpstr>DESInputsInGeneralInformation</vt:lpstr>
      <vt:lpstr>DESPath</vt:lpstr>
      <vt:lpstr>DESPath3_Cooling_COP</vt:lpstr>
      <vt:lpstr>DESPath3_Heating_eCOP</vt:lpstr>
      <vt:lpstr>DESPath3_Heating_fCOP</vt:lpstr>
      <vt:lpstr>DistrictCooling</vt:lpstr>
      <vt:lpstr>DistrictHeating</vt:lpstr>
      <vt:lpstr>'EFLH Calculator'!EFLH_Fraction_Abbreviated</vt:lpstr>
      <vt:lpstr>'EFLH Calculator'!EFLH_Fraction_Detailed</vt:lpstr>
      <vt:lpstr>'EFLH Calculator'!EFLH_On_Off_Abbreviated</vt:lpstr>
      <vt:lpstr>'EFLH Calculator'!EFLH_ON_OFF_Detailed</vt:lpstr>
      <vt:lpstr>EndUses</vt:lpstr>
      <vt:lpstr>EnergyCode</vt:lpstr>
      <vt:lpstr>EnergyModelPhase</vt:lpstr>
      <vt:lpstr>EnergyModelPhaseOther</vt:lpstr>
      <vt:lpstr>EnergySources</vt:lpstr>
      <vt:lpstr>EnergyUnitsTable</vt:lpstr>
      <vt:lpstr>DropdownData!EnvelopeCopyRange</vt:lpstr>
      <vt:lpstr>EquipAnchor</vt:lpstr>
      <vt:lpstr>EquipBAanchor</vt:lpstr>
      <vt:lpstr>Fanslookup</vt:lpstr>
      <vt:lpstr>FinishedAnchor</vt:lpstr>
      <vt:lpstr>Performance_Outputs_0!FormulaProposed1</vt:lpstr>
      <vt:lpstr>Performance_Outputs_1!FormulaProposed1</vt:lpstr>
      <vt:lpstr>Performance_Outputs_Summary!FormulaProposed1</vt:lpstr>
      <vt:lpstr>FuelTable</vt:lpstr>
      <vt:lpstr>FuelTypes</vt:lpstr>
      <vt:lpstr>FuelTypesTable</vt:lpstr>
      <vt:lpstr>GenHVACformatref</vt:lpstr>
      <vt:lpstr>GHVAC_BaseSystemList</vt:lpstr>
      <vt:lpstr>GHVAC_BHVACST_Index</vt:lpstr>
      <vt:lpstr>GHVAC_BSysType_Hdr</vt:lpstr>
      <vt:lpstr>GHVAC_BSysType_Index</vt:lpstr>
      <vt:lpstr>GHVAC_BSysType_Table</vt:lpstr>
      <vt:lpstr>GHVAC_PHVACST_Index</vt:lpstr>
      <vt:lpstr>GI_BldgArea</vt:lpstr>
      <vt:lpstr>GI_DES_ModelingMethod</vt:lpstr>
      <vt:lpstr>GI_DES_Path1Boolean</vt:lpstr>
      <vt:lpstr>GI_DESPath</vt:lpstr>
      <vt:lpstr>GI_Project_Name</vt:lpstr>
      <vt:lpstr>GI_Project_Number</vt:lpstr>
      <vt:lpstr>GI_RSV_DataCenterMethod</vt:lpstr>
      <vt:lpstr>Homes_DwellingEqpList</vt:lpstr>
      <vt:lpstr>Homes_DwellingEqpLookup</vt:lpstr>
      <vt:lpstr>Homes_DwellingNonResEPDList</vt:lpstr>
      <vt:lpstr>Homes_DwellingNonResEPDLookup</vt:lpstr>
      <vt:lpstr>Homes_LaundryEqpList</vt:lpstr>
      <vt:lpstr>Homes_LaundryEqpLookup</vt:lpstr>
      <vt:lpstr>Homes_Point_Adjustment</vt:lpstr>
      <vt:lpstr>HomesEqpCalc</vt:lpstr>
      <vt:lpstr>HomesInGeneralInformation</vt:lpstr>
      <vt:lpstr>L_BAM_Area_Total</vt:lpstr>
      <vt:lpstr>L_BAM_ButtonRow</vt:lpstr>
      <vt:lpstr>L_BAM_SumHdr</vt:lpstr>
      <vt:lpstr>L_BAM_SumIndex</vt:lpstr>
      <vt:lpstr>L_BAM_SumTable</vt:lpstr>
      <vt:lpstr>L_BAMInput_Index</vt:lpstr>
      <vt:lpstr>L_ELR_Response</vt:lpstr>
      <vt:lpstr>L_ExtSum_Hdr</vt:lpstr>
      <vt:lpstr>L_ExtSum_Index</vt:lpstr>
      <vt:lpstr>L_ExtSum_Table</vt:lpstr>
      <vt:lpstr>L_IL_SumHdr</vt:lpstr>
      <vt:lpstr>L_IL_SumIndex</vt:lpstr>
      <vt:lpstr>L_IL_SumTable</vt:lpstr>
      <vt:lpstr>L_IPL_Index</vt:lpstr>
      <vt:lpstr>L_LPDmethod</vt:lpstr>
      <vt:lpstr>L_LtgZone_Hdr</vt:lpstr>
      <vt:lpstr>L_LtgZone_Index</vt:lpstr>
      <vt:lpstr>L_LtgZone_Table</vt:lpstr>
      <vt:lpstr>L_NTSurface_Hdr</vt:lpstr>
      <vt:lpstr>L_NTSurface_Index</vt:lpstr>
      <vt:lpstr>L_NTSurface_Table</vt:lpstr>
      <vt:lpstr>L_SxS_Area_Total</vt:lpstr>
      <vt:lpstr>L_SxS_SumHdr</vt:lpstr>
      <vt:lpstr>L_SxS_SumIndex</vt:lpstr>
      <vt:lpstr>L_SxS_SumTable</vt:lpstr>
      <vt:lpstr>L_SxSALP_ButtonRow</vt:lpstr>
      <vt:lpstr>L_SxSALP_SumHdr</vt:lpstr>
      <vt:lpstr>L_SXSALP_SumIndex</vt:lpstr>
      <vt:lpstr>L_SxSALP_SumTable</vt:lpstr>
      <vt:lpstr>L_SxSALPInput_Hdr</vt:lpstr>
      <vt:lpstr>L_SxSALPInput_Index</vt:lpstr>
      <vt:lpstr>L_SxSInput_Index</vt:lpstr>
      <vt:lpstr>L_SxSM_ButtonRow</vt:lpstr>
      <vt:lpstr>LastBaseline</vt:lpstr>
      <vt:lpstr>LastProposed</vt:lpstr>
      <vt:lpstr>Lighting_Residential_Hdr</vt:lpstr>
      <vt:lpstr>Lighting_Residential_Index</vt:lpstr>
      <vt:lpstr>Lighting_Residential_Table</vt:lpstr>
      <vt:lpstr>Lighting_SxS_Residential_Hdr</vt:lpstr>
      <vt:lpstr>Lighting_SxS_Residential_Index</vt:lpstr>
      <vt:lpstr>Lighting_SxS_Residential_Table</vt:lpstr>
      <vt:lpstr>MBD_BS_Hdr</vt:lpstr>
      <vt:lpstr>MBD_BS_Index</vt:lpstr>
      <vt:lpstr>MBD_BS_Table</vt:lpstr>
      <vt:lpstr>MBD_BSTotal_Index</vt:lpstr>
      <vt:lpstr>MBD_EMI_Hdr</vt:lpstr>
      <vt:lpstr>MBD_EMI_Index</vt:lpstr>
      <vt:lpstr>MBD_EMI_Table</vt:lpstr>
      <vt:lpstr>'Multiple Buildings Details'!MBD_EMSubsetRange</vt:lpstr>
      <vt:lpstr>MBD_LEEDNDEMSubsetExist</vt:lpstr>
      <vt:lpstr>MBD_rbModelMethod</vt:lpstr>
      <vt:lpstr>MD_BUS_Hdr</vt:lpstr>
      <vt:lpstr>MD_BUS_Index</vt:lpstr>
      <vt:lpstr>MD_BUS_SumHdr</vt:lpstr>
      <vt:lpstr>MD_BUS_SumIndex</vt:lpstr>
      <vt:lpstr>MD_BUS_SumTable</vt:lpstr>
      <vt:lpstr>MD_BUS_Table</vt:lpstr>
      <vt:lpstr>MD_HDUEC_Hdr</vt:lpstr>
      <vt:lpstr>MD_HDUEC_Index</vt:lpstr>
      <vt:lpstr>MD_HDUEC_Table</vt:lpstr>
      <vt:lpstr>MD_HDUEMS_Table</vt:lpstr>
      <vt:lpstr>MD_HLREMS_Index</vt:lpstr>
      <vt:lpstr>MD_HLREMS_Table</vt:lpstr>
      <vt:lpstr>MD_HSWHLS_Table</vt:lpstr>
      <vt:lpstr>MD_Laundry_Hdr</vt:lpstr>
      <vt:lpstr>MD_Laundry_Index</vt:lpstr>
      <vt:lpstr>MD_Laundry_Table</vt:lpstr>
      <vt:lpstr>'Multifamily Details'!MD_SWH_Profile</vt:lpstr>
      <vt:lpstr>ModelingMethod</vt:lpstr>
      <vt:lpstr>Motor_Horsepower</vt:lpstr>
      <vt:lpstr>Motor_Horsepower_Nominal_Efficiency_IP</vt:lpstr>
      <vt:lpstr>Motor_Horsepower_Nominal_Efficiency_SI</vt:lpstr>
      <vt:lpstr>MultipleBuildingsExist</vt:lpstr>
      <vt:lpstr>Natural_Gas</vt:lpstr>
      <vt:lpstr>OA_AGEWC_hdr</vt:lpstr>
      <vt:lpstr>OA_AGEWC_Index</vt:lpstr>
      <vt:lpstr>OA_AGEWC_table</vt:lpstr>
      <vt:lpstr>OA_BGEWC_hdr</vt:lpstr>
      <vt:lpstr>OA_BGEWC_Index</vt:lpstr>
      <vt:lpstr>OA_BGEWC_table</vt:lpstr>
      <vt:lpstr>OA_EFC_hdr</vt:lpstr>
      <vt:lpstr>OA_EFC_Index</vt:lpstr>
      <vt:lpstr>OA_EFC_table</vt:lpstr>
      <vt:lpstr>OA_OBEC_hdr</vt:lpstr>
      <vt:lpstr>OA_OBEC_Index</vt:lpstr>
      <vt:lpstr>OA_OBEC_table</vt:lpstr>
      <vt:lpstr>OA_OD_hdr</vt:lpstr>
      <vt:lpstr>OA_OD_Index</vt:lpstr>
      <vt:lpstr>OA_OD_table</vt:lpstr>
      <vt:lpstr>OA_SOGF_hdr</vt:lpstr>
      <vt:lpstr>OA_SOGF_Index</vt:lpstr>
      <vt:lpstr>OA_SOGF_table</vt:lpstr>
      <vt:lpstr>OutputSheetNames</vt:lpstr>
      <vt:lpstr>pctNew</vt:lpstr>
      <vt:lpstr>PctRenovation</vt:lpstr>
      <vt:lpstr>PL_BAEPD_Hdr</vt:lpstr>
      <vt:lpstr>PL_BAEPD_Index</vt:lpstr>
      <vt:lpstr>PL_BAEPD_Table</vt:lpstr>
      <vt:lpstr>PL_BAEPDInput_Index</vt:lpstr>
      <vt:lpstr>PL_EPD_SumHdr</vt:lpstr>
      <vt:lpstr>PL_EPD_SumIndex</vt:lpstr>
      <vt:lpstr>PL_EPD_SumTable</vt:lpstr>
      <vt:lpstr>PL_GFPC_Index</vt:lpstr>
      <vt:lpstr>PL_GFPC_Table</vt:lpstr>
      <vt:lpstr>PL_NRPEInput_Index</vt:lpstr>
      <vt:lpstr>PL_REMM_BAMBoolean</vt:lpstr>
      <vt:lpstr>PL_REMM_Description</vt:lpstr>
      <vt:lpstr>PL_REMM_SxSBoolean</vt:lpstr>
      <vt:lpstr>PL_SxSEPD_Hdr</vt:lpstr>
      <vt:lpstr>PL_SxSEPD_Index</vt:lpstr>
      <vt:lpstr>PL_SxSEPD_Table</vt:lpstr>
      <vt:lpstr>PL_SxSEPDInput_Index</vt:lpstr>
      <vt:lpstr>Performance_Outputs_0!PO_base_Add_EndUses</vt:lpstr>
      <vt:lpstr>Performance_Outputs_1!PO_base_Add_EndUses</vt:lpstr>
      <vt:lpstr>Performance_Outputs_0!PO_baseline_hdr</vt:lpstr>
      <vt:lpstr>Performance_Outputs_1!PO_baseline_hdr</vt:lpstr>
      <vt:lpstr>Performance_Outputs_0!PO_baseline_index</vt:lpstr>
      <vt:lpstr>Performance_Outputs_1!PO_baseline_index</vt:lpstr>
      <vt:lpstr>Performance_Outputs_0!PO_Baseline_Subtotal_table</vt:lpstr>
      <vt:lpstr>Performance_Outputs_1!PO_Baseline_Subtotal_table</vt:lpstr>
      <vt:lpstr>Performance_Outputs_Summary!PO_Baseline_Subtotal_table</vt:lpstr>
      <vt:lpstr>Performance_Outputs_0!PO_baseline_table</vt:lpstr>
      <vt:lpstr>PO_baseline_table</vt:lpstr>
      <vt:lpstr>Performance_Outputs_0!PO_BaselineSection</vt:lpstr>
      <vt:lpstr>Performance_Outputs_1!PO_BaselineSection</vt:lpstr>
      <vt:lpstr>Performance_Outputs_0!PO_Datacenter_averaged_tables</vt:lpstr>
      <vt:lpstr>Performance_Outputs_1!PO_Datacenter_averaged_tables</vt:lpstr>
      <vt:lpstr>Performance_Outputs_Summary!PO_Datacenter_averaged_tables</vt:lpstr>
      <vt:lpstr>Performance_Outputs_0!PO_Datacenter_PUE_table</vt:lpstr>
      <vt:lpstr>Performance_Outputs_1!PO_Datacenter_PUE_table</vt:lpstr>
      <vt:lpstr>Performance_Outputs_0!PO_Datacenter_text1</vt:lpstr>
      <vt:lpstr>Performance_Outputs_1!PO_Datacenter_text1</vt:lpstr>
      <vt:lpstr>Performance_Outputs_0!PO_Datacenter_text2</vt:lpstr>
      <vt:lpstr>Performance_Outputs_1!PO_Datacenter_text2</vt:lpstr>
      <vt:lpstr>Performance_Outputs_0!PO_Datacenter_text3</vt:lpstr>
      <vt:lpstr>Performance_Outputs_1!PO_Datacenter_text3</vt:lpstr>
      <vt:lpstr>Performance_Outputs_0!PO_DES_PRM_Section</vt:lpstr>
      <vt:lpstr>Performance_Outputs_1!PO_DES_PRM_Section</vt:lpstr>
      <vt:lpstr>Performance_Outputs_0!PO_DESbase_Enrgy_Hdr</vt:lpstr>
      <vt:lpstr>Performance_Outputs_1!PO_DESbase_Enrgy_Hdr</vt:lpstr>
      <vt:lpstr>Performance_Outputs_0!PO_DESbase_Enrgy_Index</vt:lpstr>
      <vt:lpstr>Performance_Outputs_1!PO_DESbase_Enrgy_Index</vt:lpstr>
      <vt:lpstr>Performance_Outputs_0!PO_DESbase_Enrgy_Table</vt:lpstr>
      <vt:lpstr>Performance_Outputs_1!PO_DESbase_Enrgy_Table</vt:lpstr>
      <vt:lpstr>Performance_Outputs_0!PO_DESdesign_Enrgy_Hdr</vt:lpstr>
      <vt:lpstr>Performance_Outputs_1!PO_DESdesign_Enrgy_Hdr</vt:lpstr>
      <vt:lpstr>Performance_Outputs_0!PO_DESdesign_Enrgy_Index</vt:lpstr>
      <vt:lpstr>Performance_Outputs_1!PO_DESdesign_Enrgy_Index</vt:lpstr>
      <vt:lpstr>Performance_Outputs_0!PO_DESdesign_Enrgy_Table</vt:lpstr>
      <vt:lpstr>Performance_Outputs_1!PO_DESdesign_Enrgy_Table</vt:lpstr>
      <vt:lpstr>Performance_Outputs_0!PO_design_Add_EndUses</vt:lpstr>
      <vt:lpstr>Performance_Outputs_1!PO_design_Add_EndUses</vt:lpstr>
      <vt:lpstr>Performance_Outputs_Summary!PO_design_Add_EndUses</vt:lpstr>
      <vt:lpstr>Performance_Outputs_0!PO_design_hdr</vt:lpstr>
      <vt:lpstr>Performance_Outputs_1!PO_design_hdr</vt:lpstr>
      <vt:lpstr>Performance_Outputs_Summary!PO_design_hdr</vt:lpstr>
      <vt:lpstr>Performance_Outputs_0!PO_design_index</vt:lpstr>
      <vt:lpstr>Performance_Outputs_1!PO_design_index</vt:lpstr>
      <vt:lpstr>Performance_Outputs_Summary!PO_design_index</vt:lpstr>
      <vt:lpstr>Performance_Outputs_0!PO_design_table</vt:lpstr>
      <vt:lpstr>Performance_Outputs_1!PO_design_table</vt:lpstr>
      <vt:lpstr>Performance_Outputs_Summary!PO_design_table</vt:lpstr>
      <vt:lpstr>Performance_Outputs_Summary!PO_DesignOutputs_Section</vt:lpstr>
      <vt:lpstr>Performance_Outputs_0!PO_DESPath1_text1</vt:lpstr>
      <vt:lpstr>Performance_Outputs_1!PO_DESPath1_text1</vt:lpstr>
      <vt:lpstr>Performance_Outputs_0!PO_DESPath1_text2</vt:lpstr>
      <vt:lpstr>Performance_Outputs_1!PO_DESPath1_text2</vt:lpstr>
      <vt:lpstr>Performance_Outputs_0!PO_DESPath1_text3</vt:lpstr>
      <vt:lpstr>Performance_Outputs_1!PO_DESPath1_text3</vt:lpstr>
      <vt:lpstr>Performance_Outputs_0!PO_DESPath2_text1</vt:lpstr>
      <vt:lpstr>Performance_Outputs_1!PO_DESPath2_text1</vt:lpstr>
      <vt:lpstr>Performance_Outputs_0!PO_DESPath2_text2</vt:lpstr>
      <vt:lpstr>Performance_Outputs_1!PO_DESPath2_text2</vt:lpstr>
      <vt:lpstr>Performance_Outputs_0!PO_DESpath2_text3</vt:lpstr>
      <vt:lpstr>Performance_Outputs_1!PO_DESpath2_text3</vt:lpstr>
      <vt:lpstr>Performance_Outputs_0!PO_DESPath3_tables</vt:lpstr>
      <vt:lpstr>Performance_Outputs_1!PO_DESPath3_tables</vt:lpstr>
      <vt:lpstr>Performance_Outputs_0!PO_DESPath3_text1</vt:lpstr>
      <vt:lpstr>Performance_Outputs_1!PO_DESPath3_text1</vt:lpstr>
      <vt:lpstr>Performance_Outputs_0!PO_DESPath3_text2</vt:lpstr>
      <vt:lpstr>Performance_Outputs_1!PO_DESPath3_text2</vt:lpstr>
      <vt:lpstr>Performance_Outputs_0!PO_DESPath3_text3</vt:lpstr>
      <vt:lpstr>Performance_Outputs_1!PO_DESPath3_text3</vt:lpstr>
      <vt:lpstr>Performance_Outputs_Summary!PO_DESPath3outputs</vt:lpstr>
      <vt:lpstr>Performance_Outputs_0!PO_EnergyEndUses</vt:lpstr>
      <vt:lpstr>Performance_Outputs_1!PO_EnergyEndUses</vt:lpstr>
      <vt:lpstr>Performance_Outputs_Summary!PO_EnergyEndUses</vt:lpstr>
      <vt:lpstr>Performance_Outputs_0!PO_EnergyReportingMethod</vt:lpstr>
      <vt:lpstr>Performance_Outputs_1!PO_EnergyReportingMethod</vt:lpstr>
      <vt:lpstr>Performance_Outputs_Summary!PO_EnergySources_Section</vt:lpstr>
      <vt:lpstr>Performance_Outputs_0!PO_EnergyType</vt:lpstr>
      <vt:lpstr>Performance_Outputs_1!PO_EnergyType</vt:lpstr>
      <vt:lpstr>Performance_Outputs_Summary!PO_EnergyType</vt:lpstr>
      <vt:lpstr>Performance_Outputs_0!PO_Enrgy_1_Hdr</vt:lpstr>
      <vt:lpstr>Performance_Outputs_1!PO_Enrgy_1_Hdr</vt:lpstr>
      <vt:lpstr>Performance_Outputs_Summary!PO_Enrgy_1_Hdr</vt:lpstr>
      <vt:lpstr>Performance_Outputs_0!PO_Enrgy_1_Index</vt:lpstr>
      <vt:lpstr>Performance_Outputs_1!PO_Enrgy_1_Index</vt:lpstr>
      <vt:lpstr>Performance_Outputs_Summary!PO_Enrgy_1_Index</vt:lpstr>
      <vt:lpstr>Performance_Outputs_0!PO_Enrgy_1_Table</vt:lpstr>
      <vt:lpstr>Performance_Outputs_1!PO_Enrgy_1_Table</vt:lpstr>
      <vt:lpstr>Performance_Outputs_Summary!PO_Enrgy_1_Table</vt:lpstr>
      <vt:lpstr>Performance_Outputs_0!PO_Enrgy_10_Hdr</vt:lpstr>
      <vt:lpstr>Performance_Outputs_1!PO_Enrgy_10_Hdr</vt:lpstr>
      <vt:lpstr>Performance_Outputs_0!PO_Enrgy_10_Index</vt:lpstr>
      <vt:lpstr>Performance_Outputs_1!PO_Enrgy_10_Index</vt:lpstr>
      <vt:lpstr>Performance_Outputs_0!PO_Enrgy_10_Table</vt:lpstr>
      <vt:lpstr>Performance_Outputs_1!PO_Enrgy_10_Table</vt:lpstr>
      <vt:lpstr>Performance_Outputs_0!PO_Enrgy_11_Hdr</vt:lpstr>
      <vt:lpstr>Performance_Outputs_1!PO_Enrgy_11_Hdr</vt:lpstr>
      <vt:lpstr>Performance_Outputs_0!PO_Enrgy_11_Index</vt:lpstr>
      <vt:lpstr>Performance_Outputs_1!PO_Enrgy_11_Index</vt:lpstr>
      <vt:lpstr>Performance_Outputs_0!PO_Enrgy_11_Table</vt:lpstr>
      <vt:lpstr>Performance_Outputs_1!PO_Enrgy_11_Table</vt:lpstr>
      <vt:lpstr>Performance_Outputs_0!PO_Enrgy_12_Hdr</vt:lpstr>
      <vt:lpstr>Performance_Outputs_1!PO_Enrgy_12_Hdr</vt:lpstr>
      <vt:lpstr>Performance_Outputs_0!PO_Enrgy_12_Index</vt:lpstr>
      <vt:lpstr>Performance_Outputs_1!PO_Enrgy_12_Index</vt:lpstr>
      <vt:lpstr>Performance_Outputs_0!PO_Enrgy_12_Table</vt:lpstr>
      <vt:lpstr>Performance_Outputs_1!PO_Enrgy_12_Table</vt:lpstr>
      <vt:lpstr>Performance_Outputs_0!PO_Enrgy_13_Hdr</vt:lpstr>
      <vt:lpstr>Performance_Outputs_1!PO_Enrgy_13_Hdr</vt:lpstr>
      <vt:lpstr>Performance_Outputs_Summary!PO_Enrgy_13_Hdr</vt:lpstr>
      <vt:lpstr>Performance_Outputs_0!PO_Enrgy_13_Index</vt:lpstr>
      <vt:lpstr>Performance_Outputs_1!PO_Enrgy_13_Index</vt:lpstr>
      <vt:lpstr>Performance_Outputs_Summary!PO_Enrgy_13_Index</vt:lpstr>
      <vt:lpstr>Performance_Outputs_0!PO_Enrgy_13_Table</vt:lpstr>
      <vt:lpstr>Performance_Outputs_1!PO_Enrgy_13_Table</vt:lpstr>
      <vt:lpstr>Performance_Outputs_Summary!PO_Enrgy_13_Table</vt:lpstr>
      <vt:lpstr>Performance_Outputs_0!PO_Enrgy_14_Hdr</vt:lpstr>
      <vt:lpstr>Performance_Outputs_1!PO_Enrgy_14_Hdr</vt:lpstr>
      <vt:lpstr>Performance_Outputs_Summary!PO_Enrgy_14_Hdr</vt:lpstr>
      <vt:lpstr>Performance_Outputs_0!PO_Enrgy_14_Index</vt:lpstr>
      <vt:lpstr>Performance_Outputs_1!PO_Enrgy_14_Index</vt:lpstr>
      <vt:lpstr>Performance_Outputs_Summary!PO_Enrgy_14_Index</vt:lpstr>
      <vt:lpstr>Performance_Outputs_0!PO_Enrgy_14_Table</vt:lpstr>
      <vt:lpstr>Performance_Outputs_1!PO_Enrgy_14_Table</vt:lpstr>
      <vt:lpstr>Performance_Outputs_Summary!PO_Enrgy_14_Table</vt:lpstr>
      <vt:lpstr>Performance_Outputs_0!PO_Enrgy_15_Hdr</vt:lpstr>
      <vt:lpstr>Performance_Outputs_1!PO_Enrgy_15_Hdr</vt:lpstr>
      <vt:lpstr>Performance_Outputs_0!PO_Enrgy_15_Index</vt:lpstr>
      <vt:lpstr>Performance_Outputs_1!PO_Enrgy_15_Index</vt:lpstr>
      <vt:lpstr>Performance_Outputs_0!PO_Enrgy_15_Table</vt:lpstr>
      <vt:lpstr>Performance_Outputs_1!PO_Enrgy_15_Table</vt:lpstr>
      <vt:lpstr>Performance_Outputs_0!PO_Enrgy_16_Hdr</vt:lpstr>
      <vt:lpstr>Performance_Outputs_1!PO_Enrgy_16_Hdr</vt:lpstr>
      <vt:lpstr>Performance_Outputs_Summary!PO_Enrgy_16_Hdr</vt:lpstr>
      <vt:lpstr>Performance_Outputs_0!PO_Enrgy_16_Index</vt:lpstr>
      <vt:lpstr>Performance_Outputs_1!PO_Enrgy_16_Index</vt:lpstr>
      <vt:lpstr>Performance_Outputs_Summary!PO_Enrgy_16_Index</vt:lpstr>
      <vt:lpstr>Performance_Outputs_0!PO_Enrgy_16_Table</vt:lpstr>
      <vt:lpstr>Performance_Outputs_1!PO_Enrgy_16_Table</vt:lpstr>
      <vt:lpstr>Performance_Outputs_Summary!PO_Enrgy_16_Table</vt:lpstr>
      <vt:lpstr>Performance_Outputs_0!PO_Enrgy_2_Hdr</vt:lpstr>
      <vt:lpstr>Performance_Outputs_1!PO_Enrgy_2_Hdr</vt:lpstr>
      <vt:lpstr>Performance_Outputs_0!PO_Enrgy_2_Index</vt:lpstr>
      <vt:lpstr>Performance_Outputs_1!PO_Enrgy_2_Index</vt:lpstr>
      <vt:lpstr>Performance_Outputs_0!PO_Enrgy_2_Table</vt:lpstr>
      <vt:lpstr>Performance_Outputs_1!PO_Enrgy_2_Table</vt:lpstr>
      <vt:lpstr>Performance_Outputs_0!PO_Enrgy_3_Hdr</vt:lpstr>
      <vt:lpstr>Performance_Outputs_1!PO_Enrgy_3_Hdr</vt:lpstr>
      <vt:lpstr>Performance_Outputs_0!PO_Enrgy_3_Index</vt:lpstr>
      <vt:lpstr>Performance_Outputs_1!PO_Enrgy_3_Index</vt:lpstr>
      <vt:lpstr>Performance_Outputs_0!PO_Enrgy_3_Table</vt:lpstr>
      <vt:lpstr>Performance_Outputs_1!PO_Enrgy_3_Table</vt:lpstr>
      <vt:lpstr>Performance_Outputs_0!PO_Enrgy_4_Hdr</vt:lpstr>
      <vt:lpstr>Performance_Outputs_1!PO_Enrgy_4_Hdr</vt:lpstr>
      <vt:lpstr>Performance_Outputs_0!PO_Enrgy_4_Index</vt:lpstr>
      <vt:lpstr>Performance_Outputs_1!PO_Enrgy_4_Index</vt:lpstr>
      <vt:lpstr>Performance_Outputs_0!PO_Enrgy_4_Table</vt:lpstr>
      <vt:lpstr>Performance_Outputs_1!PO_Enrgy_4_Table</vt:lpstr>
      <vt:lpstr>Performance_Outputs_0!PO_Enrgy_5_Hdr</vt:lpstr>
      <vt:lpstr>Performance_Outputs_1!PO_Enrgy_5_Hdr</vt:lpstr>
      <vt:lpstr>Performance_Outputs_0!PO_Enrgy_5_Index</vt:lpstr>
      <vt:lpstr>Performance_Outputs_1!PO_Enrgy_5_Index</vt:lpstr>
      <vt:lpstr>Performance_Outputs_0!PO_Enrgy_5_Table</vt:lpstr>
      <vt:lpstr>Performance_Outputs_1!PO_Enrgy_5_Table</vt:lpstr>
      <vt:lpstr>Performance_Outputs_0!PO_Enrgy_6_Hdr</vt:lpstr>
      <vt:lpstr>Performance_Outputs_1!PO_Enrgy_6_Hdr</vt:lpstr>
      <vt:lpstr>Performance_Outputs_0!PO_Enrgy_6_Index</vt:lpstr>
      <vt:lpstr>Performance_Outputs_1!PO_Enrgy_6_Index</vt:lpstr>
      <vt:lpstr>Performance_Outputs_0!PO_Enrgy_6_Table</vt:lpstr>
      <vt:lpstr>Performance_Outputs_1!PO_Enrgy_6_Table</vt:lpstr>
      <vt:lpstr>Performance_Outputs_0!PO_Enrgy_7_Hdr</vt:lpstr>
      <vt:lpstr>Performance_Outputs_1!PO_Enrgy_7_Hdr</vt:lpstr>
      <vt:lpstr>Performance_Outputs_Summary!PO_Enrgy_7_Hdr</vt:lpstr>
      <vt:lpstr>Performance_Outputs_0!PO_Enrgy_7_Index</vt:lpstr>
      <vt:lpstr>Performance_Outputs_1!PO_Enrgy_7_Index</vt:lpstr>
      <vt:lpstr>Performance_Outputs_Summary!PO_Enrgy_7_Index</vt:lpstr>
      <vt:lpstr>Performance_Outputs_0!PO_Enrgy_7_Table</vt:lpstr>
      <vt:lpstr>Performance_Outputs_1!PO_Enrgy_7_Table</vt:lpstr>
      <vt:lpstr>Performance_Outputs_Summary!PO_Enrgy_7_Table</vt:lpstr>
      <vt:lpstr>Performance_Outputs_0!PO_Enrgy_8_Hdr</vt:lpstr>
      <vt:lpstr>Performance_Outputs_1!PO_Enrgy_8_Hdr</vt:lpstr>
      <vt:lpstr>Performance_Outputs_Summary!PO_Enrgy_8_Hdr</vt:lpstr>
      <vt:lpstr>Performance_Outputs_0!PO_Enrgy_8_Index</vt:lpstr>
      <vt:lpstr>Performance_Outputs_1!PO_Enrgy_8_Index</vt:lpstr>
      <vt:lpstr>Performance_Outputs_Summary!PO_Enrgy_8_Index</vt:lpstr>
      <vt:lpstr>Performance_Outputs_0!PO_Enrgy_8_Table</vt:lpstr>
      <vt:lpstr>Performance_Outputs_1!PO_Enrgy_8_Table</vt:lpstr>
      <vt:lpstr>Performance_Outputs_Summary!PO_Enrgy_8_Table</vt:lpstr>
      <vt:lpstr>Performance_Outputs_0!PO_Enrgy_9_Hdr</vt:lpstr>
      <vt:lpstr>Performance_Outputs_1!PO_Enrgy_9_Hdr</vt:lpstr>
      <vt:lpstr>Performance_Outputs_Summary!PO_Enrgy_9_Hdr</vt:lpstr>
      <vt:lpstr>Performance_Outputs_0!PO_Enrgy_9_Index</vt:lpstr>
      <vt:lpstr>Performance_Outputs_1!PO_Enrgy_9_Index</vt:lpstr>
      <vt:lpstr>Performance_Outputs_Summary!PO_Enrgy_9_Index</vt:lpstr>
      <vt:lpstr>Performance_Outputs_0!PO_Enrgy_9_Table</vt:lpstr>
      <vt:lpstr>Performance_Outputs_1!PO_Enrgy_9_Table</vt:lpstr>
      <vt:lpstr>Performance_Outputs_Summary!PO_Enrgy_9_Table</vt:lpstr>
      <vt:lpstr>Performance_Outputs_0!PO_eQUESTOutputColumn</vt:lpstr>
      <vt:lpstr>Performance_Outputs_1!PO_eQUESTOutputColumn</vt:lpstr>
      <vt:lpstr>Performance_Outputs_0!PO_ExCalc_Hdr</vt:lpstr>
      <vt:lpstr>Performance_Outputs_1!PO_ExCalc_Hdr</vt:lpstr>
      <vt:lpstr>Performance_Outputs_0!PO_ExCalc_Table</vt:lpstr>
      <vt:lpstr>Performance_Outputs_1!PO_ExCalc_Table</vt:lpstr>
      <vt:lpstr>Performance_Outputs_0!PO_ExCalcOutputs</vt:lpstr>
      <vt:lpstr>Performance_Outputs_1!PO_ExCalcOutputs</vt:lpstr>
      <vt:lpstr>Performance_Outputs_Summary!PO_ExCalcOutputs</vt:lpstr>
      <vt:lpstr>Performance_Outputs_0!PO_ExCalcSection</vt:lpstr>
      <vt:lpstr>Performance_Outputs_1!PO_ExCalcSection</vt:lpstr>
      <vt:lpstr>Performance_Outputs_0!PO_ExLBaseAnchor</vt:lpstr>
      <vt:lpstr>PO_ExLBaseAnchor</vt:lpstr>
      <vt:lpstr>Performance_Outputs_0!PO_ModelID</vt:lpstr>
      <vt:lpstr>Performance_Outputs_1!PO_ModelID</vt:lpstr>
      <vt:lpstr>Performance_Outputs_0!PO_ModelSubtotal</vt:lpstr>
      <vt:lpstr>Performance_Outputs_1!PO_ModelSubtotal</vt:lpstr>
      <vt:lpstr>Performance_Outputs_Summary!PO_ModelSubtotal</vt:lpstr>
      <vt:lpstr>Performance_Outputs_0!PO_ModelSubtotals</vt:lpstr>
      <vt:lpstr>Performance_Outputs_1!PO_ModelSubtotals</vt:lpstr>
      <vt:lpstr>Performance_Outputs_Summary!PO_ModelSubtotals</vt:lpstr>
      <vt:lpstr>Performance_Outputs_0!PO_Multiplier</vt:lpstr>
      <vt:lpstr>Performance_Outputs_1!PO_Multiplier</vt:lpstr>
      <vt:lpstr>Performance_Outputs_0!PO_PRM_Total_Section</vt:lpstr>
      <vt:lpstr>Performance_Outputs_1!PO_PRM_Total_Section</vt:lpstr>
      <vt:lpstr>Performance_Outputs_Summary!PO_PRM_Total_Section</vt:lpstr>
      <vt:lpstr>Performance_Outputs_1!PO_QA_BaseExtLtgDem</vt:lpstr>
      <vt:lpstr>Performance_Outputs_1!PO_QA_DesignExtLtgDem</vt:lpstr>
      <vt:lpstr>Performance_Outputs_0!PO_QACheck</vt:lpstr>
      <vt:lpstr>Performance_Outputs_1!PO_QACheck</vt:lpstr>
      <vt:lpstr>Performance_Outputs_0!PO_qcrenewtablelookup</vt:lpstr>
      <vt:lpstr>Performance_Outputs_1!PO_qcrenewtablelookup</vt:lpstr>
      <vt:lpstr>Performance_Outputs_0!PO_QCvirtuallookup</vt:lpstr>
      <vt:lpstr>Performance_Outputs_1!PO_QCvirtuallookup</vt:lpstr>
      <vt:lpstr>Performance_Outputs_Summary!PO_QCvirtuallookup</vt:lpstr>
      <vt:lpstr>Performance_Outputs_0!PO_QCvirtualratetable</vt:lpstr>
      <vt:lpstr>Performance_Outputs_1!PO_QCvirtualratetable</vt:lpstr>
      <vt:lpstr>Performance_Outputs_Summary!PO_QCvirtualratetable</vt:lpstr>
      <vt:lpstr>Performance_Outputs_0!PO_renewable_hdr</vt:lpstr>
      <vt:lpstr>Performance_Outputs_1!PO_renewable_hdr</vt:lpstr>
      <vt:lpstr>Performance_Outputs_0!PO_renewable_Index</vt:lpstr>
      <vt:lpstr>Performance_Outputs_1!PO_renewable_Index</vt:lpstr>
      <vt:lpstr>Performance_Outputs_0!PO_renewable_table</vt:lpstr>
      <vt:lpstr>Performance_Outputs_1!PO_renewable_table</vt:lpstr>
      <vt:lpstr>Performance_Outputs_0!PO_RenewableEnergyTotal</vt:lpstr>
      <vt:lpstr>Performance_Outputs_1!PO_RenewableEnergyTotal</vt:lpstr>
      <vt:lpstr>Performance_Outputs_0!PO_RenewableOutputs</vt:lpstr>
      <vt:lpstr>Performance_Outputs_1!PO_RenewableOutputs</vt:lpstr>
      <vt:lpstr>Performance_Outputs_Summary!PO_RenewableOutputs</vt:lpstr>
      <vt:lpstr>Performance_Outputs_0!PO_RenewableRange</vt:lpstr>
      <vt:lpstr>Performance_Outputs_1!PO_RenewableRange</vt:lpstr>
      <vt:lpstr>Performance_Outputs_0!PO_Retail_text1</vt:lpstr>
      <vt:lpstr>Performance_Outputs_1!PO_Retail_text1</vt:lpstr>
      <vt:lpstr>Performance_Outputs_0!PO_Retail_text2</vt:lpstr>
      <vt:lpstr>Performance_Outputs_1!PO_Retail_text2</vt:lpstr>
      <vt:lpstr>Performance_Outputs_0!PO_Section_Baseline</vt:lpstr>
      <vt:lpstr>Performance_Outputs_1!PO_Section_Baseline</vt:lpstr>
      <vt:lpstr>Performance_Outputs_0!PO_SectionExCalc</vt:lpstr>
      <vt:lpstr>Performance_Outputs_1!PO_SectionExCalc</vt:lpstr>
      <vt:lpstr>Performance_Outputs_0!PO_SectionUnmetLoads</vt:lpstr>
      <vt:lpstr>Performance_Outputs_1!PO_SectionUnmetLoads</vt:lpstr>
      <vt:lpstr>Performance_Outputs_0!PO_ShowExCalc</vt:lpstr>
      <vt:lpstr>Performance_Outputs_1!PO_ShowExCalc</vt:lpstr>
      <vt:lpstr>Performance_Outputs_0!PO_SiteRenewable</vt:lpstr>
      <vt:lpstr>Performance_Outputs_1!PO_SiteRenewable</vt:lpstr>
      <vt:lpstr>Performance_Outputs_0!PO_SiteUnits</vt:lpstr>
      <vt:lpstr>Performance_Outputs_1!PO_SiteUnits</vt:lpstr>
      <vt:lpstr>Performance_Outputs_Summary!PO_SiteUnits</vt:lpstr>
      <vt:lpstr>Performance_Outputs_0!PO_SourceUnits</vt:lpstr>
      <vt:lpstr>Performance_Outputs_1!PO_SourceUnits</vt:lpstr>
      <vt:lpstr>Performance_Outputs_Summary!PO_SourceUnits</vt:lpstr>
      <vt:lpstr>Performance_Outputs_0!PO_TableExceptionalCalc</vt:lpstr>
      <vt:lpstr>Performance_Outputs_1!PO_TableExceptionalCalc</vt:lpstr>
      <vt:lpstr>Performance_Outputs_0!PO_TableSiteRenewable</vt:lpstr>
      <vt:lpstr>Performance_Outputs_1!PO_TableSiteRenewable</vt:lpstr>
      <vt:lpstr>Performance_Outputs_0!PO_TraceOutputColumns</vt:lpstr>
      <vt:lpstr>Performance_Outputs_1!PO_TraceOutputColumns</vt:lpstr>
      <vt:lpstr>Performance_Outputs_0!PO_VirtualEnergyRate</vt:lpstr>
      <vt:lpstr>Performance_Outputs_1!PO_VirtualEnergyRate</vt:lpstr>
      <vt:lpstr>Performance_Outputs_0!PO_VR_hdr</vt:lpstr>
      <vt:lpstr>Performance_Outputs_1!PO_VR_hdr</vt:lpstr>
      <vt:lpstr>Performance_Outputs_0!PO_VR_table</vt:lpstr>
      <vt:lpstr>Performance_Outputs_1!PO_VR_table</vt:lpstr>
      <vt:lpstr>Performance_Outputs_0!Print_Area</vt:lpstr>
      <vt:lpstr>Performance_Outputs_1!Print_Area</vt:lpstr>
      <vt:lpstr>Performance_Outputs_Summary!Print_Area</vt:lpstr>
      <vt:lpstr>proj_RatingSystem</vt:lpstr>
      <vt:lpstr>ProjectEnergyTypes2</vt:lpstr>
      <vt:lpstr>ProjectEnergyTypeTable2</vt:lpstr>
      <vt:lpstr>ProjectPhaseCompleteness</vt:lpstr>
      <vt:lpstr>ProposedAnchor</vt:lpstr>
      <vt:lpstr>ProposedHVACModeled</vt:lpstr>
      <vt:lpstr>Performance_Outputs_0!QA_Check</vt:lpstr>
      <vt:lpstr>Performance_Outputs_1!QA_Check</vt:lpstr>
      <vt:lpstr>Performance_Outputs_Summary!QA_Check</vt:lpstr>
      <vt:lpstr>QCConsumptionConvert</vt:lpstr>
      <vt:lpstr>QCDemandConvert</vt:lpstr>
      <vt:lpstr>Performance_Outputs_0!QCEnSaveRank</vt:lpstr>
      <vt:lpstr>Performance_Outputs_Summary!QCEnSaveRank</vt:lpstr>
      <vt:lpstr>QCEnSaveRank</vt:lpstr>
      <vt:lpstr>Performance_Outputs_0!qcExCalcbasediff</vt:lpstr>
      <vt:lpstr>Performance_Outputs_1!qcExCalcbasediff</vt:lpstr>
      <vt:lpstr>Performance_Outputs_Summary!qcExCalcbasediff</vt:lpstr>
      <vt:lpstr>Performance_Outputs_0!qcExCalcbasediff2</vt:lpstr>
      <vt:lpstr>Performance_Outputs_Summary!qcExCalcbasediff2</vt:lpstr>
      <vt:lpstr>qcExCalcbasediff2</vt:lpstr>
      <vt:lpstr>Performance_Outputs_0!qcExLPerfAnchor</vt:lpstr>
      <vt:lpstr>Performance_Outputs_Summary!qcExLPerfAnchor</vt:lpstr>
      <vt:lpstr>qcExLPerfAnchor</vt:lpstr>
      <vt:lpstr>qcnontrade</vt:lpstr>
      <vt:lpstr>Qty_Bedrooms</vt:lpstr>
      <vt:lpstr>Qty_Res_Units</vt:lpstr>
      <vt:lpstr>RatingSystem</vt:lpstr>
      <vt:lpstr>RatingSystem_IDC</vt:lpstr>
      <vt:lpstr>RatingSystemSelection</vt:lpstr>
      <vt:lpstr>rbOutputReporting</vt:lpstr>
      <vt:lpstr>RenewableSource</vt:lpstr>
      <vt:lpstr>Res_Usage_Profile_Table</vt:lpstr>
      <vt:lpstr>ResDwellingUnitsExist</vt:lpstr>
      <vt:lpstr>Performance_Outputs_0!RNvsVIRTqcCheck</vt:lpstr>
      <vt:lpstr>Performance_Outputs_Summary!RNvsVIRTqcCheck</vt:lpstr>
      <vt:lpstr>RNvsVIRTqcCheck</vt:lpstr>
      <vt:lpstr>S_ResDwellingSchedule</vt:lpstr>
      <vt:lpstr>S_S_TotalPoints</vt:lpstr>
      <vt:lpstr>S_Sched_Hdr</vt:lpstr>
      <vt:lpstr>S_Sched_Index</vt:lpstr>
      <vt:lpstr>S_Sched_Table</vt:lpstr>
      <vt:lpstr>SbSanchor</vt:lpstr>
      <vt:lpstr>SbSequipTable</vt:lpstr>
      <vt:lpstr>SelectedSxS</vt:lpstr>
      <vt:lpstr>SF_BMZ_Table</vt:lpstr>
      <vt:lpstr>SF_qc40BaseFenestration</vt:lpstr>
      <vt:lpstr>SF_qcVerticalGlazingDiff</vt:lpstr>
      <vt:lpstr>SF_S_hdr</vt:lpstr>
      <vt:lpstr>SF_S_Index</vt:lpstr>
      <vt:lpstr>SF_S_table</vt:lpstr>
      <vt:lpstr>SF_VG_hdr</vt:lpstr>
      <vt:lpstr>SF_VG_Index</vt:lpstr>
      <vt:lpstr>SF_VG_table</vt:lpstr>
      <vt:lpstr>SI_IP_Units</vt:lpstr>
      <vt:lpstr>SimProgram</vt:lpstr>
      <vt:lpstr>SimTool</vt:lpstr>
      <vt:lpstr>SimulationProgram</vt:lpstr>
      <vt:lpstr>SkyLightDescs</vt:lpstr>
      <vt:lpstr>SWH_Fixture_Hdr</vt:lpstr>
      <vt:lpstr>SWH_Fixture_Index</vt:lpstr>
      <vt:lpstr>SWH_Fixture_Table</vt:lpstr>
      <vt:lpstr>SWH_Flow_Hdr</vt:lpstr>
      <vt:lpstr>SWH_Flow_Index</vt:lpstr>
      <vt:lpstr>SWH_Flow_Table</vt:lpstr>
      <vt:lpstr>SWH_Heater_Hdr</vt:lpstr>
      <vt:lpstr>SWH_Heater_Rows</vt:lpstr>
      <vt:lpstr>SWH_Heater_Table</vt:lpstr>
      <vt:lpstr>SxSCategories</vt:lpstr>
      <vt:lpstr>tableBAM</vt:lpstr>
      <vt:lpstr>tablesSxS</vt:lpstr>
      <vt:lpstr>tableSxS</vt:lpstr>
      <vt:lpstr>TemplateBaseline</vt:lpstr>
      <vt:lpstr>TemplateProposed</vt:lpstr>
      <vt:lpstr>ThermalTable</vt:lpstr>
      <vt:lpstr>ThermalTypes</vt:lpstr>
      <vt:lpstr>TradableSurfaces</vt:lpstr>
      <vt:lpstr>'Shading and Fenestration'!UfactorMethod</vt:lpstr>
      <vt:lpstr>UtilityRateStructure</vt:lpstr>
      <vt:lpstr>VertGlazeDescs</vt:lpstr>
      <vt:lpstr>WSHVAC_Base_System</vt:lpstr>
      <vt:lpstr>WSHVAC_Proposed_System</vt:lpstr>
      <vt:lpstr>Zone</vt:lpstr>
      <vt:lpstr>ZoneTable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dc:creator>
  <cp:lastModifiedBy>Rajeev Kumar</cp:lastModifiedBy>
  <cp:lastPrinted>2012-07-30T15:34:22Z</cp:lastPrinted>
  <dcterms:created xsi:type="dcterms:W3CDTF">2012-03-14T12:57:25Z</dcterms:created>
  <dcterms:modified xsi:type="dcterms:W3CDTF">2025-07-30T06:52:47Z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8fc07e74-f785-4a10-b3d4-6ca68b3cef1f</vt:lpwstr>
  </property>
</Properties>
</file>